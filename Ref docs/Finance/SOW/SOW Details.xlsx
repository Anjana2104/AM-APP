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Revenue/"/>
    </mc:Choice>
  </mc:AlternateContent>
  <xr:revisionPtr revIDLastSave="108" documentId="13_ncr:1_{ECC79762-26E8-4166-938B-3DC1520AFDC8}" xr6:coauthVersionLast="47" xr6:coauthVersionMax="47" xr10:uidLastSave="{F30202C2-BC6F-4E5D-87FB-0EF01B0BF457}"/>
  <bookViews>
    <workbookView xWindow="-110" yWindow="-110" windowWidth="19420" windowHeight="11500" tabRatio="751" xr2:uid="{00000000-000D-0000-FFFF-FFFF00000000}"/>
  </bookViews>
  <sheets>
    <sheet name="SOW" sheetId="1" r:id="rId1"/>
  </sheets>
  <definedNames>
    <definedName name="_xlnm._FilterDatabase" localSheetId="0" hidden="1">SOW!$A$1:$U$40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  <c r="T33" i="1"/>
  <c r="S33" i="1"/>
  <c r="R33" i="1"/>
  <c r="Q33" i="1"/>
  <c r="U20" i="1"/>
  <c r="T20" i="1"/>
  <c r="S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<sst xmlns="http://schemas.openxmlformats.org/spreadsheetml/2006/main" count="176" uniqueCount="86">
  <si>
    <t>S.No.</t>
  </si>
  <si>
    <t>Project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</si>
  <si>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</si>
  <si>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</si>
  <si>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</si>
  <si>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</si>
  <si>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</si>
  <si>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</si>
  <si>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 xml:space="preserve">ZSUS0350 - EDL Platform KTLO_Jan_Feb2026 </t>
  </si>
  <si>
    <t>ZSUS0336 - HR Analytics Jan 2026</t>
  </si>
  <si>
    <t>ZSUS0338 - Evidence 360 - ZS Evidence Pro Deploy Jan-March 2026</t>
  </si>
  <si>
    <t>Evidence 360</t>
  </si>
  <si>
    <t>Surya</t>
  </si>
  <si>
    <t>ZSUS0351 - EEA Gen AI Jan 2026</t>
  </si>
  <si>
    <t>ZSUS0352 - Neural Nexus Build_Dec_Feb2026</t>
  </si>
  <si>
    <t>Neural Nexus</t>
  </si>
  <si>
    <t>ZSUS0343 - Next GenTest Automation Phase 2_Jan_2026</t>
  </si>
  <si>
    <t>ZSUS0339 - Evidence 360 - ZS Evidence Pro Deploy Jan-March 2026</t>
  </si>
  <si>
    <t>ZSUS0344 - Roche AIDCG Implementation_Jan_Feb_26</t>
  </si>
  <si>
    <t>Roche</t>
  </si>
  <si>
    <t>ZSUS0345 - Amgen SC&amp;M Jan-March 2026</t>
  </si>
  <si>
    <t>Amgen SC&amp;M</t>
  </si>
  <si>
    <t>ZSUS0349 - Durable Capability Program Jan Mar2026</t>
  </si>
  <si>
    <t>Amgen Enterprise</t>
  </si>
  <si>
    <t>ZSUS0353 - Cosmos InSilico Product Team Jan_Mar_2026</t>
  </si>
  <si>
    <t>Amgen R&amp;D</t>
  </si>
  <si>
    <t>ZSUS0368 - Amgen Commercial MDH Project Mar_Aug2026</t>
  </si>
  <si>
    <t>Amgen Commercial</t>
  </si>
  <si>
    <t>ZSUS0373 - Eli Lilly Projects Apr- Oct 2026</t>
  </si>
  <si>
    <t>Lilly</t>
  </si>
  <si>
    <t>ZSUS0356 - Evidence 360 - ZS Evidence Pro Deploy Dec’25_Mar2026</t>
  </si>
  <si>
    <t>ZSUS0359 - Bayer-Backend Developer Dec 2025– May 2026</t>
  </si>
  <si>
    <t>Tech Innovation Labs</t>
  </si>
  <si>
    <t>ZSUS0362 - ZS-ESCOE-Evidence Pro Jan-Jun 2026</t>
  </si>
  <si>
    <t>Evidence Pro</t>
  </si>
  <si>
    <t>ZSUS0361 - ZS-Tech Innovation Lab  Jan-Jun 2026</t>
  </si>
  <si>
    <t>ZSUS0360 - ZS-EDMA- Jan- June 2026</t>
  </si>
  <si>
    <t>EDMA</t>
  </si>
  <si>
    <t>ZSUS0372 - BMS Projects Apr- June 2026</t>
  </si>
  <si>
    <t>BMS</t>
  </si>
  <si>
    <t>ZSUS0369 - MERCK MSL Copilot Project Mar- Aug 2026</t>
  </si>
  <si>
    <t>Merck</t>
  </si>
  <si>
    <t>ZSUS0365 - ZS-EVIDENCEPRO-JAN-JUNE 2 -2026</t>
  </si>
  <si>
    <t>ZSUS0341 - Next Gen Operations Support 2026</t>
  </si>
  <si>
    <t>UCB</t>
  </si>
  <si>
    <t>Anjana</t>
  </si>
  <si>
    <t xml:space="preserve">ZSUS0346 - Takeda Projects 2026 </t>
  </si>
  <si>
    <t>Takeda</t>
  </si>
  <si>
    <t>ZSUS0371 - RWD Projects Apr-May 2026</t>
  </si>
  <si>
    <t>RWD</t>
  </si>
  <si>
    <t>Oct'25</t>
  </si>
  <si>
    <t>Nov'25</t>
  </si>
  <si>
    <t>Dec'25</t>
  </si>
  <si>
    <t>Jan'26</t>
  </si>
  <si>
    <t>Feb'26</t>
  </si>
  <si>
    <t>Mar'26</t>
  </si>
  <si>
    <t>ZSUS0316 - AI Enabled Data &amp; Content Generation Sep- Dec 2026</t>
  </si>
  <si>
    <t>ZSUS0354 - Roche CDR Jan_Dec 2026</t>
  </si>
  <si>
    <t>ZSUS0335 - Darwin-Backend Developer Oct 2025– Mar 2026</t>
  </si>
  <si>
    <t>ZSUS0363 - ZS-Tech innovation Lab- Jan- Mar 2026</t>
  </si>
  <si>
    <t>ZSUS0364 - ZS-Tech innovation Lab 2 - Jan- Mar 2026</t>
  </si>
  <si>
    <t>ZSUS0366 - Next GenTest Automation Phase 2_2026</t>
  </si>
  <si>
    <t>ZSUS0367 - Roche AIDCG Implementation Jan_Dec2026</t>
  </si>
  <si>
    <t>Testing</t>
  </si>
  <si>
    <t>Apr'26</t>
  </si>
  <si>
    <t>Mckesson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</si>
  <si>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</si>
  <si>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</si>
  <si>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</si>
  <si>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</si>
  <si>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</si>
  <si>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</si>
  <si>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</si>
  <si>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</si>
  <si>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TBD - Next GenTest Automation Phase 2_2026</t>
  </si>
  <si>
    <t>ZSUS0374 - Next GenTest Automation Phase 2_2026</t>
  </si>
  <si>
    <t>ZSUS0376 - Mckesson Project 2026.</t>
  </si>
  <si>
    <t>ZSUS0378 - Sanofi Projects 2026</t>
  </si>
  <si>
    <t>Sanofi</t>
  </si>
  <si>
    <t>ZSUS0355 - RWE KTLO Operations Jan_Dec2026</t>
  </si>
  <si>
    <t>Amgen</t>
  </si>
  <si>
    <t>MomentZS</t>
  </si>
  <si>
    <t>TBD2 - MomentZS  - Overall</t>
  </si>
  <si>
    <t>RA India</t>
  </si>
  <si>
    <t>RA Inc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</si>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</sst>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2" borderId="0" xfId="1" applyNumberFormat="1" applyFont="1" applyFill="1" applyBorder="1" applyAlignment="1" applyProtection="1">
      <alignment horizontal="center" vertical="center" wrapText="1"/>
    </xf>
    <xf numFmtId="41" fontId="5" fillId="0" borderId="0" xfId="1" applyNumberFormat="1" applyFont="1" applyBorder="1" applyAlignment="1" applyProtection="1">
      <alignment horizontal="center" vertical="center" wrapText="1"/>
    </xf>
    <xf numFmtId="41" fontId="5" fillId="2" borderId="0" xfId="1" applyNumberFormat="1" applyFont="1" applyFill="1" applyBorder="1" applyAlignment="1" applyProtection="1">
      <alignment horizontal="center" vertical="center" wrapText="1"/>
    </xf>
    <xf numFmtId="41" fontId="2" fillId="3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Border="1" applyAlignment="1">
      <alignment horizontal="center" vertical="center" wrapText="1"/>
    </xf>
    <xf numFmtId="2" fontId="3" fillId="12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 wrapText="1"/>
    </xf>
    <xf numFmtId="2" fontId="3" fillId="12" borderId="5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2" fontId="3" fillId="8" borderId="6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41" fontId="2" fillId="5" borderId="0" xfId="1" applyNumberFormat="1" applyFont="1" applyFill="1" applyBorder="1" applyAlignment="1" applyProtection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/>
    </xf>
    <xf numFmtId="41" fontId="2" fillId="0" borderId="0" xfId="0" applyNumberFormat="1" applyFont="1" applyBorder="1" applyAlignment="1">
      <alignment horizontal="center" vertical="center"/>
    </xf>
    <xf numFmtId="41" fontId="4" fillId="0" borderId="0" xfId="0" applyNumberFormat="1" applyFont="1" applyBorder="1" applyAlignment="1">
      <alignment horizontal="center" vertical="center"/>
    </xf>
    <xf numFmtId="41" fontId="5" fillId="0" borderId="0" xfId="0" applyNumberFormat="1" applyFont="1" applyBorder="1" applyAlignment="1">
      <alignment horizontal="center" vertical="center"/>
    </xf>
    <xf numFmtId="41" fontId="5" fillId="3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Border="1"/>
    <xf numFmtId="41" fontId="5" fillId="2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41"/>
  <sheetViews>
    <sheetView showGridLines="0" tabSelected="1" topLeftCell="G1" zoomScale="79" zoomScaleNormal="114" workbookViewId="0">
      <pane ySplit="1" topLeftCell="A13" activePane="bottomLeft" state="frozen"/>
      <selection activeCell="F1" sqref="F1"/>
      <selection pane="bottomLeft" activeCell="M24" sqref="M24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8" width="12.36328125" style="4" bestFit="1" customWidth="1"/>
    <col min="9" max="9" width="12.54296875" style="4" customWidth="1"/>
    <col min="10" max="10" width="12.90625" style="4" bestFit="1" customWidth="1"/>
    <col min="11" max="11" width="12.54296875" style="4" bestFit="1" customWidth="1"/>
    <col min="12" max="13" width="12.36328125" style="4" bestFit="1" customWidth="1"/>
    <col min="14" max="14" width="14.08984375" style="4" bestFit="1" customWidth="1"/>
    <col min="15" max="15" width="12.36328125" style="4" bestFit="1" customWidth="1"/>
    <col min="16" max="20" width="12.81640625" style="4" bestFit="1" customWidth="1"/>
    <col min="21" max="21" width="11.453125" style="4" customWidth="1"/>
    <col min="22" max="22" width="8.7265625" style="5"/>
    <col min="23" max="23" width="11.36328125" style="5" bestFit="1" customWidth="1"/>
    <col min="24" max="16384" width="8.7265625" style="5"/>
  </cols>
  <sheetData>
    <row r="1" spans="2:21" ht="13.5" thickBot="1" x14ac:dyDescent="0.4">
      <c r="B1" s="29" t="s">
        <v>0</v>
      </c>
      <c r="C1" s="32" t="s">
        <v>1</v>
      </c>
      <c r="D1" s="20" t="s">
        <v>85</v>
      </c>
      <c r="E1" s="20" t="s">
        <v>2</v>
      </c>
      <c r="F1" s="20" t="s">
        <v>3</v>
      </c>
      <c r="G1" s="19" t="s">
        <v>50</v>
      </c>
      <c r="H1" s="15" t="s">
        <v>51</v>
      </c>
      <c r="I1" s="15" t="s">
        <v>52</v>
      </c>
      <c r="J1" s="16" t="s">
        <v>53</v>
      </c>
      <c r="K1" s="16" t="s">
        <v>54</v>
      </c>
      <c r="L1" s="16" t="s">
        <v>55</v>
      </c>
      <c r="M1" s="15" t="s">
        <v>64</v>
      </c>
      <c r="N1" s="15" t="s">
        <v>66</v>
      </c>
      <c r="O1" s="15" t="s">
        <v>67</v>
      </c>
      <c r="P1" s="16" t="s">
        <v>68</v>
      </c>
      <c r="Q1" s="16" t="s">
        <v>69</v>
      </c>
      <c r="R1" s="16" t="s">
        <v>70</v>
      </c>
      <c r="S1" s="17" t="s">
        <v>71</v>
      </c>
      <c r="T1" s="17" t="s">
        <v>72</v>
      </c>
      <c r="U1" s="25" t="s">
        <v>73</v>
      </c>
    </row>
    <row r="2" spans="2:21" ht="13" customHeight="1" x14ac:dyDescent="0.35">
      <c r="B2" s="30">
        <v>1</v>
      </c>
      <c r="C2" s="33" t="s">
        <v>4</v>
      </c>
      <c r="D2" s="26" t="s">
        <v>83</v>
      </c>
      <c r="E2" s="23" t="s">
        <v>5</v>
      </c>
      <c r="F2" s="41" t="s">
        <v>6</v>
      </c>
      <c r="G2" s="7">
        <v>30911018.507764079</v>
      </c>
      <c r="H2" s="7">
        <v>41131128.139999993</v>
      </c>
      <c r="I2" s="7">
        <v>41982226.259999998</v>
      </c>
      <c r="J2" s="7">
        <v>1367800</v>
      </c>
      <c r="K2" s="8"/>
      <c r="L2" s="8"/>
      <c r="M2" s="46"/>
      <c r="N2" s="47"/>
      <c r="O2" s="47"/>
      <c r="P2" s="47"/>
      <c r="Q2" s="47"/>
      <c r="R2" s="47"/>
      <c r="S2" s="47"/>
      <c r="T2" s="47"/>
      <c r="U2" s="47"/>
    </row>
    <row r="3" spans="2:21" ht="13" customHeight="1" x14ac:dyDescent="0.35">
      <c r="B3" s="31">
        <v>2</v>
      </c>
      <c r="C3" s="34" t="s">
        <v>7</v>
      </c>
      <c r="D3" s="27" t="s">
        <v>83</v>
      </c>
      <c r="E3" s="21" t="s">
        <v>5</v>
      </c>
      <c r="F3" s="42" t="s">
        <v>6</v>
      </c>
      <c r="G3" s="6"/>
      <c r="H3" s="6"/>
      <c r="I3" s="6"/>
      <c r="J3" s="7">
        <v>800000</v>
      </c>
      <c r="K3" s="7">
        <v>800000</v>
      </c>
      <c r="L3" s="8"/>
      <c r="M3" s="47"/>
      <c r="N3" s="47"/>
      <c r="O3" s="47"/>
      <c r="P3" s="47"/>
      <c r="Q3" s="47"/>
      <c r="R3" s="47"/>
      <c r="S3" s="47"/>
      <c r="T3" s="47"/>
      <c r="U3" s="47"/>
    </row>
    <row r="4" spans="2:21" ht="13" customHeight="1" x14ac:dyDescent="0.35">
      <c r="B4" s="31">
        <v>3</v>
      </c>
      <c r="C4" s="33" t="s">
        <v>8</v>
      </c>
      <c r="D4" s="27" t="s">
        <v>83</v>
      </c>
      <c r="E4" s="21" t="s">
        <v>5</v>
      </c>
      <c r="F4" s="42" t="s">
        <v>6</v>
      </c>
      <c r="G4" s="6"/>
      <c r="H4" s="6"/>
      <c r="I4" s="6"/>
      <c r="J4" s="7">
        <v>1832600</v>
      </c>
      <c r="K4" s="7">
        <v>1249500</v>
      </c>
      <c r="L4" s="8"/>
      <c r="M4" s="47"/>
      <c r="N4" s="47"/>
      <c r="O4" s="47"/>
      <c r="P4" s="47"/>
      <c r="Q4" s="47"/>
      <c r="R4" s="47"/>
      <c r="S4" s="47"/>
      <c r="T4" s="47"/>
      <c r="U4" s="47"/>
    </row>
    <row r="5" spans="2:21" ht="13" customHeight="1" x14ac:dyDescent="0.35">
      <c r="B5" s="31">
        <v>4</v>
      </c>
      <c r="C5" s="34" t="s">
        <v>9</v>
      </c>
      <c r="D5" s="27" t="s">
        <v>83</v>
      </c>
      <c r="E5" s="21" t="s">
        <v>5</v>
      </c>
      <c r="F5" s="42" t="s">
        <v>6</v>
      </c>
      <c r="G5" s="6"/>
      <c r="H5" s="6"/>
      <c r="I5" s="6"/>
      <c r="J5" s="7">
        <v>616000</v>
      </c>
      <c r="K5" s="8"/>
      <c r="L5" s="8"/>
      <c r="M5" s="47"/>
      <c r="N5" s="47"/>
      <c r="O5" s="47"/>
      <c r="P5" s="47"/>
      <c r="Q5" s="47"/>
      <c r="R5" s="47"/>
      <c r="S5" s="47"/>
      <c r="T5" s="47"/>
      <c r="U5" s="47"/>
    </row>
    <row r="6" spans="2:21" ht="13" customHeight="1" x14ac:dyDescent="0.35">
      <c r="B6" s="31">
        <v>5</v>
      </c>
      <c r="C6" s="34" t="s">
        <v>10</v>
      </c>
      <c r="D6" s="27" t="s">
        <v>83</v>
      </c>
      <c r="E6" s="21" t="s">
        <v>11</v>
      </c>
      <c r="F6" s="43" t="s">
        <v>12</v>
      </c>
      <c r="G6" s="8"/>
      <c r="H6" s="8"/>
      <c r="I6" s="8"/>
      <c r="J6" s="9">
        <v>374000</v>
      </c>
      <c r="K6" s="9">
        <v>340000</v>
      </c>
      <c r="L6" s="9">
        <v>374000</v>
      </c>
      <c r="M6" s="48"/>
      <c r="N6" s="48"/>
      <c r="O6" s="48"/>
      <c r="P6" s="48"/>
      <c r="Q6" s="48"/>
      <c r="R6" s="48"/>
      <c r="S6" s="48"/>
      <c r="T6" s="48"/>
      <c r="U6" s="48"/>
    </row>
    <row r="7" spans="2:21" ht="13" customHeight="1" x14ac:dyDescent="0.35">
      <c r="B7" s="31">
        <v>6</v>
      </c>
      <c r="C7" s="34" t="s">
        <v>13</v>
      </c>
      <c r="D7" s="27" t="s">
        <v>83</v>
      </c>
      <c r="E7" s="21" t="s">
        <v>5</v>
      </c>
      <c r="F7" s="42" t="s">
        <v>6</v>
      </c>
      <c r="G7" s="10"/>
      <c r="H7" s="10"/>
      <c r="I7" s="10"/>
      <c r="J7" s="11">
        <v>880000</v>
      </c>
      <c r="K7" s="7">
        <v>880000</v>
      </c>
      <c r="L7" s="7">
        <v>880000</v>
      </c>
      <c r="M7" s="47"/>
      <c r="N7" s="47"/>
      <c r="O7" s="47"/>
      <c r="P7" s="47"/>
      <c r="Q7" s="47"/>
      <c r="R7" s="47"/>
      <c r="S7" s="47"/>
      <c r="T7" s="47"/>
      <c r="U7" s="47"/>
    </row>
    <row r="8" spans="2:21" ht="13" customHeight="1" x14ac:dyDescent="0.35">
      <c r="B8" s="31">
        <v>7</v>
      </c>
      <c r="C8" s="34" t="s">
        <v>14</v>
      </c>
      <c r="D8" s="27" t="s">
        <v>83</v>
      </c>
      <c r="E8" s="21" t="s">
        <v>15</v>
      </c>
      <c r="F8" s="43" t="s">
        <v>12</v>
      </c>
      <c r="G8" s="8"/>
      <c r="H8" s="8"/>
      <c r="I8" s="9"/>
      <c r="J8" s="9">
        <v>531300</v>
      </c>
      <c r="K8" s="9">
        <v>508200</v>
      </c>
      <c r="L8" s="9">
        <v>462000</v>
      </c>
      <c r="M8" s="48"/>
      <c r="N8" s="48"/>
      <c r="O8" s="48"/>
      <c r="P8" s="48"/>
      <c r="Q8" s="48"/>
      <c r="R8" s="48"/>
      <c r="S8" s="48"/>
      <c r="T8" s="48"/>
      <c r="U8" s="48"/>
    </row>
    <row r="9" spans="2:21" ht="13" customHeight="1" x14ac:dyDescent="0.35">
      <c r="B9" s="31">
        <v>8</v>
      </c>
      <c r="C9" s="34" t="s">
        <v>16</v>
      </c>
      <c r="D9" s="27" t="s">
        <v>83</v>
      </c>
      <c r="E9" s="21" t="s">
        <v>5</v>
      </c>
      <c r="F9" s="42" t="s">
        <v>6</v>
      </c>
      <c r="G9" s="10"/>
      <c r="H9" s="10"/>
      <c r="I9" s="10"/>
      <c r="J9" s="11">
        <v>880000</v>
      </c>
      <c r="K9" s="8"/>
      <c r="L9" s="8"/>
      <c r="M9" s="47"/>
      <c r="N9" s="47"/>
      <c r="O9" s="47"/>
      <c r="P9" s="47"/>
      <c r="Q9" s="47"/>
      <c r="R9" s="47"/>
      <c r="S9" s="47"/>
      <c r="T9" s="47"/>
      <c r="U9" s="47"/>
    </row>
    <row r="10" spans="2:21" ht="13" customHeight="1" x14ac:dyDescent="0.35">
      <c r="B10" s="31">
        <v>9</v>
      </c>
      <c r="C10" s="35" t="s">
        <v>17</v>
      </c>
      <c r="D10" s="27" t="s">
        <v>83</v>
      </c>
      <c r="E10" s="21" t="s">
        <v>11</v>
      </c>
      <c r="F10" s="43" t="s">
        <v>12</v>
      </c>
      <c r="G10" s="8"/>
      <c r="H10" s="8"/>
      <c r="I10" s="8"/>
      <c r="J10" s="9">
        <v>550000</v>
      </c>
      <c r="K10" s="9">
        <v>500000</v>
      </c>
      <c r="L10" s="9">
        <v>550000</v>
      </c>
      <c r="M10" s="9">
        <v>500923</v>
      </c>
      <c r="N10" s="9">
        <v>500923</v>
      </c>
      <c r="O10" s="9">
        <v>500923</v>
      </c>
      <c r="P10" s="9">
        <v>500923</v>
      </c>
      <c r="Q10" s="9">
        <v>500923</v>
      </c>
      <c r="R10" s="49">
        <v>500923</v>
      </c>
      <c r="S10" s="49">
        <v>500923</v>
      </c>
      <c r="T10" s="49">
        <v>500923</v>
      </c>
      <c r="U10" s="49">
        <v>500923</v>
      </c>
    </row>
    <row r="11" spans="2:21" ht="13" customHeight="1" x14ac:dyDescent="0.35">
      <c r="B11" s="31">
        <v>10</v>
      </c>
      <c r="C11" s="36" t="s">
        <v>18</v>
      </c>
      <c r="D11" s="27" t="s">
        <v>83</v>
      </c>
      <c r="E11" s="22" t="s">
        <v>19</v>
      </c>
      <c r="F11" s="44" t="s">
        <v>6</v>
      </c>
      <c r="G11" s="6"/>
      <c r="H11" s="6"/>
      <c r="I11" s="6"/>
      <c r="J11" s="7">
        <v>420000</v>
      </c>
      <c r="K11" s="7">
        <v>420000</v>
      </c>
      <c r="L11" s="7">
        <v>462000</v>
      </c>
      <c r="M11" s="7">
        <v>462000</v>
      </c>
      <c r="N11" s="7">
        <v>462000</v>
      </c>
      <c r="O11" s="7">
        <v>462000</v>
      </c>
      <c r="P11" s="7">
        <v>462000</v>
      </c>
      <c r="Q11" s="7">
        <v>462000</v>
      </c>
      <c r="R11" s="7">
        <v>462000</v>
      </c>
      <c r="S11" s="7">
        <v>462000</v>
      </c>
      <c r="T11" s="7">
        <v>462000</v>
      </c>
      <c r="U11" s="7">
        <v>462000</v>
      </c>
    </row>
    <row r="12" spans="2:21" ht="13" customHeight="1" x14ac:dyDescent="0.35">
      <c r="B12" s="31">
        <v>11</v>
      </c>
      <c r="C12" s="36" t="s">
        <v>20</v>
      </c>
      <c r="D12" s="27" t="s">
        <v>83</v>
      </c>
      <c r="E12" s="22" t="s">
        <v>21</v>
      </c>
      <c r="F12" s="44" t="s">
        <v>6</v>
      </c>
      <c r="G12" s="6"/>
      <c r="H12" s="6"/>
      <c r="I12" s="6"/>
      <c r="J12" s="7">
        <v>3336362</v>
      </c>
      <c r="K12" s="7">
        <v>3649056</v>
      </c>
      <c r="L12" s="7">
        <v>3952362</v>
      </c>
      <c r="M12" s="7">
        <v>2843077</v>
      </c>
      <c r="N12" s="9">
        <v>2843077</v>
      </c>
      <c r="O12" s="9">
        <v>2843077</v>
      </c>
      <c r="P12" s="12">
        <v>2843077</v>
      </c>
      <c r="Q12" s="12">
        <v>2843077</v>
      </c>
      <c r="R12" s="12">
        <v>2843077</v>
      </c>
      <c r="S12" s="12">
        <v>2843077</v>
      </c>
      <c r="T12" s="12">
        <v>2843077</v>
      </c>
      <c r="U12" s="12">
        <v>2843077</v>
      </c>
    </row>
    <row r="13" spans="2:21" ht="13" customHeight="1" x14ac:dyDescent="0.35">
      <c r="B13" s="31">
        <v>12</v>
      </c>
      <c r="C13" s="36" t="s">
        <v>22</v>
      </c>
      <c r="D13" s="27" t="s">
        <v>83</v>
      </c>
      <c r="E13" s="22" t="s">
        <v>23</v>
      </c>
      <c r="F13" s="44" t="s">
        <v>6</v>
      </c>
      <c r="G13" s="6"/>
      <c r="H13" s="6"/>
      <c r="I13" s="6"/>
      <c r="J13" s="7">
        <v>1760000</v>
      </c>
      <c r="K13" s="7">
        <v>1600000</v>
      </c>
      <c r="L13" s="7">
        <v>1760000</v>
      </c>
      <c r="M13" s="9">
        <v>3005539</v>
      </c>
      <c r="N13" s="9">
        <v>2396308</v>
      </c>
      <c r="O13" s="9">
        <v>2396308</v>
      </c>
      <c r="P13" s="9">
        <v>880000</v>
      </c>
      <c r="Q13" s="12">
        <v>880000</v>
      </c>
      <c r="R13" s="12">
        <v>880000</v>
      </c>
      <c r="S13" s="12">
        <v>880000</v>
      </c>
      <c r="T13" s="12">
        <v>880000</v>
      </c>
      <c r="U13" s="12">
        <v>880000</v>
      </c>
    </row>
    <row r="14" spans="2:21" ht="13" customHeight="1" x14ac:dyDescent="0.35">
      <c r="B14" s="31">
        <v>13</v>
      </c>
      <c r="C14" s="36" t="s">
        <v>24</v>
      </c>
      <c r="D14" s="27" t="s">
        <v>83</v>
      </c>
      <c r="E14" s="22" t="s">
        <v>25</v>
      </c>
      <c r="F14" s="44" t="s">
        <v>6</v>
      </c>
      <c r="G14" s="6"/>
      <c r="H14" s="6"/>
      <c r="I14" s="6"/>
      <c r="J14" s="7">
        <v>508200</v>
      </c>
      <c r="K14" s="7">
        <v>462000</v>
      </c>
      <c r="L14" s="7">
        <v>508200</v>
      </c>
      <c r="M14" s="9">
        <v>508200</v>
      </c>
      <c r="N14" s="9">
        <v>508200</v>
      </c>
      <c r="O14" s="9">
        <v>508200</v>
      </c>
      <c r="P14" s="12">
        <v>508200</v>
      </c>
      <c r="Q14" s="12">
        <v>508200</v>
      </c>
      <c r="R14" s="12">
        <v>508200</v>
      </c>
      <c r="S14" s="12">
        <v>508200</v>
      </c>
      <c r="T14" s="12">
        <v>508200</v>
      </c>
      <c r="U14" s="12">
        <v>508200</v>
      </c>
    </row>
    <row r="15" spans="2:21" ht="13" customHeight="1" x14ac:dyDescent="0.35">
      <c r="B15" s="31">
        <v>14</v>
      </c>
      <c r="C15" s="36" t="s">
        <v>26</v>
      </c>
      <c r="D15" s="27" t="s">
        <v>83</v>
      </c>
      <c r="E15" s="22" t="s">
        <v>27</v>
      </c>
      <c r="F15" s="45" t="s">
        <v>6</v>
      </c>
      <c r="G15" s="6"/>
      <c r="H15" s="6"/>
      <c r="I15" s="6"/>
      <c r="J15" s="7">
        <v>508200</v>
      </c>
      <c r="K15" s="7">
        <v>462000</v>
      </c>
      <c r="L15" s="7">
        <v>508200</v>
      </c>
      <c r="M15" s="9">
        <v>508200</v>
      </c>
      <c r="N15" s="9">
        <v>508200</v>
      </c>
      <c r="O15" s="9">
        <v>508200</v>
      </c>
      <c r="P15" s="9">
        <v>508200</v>
      </c>
      <c r="Q15" s="9">
        <v>508200</v>
      </c>
      <c r="R15" s="12">
        <v>508200</v>
      </c>
      <c r="S15" s="12">
        <v>508200</v>
      </c>
      <c r="T15" s="12">
        <v>508200</v>
      </c>
      <c r="U15" s="12">
        <v>508200</v>
      </c>
    </row>
    <row r="16" spans="2:21" ht="13" customHeight="1" x14ac:dyDescent="0.35">
      <c r="B16" s="31">
        <v>15</v>
      </c>
      <c r="C16" s="36" t="s">
        <v>28</v>
      </c>
      <c r="D16" s="27" t="s">
        <v>83</v>
      </c>
      <c r="E16" s="24" t="s">
        <v>29</v>
      </c>
      <c r="F16" s="45" t="s">
        <v>6</v>
      </c>
      <c r="G16" s="8"/>
      <c r="H16" s="8"/>
      <c r="I16" s="8"/>
      <c r="J16" s="13"/>
      <c r="K16" s="13"/>
      <c r="L16" s="13"/>
      <c r="M16" s="9">
        <v>500923</v>
      </c>
      <c r="N16" s="9">
        <v>500923</v>
      </c>
      <c r="O16" s="9">
        <v>500923</v>
      </c>
      <c r="P16" s="9">
        <v>500923</v>
      </c>
      <c r="Q16" s="9">
        <v>500923</v>
      </c>
      <c r="R16" s="9">
        <v>500923</v>
      </c>
      <c r="S16" s="9">
        <v>500923</v>
      </c>
      <c r="T16" s="12">
        <v>500923</v>
      </c>
      <c r="U16" s="12">
        <v>500923</v>
      </c>
    </row>
    <row r="17" spans="2:21" ht="13" customHeight="1" x14ac:dyDescent="0.35">
      <c r="B17" s="31">
        <v>16</v>
      </c>
      <c r="C17" s="36" t="s">
        <v>30</v>
      </c>
      <c r="D17" s="27" t="s">
        <v>83</v>
      </c>
      <c r="E17" s="22" t="s">
        <v>11</v>
      </c>
      <c r="F17" s="45" t="s">
        <v>12</v>
      </c>
      <c r="G17" s="8"/>
      <c r="H17" s="8"/>
      <c r="I17" s="8"/>
      <c r="J17" s="9">
        <v>616000</v>
      </c>
      <c r="K17" s="9">
        <v>560000</v>
      </c>
      <c r="L17" s="9">
        <v>616000</v>
      </c>
      <c r="M17" s="9">
        <v>609231</v>
      </c>
      <c r="N17" s="9">
        <v>609231</v>
      </c>
      <c r="O17" s="9">
        <v>609231</v>
      </c>
      <c r="P17" s="49">
        <v>609231</v>
      </c>
      <c r="Q17" s="49">
        <v>609231</v>
      </c>
      <c r="R17" s="49"/>
      <c r="S17" s="49">
        <v>0</v>
      </c>
      <c r="T17" s="49">
        <v>0</v>
      </c>
      <c r="U17" s="49">
        <v>0</v>
      </c>
    </row>
    <row r="18" spans="2:21" ht="13" customHeight="1" x14ac:dyDescent="0.35">
      <c r="B18" s="31">
        <v>17</v>
      </c>
      <c r="C18" s="36" t="s">
        <v>31</v>
      </c>
      <c r="D18" s="27" t="s">
        <v>83</v>
      </c>
      <c r="E18" s="22" t="s">
        <v>32</v>
      </c>
      <c r="F18" s="45" t="s">
        <v>12</v>
      </c>
      <c r="G18" s="8"/>
      <c r="H18" s="8"/>
      <c r="I18" s="9"/>
      <c r="J18" s="9">
        <v>462000</v>
      </c>
      <c r="K18" s="9">
        <v>420000</v>
      </c>
      <c r="L18" s="9">
        <v>462000</v>
      </c>
      <c r="M18" s="9">
        <v>462000</v>
      </c>
      <c r="N18" s="9">
        <v>441000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</row>
    <row r="19" spans="2:21" ht="13" customHeight="1" x14ac:dyDescent="0.35">
      <c r="B19" s="31">
        <v>18</v>
      </c>
      <c r="C19" s="36" t="s">
        <v>33</v>
      </c>
      <c r="D19" s="27" t="s">
        <v>83</v>
      </c>
      <c r="E19" s="22" t="s">
        <v>34</v>
      </c>
      <c r="F19" s="45" t="s">
        <v>12</v>
      </c>
      <c r="G19" s="8"/>
      <c r="H19" s="8"/>
      <c r="I19" s="8"/>
      <c r="J19" s="9">
        <v>1372800</v>
      </c>
      <c r="K19" s="9">
        <v>1248000</v>
      </c>
      <c r="L19" s="9">
        <v>1372800</v>
      </c>
      <c r="M19" s="9">
        <v>1372800</v>
      </c>
      <c r="N19" s="9">
        <v>1310400</v>
      </c>
      <c r="O19" s="9">
        <v>1372800</v>
      </c>
      <c r="P19" s="49">
        <v>1372800</v>
      </c>
      <c r="Q19" s="49">
        <v>1372800</v>
      </c>
      <c r="R19" s="49">
        <v>1372800</v>
      </c>
      <c r="S19" s="49">
        <v>1372800</v>
      </c>
      <c r="T19" s="49">
        <v>1372800</v>
      </c>
      <c r="U19" s="49">
        <v>1372800</v>
      </c>
    </row>
    <row r="20" spans="2:21" ht="13" customHeight="1" x14ac:dyDescent="0.35">
      <c r="B20" s="31">
        <v>19</v>
      </c>
      <c r="C20" s="36" t="s">
        <v>35</v>
      </c>
      <c r="D20" s="27" t="s">
        <v>83</v>
      </c>
      <c r="E20" s="22" t="s">
        <v>32</v>
      </c>
      <c r="F20" s="45" t="s">
        <v>12</v>
      </c>
      <c r="G20" s="8"/>
      <c r="H20" s="8"/>
      <c r="I20" s="8"/>
      <c r="J20" s="9">
        <v>3044800</v>
      </c>
      <c r="K20" s="9">
        <v>2768000</v>
      </c>
      <c r="L20" s="9">
        <v>5046800</v>
      </c>
      <c r="M20" s="9">
        <v>9352020</v>
      </c>
      <c r="N20" s="9">
        <v>9213620</v>
      </c>
      <c r="O20" s="9">
        <v>10201559</v>
      </c>
      <c r="P20" s="9">
        <v>2851539</v>
      </c>
      <c r="Q20" s="9">
        <v>2851539</v>
      </c>
      <c r="R20" s="9">
        <v>1078000</v>
      </c>
      <c r="S20" s="49">
        <f>9352020+462000</f>
        <v>9814020</v>
      </c>
      <c r="T20" s="49">
        <f>9352020+462000</f>
        <v>9814020</v>
      </c>
      <c r="U20" s="49">
        <f>9352020+462000</f>
        <v>9814020</v>
      </c>
    </row>
    <row r="21" spans="2:21" ht="13" customHeight="1" x14ac:dyDescent="0.35">
      <c r="B21" s="31">
        <v>20</v>
      </c>
      <c r="C21" s="36" t="s">
        <v>36</v>
      </c>
      <c r="D21" s="27" t="s">
        <v>83</v>
      </c>
      <c r="E21" s="22" t="s">
        <v>37</v>
      </c>
      <c r="F21" s="45" t="s">
        <v>12</v>
      </c>
      <c r="G21" s="8"/>
      <c r="H21" s="8"/>
      <c r="I21" s="8"/>
      <c r="J21" s="9">
        <v>2411200</v>
      </c>
      <c r="K21" s="9">
        <v>2192000</v>
      </c>
      <c r="L21" s="9">
        <v>2411200</v>
      </c>
      <c r="M21" s="9">
        <v>2411200</v>
      </c>
      <c r="N21" s="9">
        <v>2301600</v>
      </c>
      <c r="O21" s="9">
        <v>2411200</v>
      </c>
      <c r="P21" s="49">
        <v>2411200</v>
      </c>
      <c r="Q21" s="49">
        <v>2411200</v>
      </c>
      <c r="R21" s="49">
        <v>2411200</v>
      </c>
      <c r="S21" s="49">
        <v>2411200</v>
      </c>
      <c r="T21" s="49">
        <v>2411200</v>
      </c>
      <c r="U21" s="49">
        <v>2411200</v>
      </c>
    </row>
    <row r="22" spans="2:21" ht="13" customHeight="1" x14ac:dyDescent="0.35">
      <c r="B22" s="31">
        <v>21</v>
      </c>
      <c r="C22" s="36" t="s">
        <v>38</v>
      </c>
      <c r="D22" s="27" t="s">
        <v>83</v>
      </c>
      <c r="E22" s="24" t="s">
        <v>39</v>
      </c>
      <c r="F22" s="45" t="s">
        <v>12</v>
      </c>
      <c r="G22" s="48"/>
      <c r="H22" s="48"/>
      <c r="I22" s="48"/>
      <c r="J22" s="48"/>
      <c r="K22" s="48"/>
      <c r="L22" s="48"/>
      <c r="M22" s="9">
        <v>1787077</v>
      </c>
      <c r="N22" s="9">
        <v>1787077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</row>
    <row r="23" spans="2:21" ht="13" customHeight="1" x14ac:dyDescent="0.35">
      <c r="B23" s="31">
        <v>22</v>
      </c>
      <c r="C23" s="36" t="s">
        <v>40</v>
      </c>
      <c r="D23" s="27" t="s">
        <v>83</v>
      </c>
      <c r="E23" s="24" t="s">
        <v>41</v>
      </c>
      <c r="F23" s="45" t="s">
        <v>12</v>
      </c>
      <c r="G23" s="48"/>
      <c r="H23" s="48"/>
      <c r="I23" s="48"/>
      <c r="J23" s="48"/>
      <c r="K23" s="48"/>
      <c r="L23" s="9">
        <v>616000</v>
      </c>
      <c r="M23" s="9">
        <v>616000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</row>
    <row r="24" spans="2:21" ht="13" customHeight="1" x14ac:dyDescent="0.35">
      <c r="B24" s="31">
        <v>23</v>
      </c>
      <c r="C24" s="36" t="s">
        <v>58</v>
      </c>
      <c r="D24" s="27" t="s">
        <v>83</v>
      </c>
      <c r="E24" s="22" t="s">
        <v>32</v>
      </c>
      <c r="F24" s="45" t="s">
        <v>12</v>
      </c>
      <c r="G24" s="9"/>
      <c r="H24" s="9"/>
      <c r="I24" s="9"/>
      <c r="J24" s="9">
        <v>462000</v>
      </c>
      <c r="K24" s="9">
        <v>420000</v>
      </c>
      <c r="L24" s="9">
        <v>462000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</row>
    <row r="25" spans="2:21" ht="13" customHeight="1" x14ac:dyDescent="0.35">
      <c r="B25" s="31">
        <v>24</v>
      </c>
      <c r="C25" s="36" t="s">
        <v>59</v>
      </c>
      <c r="D25" s="27" t="s">
        <v>83</v>
      </c>
      <c r="E25" s="22" t="s">
        <v>32</v>
      </c>
      <c r="F25" s="45" t="s">
        <v>12</v>
      </c>
      <c r="G25" s="48"/>
      <c r="H25" s="48"/>
      <c r="I25" s="48"/>
      <c r="J25" s="9">
        <v>3564000</v>
      </c>
      <c r="K25" s="9">
        <v>3240000</v>
      </c>
      <c r="L25" s="9">
        <v>3564000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</row>
    <row r="26" spans="2:21" ht="13" customHeight="1" x14ac:dyDescent="0.35">
      <c r="B26" s="31">
        <v>25</v>
      </c>
      <c r="C26" s="36" t="s">
        <v>60</v>
      </c>
      <c r="D26" s="27" t="s">
        <v>83</v>
      </c>
      <c r="E26" s="22" t="s">
        <v>32</v>
      </c>
      <c r="F26" s="45" t="s">
        <v>12</v>
      </c>
      <c r="G26" s="48"/>
      <c r="H26" s="48"/>
      <c r="I26" s="48"/>
      <c r="J26" s="9">
        <v>1760000</v>
      </c>
      <c r="K26" s="9">
        <v>1600000</v>
      </c>
      <c r="L26" s="9">
        <v>1760000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</row>
    <row r="27" spans="2:21" ht="13" customHeight="1" x14ac:dyDescent="0.35">
      <c r="B27" s="31">
        <v>26</v>
      </c>
      <c r="C27" s="36" t="s">
        <v>56</v>
      </c>
      <c r="D27" s="27" t="s">
        <v>83</v>
      </c>
      <c r="E27" s="22" t="s">
        <v>19</v>
      </c>
      <c r="F27" s="45" t="s">
        <v>6</v>
      </c>
      <c r="G27" s="9"/>
      <c r="H27" s="9"/>
      <c r="I27" s="9"/>
      <c r="J27" s="9">
        <v>493168.94</v>
      </c>
      <c r="K27" s="9">
        <v>493168.94</v>
      </c>
      <c r="L27" s="9">
        <v>616461.18000000005</v>
      </c>
      <c r="M27" s="9">
        <v>493168.94</v>
      </c>
      <c r="N27" s="9">
        <v>493168.94</v>
      </c>
      <c r="O27" s="40"/>
      <c r="P27" s="40"/>
      <c r="Q27" s="40"/>
      <c r="R27" s="40"/>
      <c r="S27" s="40"/>
      <c r="T27" s="40"/>
      <c r="U27" s="40"/>
    </row>
    <row r="28" spans="2:21" ht="13" customHeight="1" x14ac:dyDescent="0.3">
      <c r="B28" s="31">
        <v>27</v>
      </c>
      <c r="C28" s="36" t="s">
        <v>57</v>
      </c>
      <c r="D28" s="27" t="s">
        <v>83</v>
      </c>
      <c r="E28" s="22" t="s">
        <v>19</v>
      </c>
      <c r="F28" s="45" t="s">
        <v>6</v>
      </c>
      <c r="G28" s="50"/>
      <c r="H28" s="50"/>
      <c r="I28" s="50"/>
      <c r="J28" s="9">
        <v>616000</v>
      </c>
      <c r="K28" s="9">
        <v>560000</v>
      </c>
      <c r="L28" s="9">
        <v>616000</v>
      </c>
      <c r="M28" s="9">
        <v>616000</v>
      </c>
      <c r="N28" s="9">
        <v>588000</v>
      </c>
      <c r="O28" s="9">
        <v>616000</v>
      </c>
      <c r="P28" s="9">
        <v>644000</v>
      </c>
      <c r="Q28" s="9">
        <v>588000</v>
      </c>
      <c r="R28" s="9">
        <v>616000</v>
      </c>
      <c r="S28" s="9">
        <v>616000</v>
      </c>
      <c r="T28" s="9">
        <v>588000</v>
      </c>
      <c r="U28" s="9">
        <v>644000</v>
      </c>
    </row>
    <row r="29" spans="2:21" ht="13" customHeight="1" x14ac:dyDescent="0.3">
      <c r="B29" s="31">
        <v>28</v>
      </c>
      <c r="C29" s="36" t="s">
        <v>61</v>
      </c>
      <c r="D29" s="27" t="s">
        <v>83</v>
      </c>
      <c r="E29" s="22" t="s">
        <v>63</v>
      </c>
      <c r="F29" s="45" t="s">
        <v>6</v>
      </c>
      <c r="G29" s="50"/>
      <c r="H29" s="50"/>
      <c r="I29" s="50"/>
      <c r="J29" s="50"/>
      <c r="K29" s="9">
        <v>800000</v>
      </c>
      <c r="L29" s="9">
        <v>880000</v>
      </c>
      <c r="M29" s="9">
        <v>880000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</row>
    <row r="30" spans="2:21" ht="13" customHeight="1" x14ac:dyDescent="0.3">
      <c r="B30" s="31">
        <v>29</v>
      </c>
      <c r="C30" s="36" t="s">
        <v>62</v>
      </c>
      <c r="D30" s="27" t="s">
        <v>83</v>
      </c>
      <c r="E30" s="22" t="s">
        <v>19</v>
      </c>
      <c r="F30" s="45" t="s">
        <v>6</v>
      </c>
      <c r="G30" s="50"/>
      <c r="H30" s="50"/>
      <c r="I30" s="50"/>
      <c r="J30" s="9">
        <v>420000</v>
      </c>
      <c r="K30" s="9">
        <v>420000</v>
      </c>
      <c r="L30" s="9">
        <v>462000</v>
      </c>
      <c r="M30" s="9">
        <v>462000</v>
      </c>
      <c r="N30" s="9">
        <v>441000</v>
      </c>
      <c r="O30" s="9">
        <v>462000</v>
      </c>
      <c r="P30" s="9">
        <v>483000</v>
      </c>
      <c r="Q30" s="9">
        <v>441000</v>
      </c>
      <c r="R30" s="9">
        <v>462000</v>
      </c>
      <c r="S30" s="9">
        <v>462000</v>
      </c>
      <c r="T30" s="9">
        <v>441000</v>
      </c>
      <c r="U30" s="9">
        <v>483000</v>
      </c>
    </row>
    <row r="31" spans="2:21" ht="13" customHeight="1" x14ac:dyDescent="0.35">
      <c r="B31" s="31">
        <v>30</v>
      </c>
      <c r="C31" s="36" t="s">
        <v>42</v>
      </c>
      <c r="D31" s="27" t="s">
        <v>83</v>
      </c>
      <c r="E31" s="22" t="s">
        <v>34</v>
      </c>
      <c r="F31" s="45" t="s">
        <v>12</v>
      </c>
      <c r="G31" s="8"/>
      <c r="H31" s="8"/>
      <c r="I31" s="8"/>
      <c r="J31" s="9">
        <v>462000</v>
      </c>
      <c r="K31" s="9">
        <v>420000</v>
      </c>
      <c r="L31" s="9">
        <v>462000</v>
      </c>
      <c r="M31" s="9">
        <v>462000</v>
      </c>
      <c r="N31" s="9">
        <v>441000</v>
      </c>
      <c r="O31" s="9">
        <v>462000</v>
      </c>
      <c r="P31" s="49">
        <v>462000</v>
      </c>
      <c r="Q31" s="49">
        <v>462000</v>
      </c>
      <c r="R31" s="49">
        <v>462000</v>
      </c>
      <c r="S31" s="49">
        <v>0</v>
      </c>
      <c r="T31" s="49">
        <v>0</v>
      </c>
      <c r="U31" s="49">
        <v>0</v>
      </c>
    </row>
    <row r="32" spans="2:21" ht="13" customHeight="1" x14ac:dyDescent="0.35">
      <c r="B32" s="31">
        <v>31</v>
      </c>
      <c r="C32" s="37" t="s">
        <v>43</v>
      </c>
      <c r="D32" s="27" t="s">
        <v>83</v>
      </c>
      <c r="E32" s="22" t="s">
        <v>44</v>
      </c>
      <c r="F32" s="45" t="s">
        <v>45</v>
      </c>
      <c r="G32" s="48"/>
      <c r="H32" s="48"/>
      <c r="I32" s="48"/>
      <c r="J32" s="51">
        <v>616000</v>
      </c>
      <c r="K32" s="51">
        <v>616000</v>
      </c>
      <c r="L32" s="51">
        <v>616000</v>
      </c>
      <c r="M32" s="51">
        <v>500923</v>
      </c>
      <c r="N32" s="51">
        <v>500923</v>
      </c>
      <c r="O32" s="51">
        <v>500923</v>
      </c>
      <c r="P32" s="51">
        <v>500923</v>
      </c>
      <c r="Q32" s="51">
        <v>500923</v>
      </c>
      <c r="R32" s="51">
        <v>500923</v>
      </c>
      <c r="S32" s="51">
        <v>500923</v>
      </c>
      <c r="T32" s="51">
        <v>500923</v>
      </c>
      <c r="U32" s="51">
        <v>500923</v>
      </c>
    </row>
    <row r="33" spans="2:21" ht="13" customHeight="1" x14ac:dyDescent="0.35">
      <c r="B33" s="31">
        <v>32</v>
      </c>
      <c r="C33" s="36" t="s">
        <v>46</v>
      </c>
      <c r="D33" s="27" t="s">
        <v>83</v>
      </c>
      <c r="E33" s="22" t="s">
        <v>47</v>
      </c>
      <c r="F33" s="45" t="s">
        <v>45</v>
      </c>
      <c r="G33" s="48"/>
      <c r="H33" s="48"/>
      <c r="I33" s="48"/>
      <c r="J33" s="51">
        <v>9290908</v>
      </c>
      <c r="K33" s="51">
        <v>9290908</v>
      </c>
      <c r="L33" s="51">
        <v>9290908</v>
      </c>
      <c r="M33" s="51">
        <v>866461</v>
      </c>
      <c r="N33" s="9">
        <v>1475692</v>
      </c>
      <c r="O33" s="9">
        <v>1800615</v>
      </c>
      <c r="P33" s="49">
        <v>1218462</v>
      </c>
      <c r="Q33" s="49">
        <f>P33</f>
        <v>1218462</v>
      </c>
      <c r="R33" s="49">
        <f>P33</f>
        <v>1218462</v>
      </c>
      <c r="S33" s="49">
        <f>P33</f>
        <v>1218462</v>
      </c>
      <c r="T33" s="49">
        <f>P33</f>
        <v>1218462</v>
      </c>
      <c r="U33" s="49">
        <f>P33</f>
        <v>1218462</v>
      </c>
    </row>
    <row r="34" spans="2:21" ht="13" customHeight="1" x14ac:dyDescent="0.35">
      <c r="B34" s="31">
        <v>33</v>
      </c>
      <c r="C34" s="36" t="s">
        <v>48</v>
      </c>
      <c r="D34" s="27" t="s">
        <v>83</v>
      </c>
      <c r="E34" s="24" t="s">
        <v>49</v>
      </c>
      <c r="F34" s="45" t="s">
        <v>45</v>
      </c>
      <c r="G34" s="52"/>
      <c r="H34" s="52"/>
      <c r="I34" s="52"/>
      <c r="J34" s="52"/>
      <c r="K34" s="52"/>
      <c r="L34" s="52"/>
      <c r="M34" s="51">
        <v>1353846</v>
      </c>
      <c r="N34" s="9">
        <v>1986461</v>
      </c>
      <c r="O34" s="9">
        <v>2585846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</row>
    <row r="35" spans="2:21" ht="22.5" customHeight="1" x14ac:dyDescent="0.35">
      <c r="B35" s="31">
        <v>34</v>
      </c>
      <c r="C35" s="36" t="s">
        <v>76</v>
      </c>
      <c r="D35" s="27" t="s">
        <v>83</v>
      </c>
      <c r="E35" s="24" t="s">
        <v>65</v>
      </c>
      <c r="F35" s="45" t="s">
        <v>45</v>
      </c>
      <c r="G35" s="52"/>
      <c r="H35" s="52"/>
      <c r="I35" s="52"/>
      <c r="J35" s="52"/>
      <c r="K35" s="52"/>
      <c r="L35" s="52"/>
      <c r="M35" s="48"/>
      <c r="N35" s="13"/>
      <c r="O35" s="9">
        <v>500923</v>
      </c>
      <c r="P35" s="9">
        <v>500923</v>
      </c>
      <c r="Q35" s="9">
        <v>500923</v>
      </c>
      <c r="R35" s="9">
        <v>500923</v>
      </c>
      <c r="S35" s="48"/>
      <c r="T35" s="48"/>
      <c r="U35" s="48"/>
    </row>
    <row r="36" spans="2:21" ht="22.5" customHeight="1" x14ac:dyDescent="0.35">
      <c r="B36" s="31">
        <v>35</v>
      </c>
      <c r="C36" s="36" t="s">
        <v>75</v>
      </c>
      <c r="D36" s="27" t="s">
        <v>83</v>
      </c>
      <c r="E36" s="24" t="s">
        <v>63</v>
      </c>
      <c r="F36" s="45" t="s">
        <v>6</v>
      </c>
      <c r="G36" s="52"/>
      <c r="H36" s="52"/>
      <c r="I36" s="52"/>
      <c r="J36" s="52"/>
      <c r="K36" s="52"/>
      <c r="L36" s="52"/>
      <c r="M36" s="48"/>
      <c r="N36" s="18">
        <v>500923</v>
      </c>
      <c r="O36" s="14"/>
      <c r="P36" s="14"/>
      <c r="Q36" s="14"/>
      <c r="R36" s="14"/>
      <c r="S36" s="14"/>
      <c r="T36" s="48"/>
      <c r="U36" s="48"/>
    </row>
    <row r="37" spans="2:21" ht="22.5" customHeight="1" x14ac:dyDescent="0.3">
      <c r="B37" s="31">
        <v>36</v>
      </c>
      <c r="C37" s="38" t="s">
        <v>77</v>
      </c>
      <c r="D37" s="27" t="s">
        <v>83</v>
      </c>
      <c r="E37" s="24" t="s">
        <v>78</v>
      </c>
      <c r="F37" s="45" t="s">
        <v>45</v>
      </c>
      <c r="G37" s="53"/>
      <c r="H37" s="52"/>
      <c r="I37" s="52"/>
      <c r="J37" s="52"/>
      <c r="K37" s="52"/>
      <c r="L37" s="52"/>
      <c r="M37" s="48"/>
      <c r="N37" s="14"/>
      <c r="O37" s="18">
        <v>500923</v>
      </c>
      <c r="P37" s="18">
        <v>500923</v>
      </c>
      <c r="Q37" s="18">
        <v>500923</v>
      </c>
      <c r="R37" s="18">
        <v>500923</v>
      </c>
      <c r="S37" s="18">
        <v>500923</v>
      </c>
      <c r="T37" s="18">
        <v>500923</v>
      </c>
      <c r="U37" s="18">
        <v>500923</v>
      </c>
    </row>
    <row r="38" spans="2:21" ht="13" customHeight="1" x14ac:dyDescent="0.35">
      <c r="B38" s="31">
        <v>37</v>
      </c>
      <c r="C38" s="36" t="s">
        <v>74</v>
      </c>
      <c r="D38" s="27" t="s">
        <v>83</v>
      </c>
      <c r="E38" s="22" t="s">
        <v>63</v>
      </c>
      <c r="F38" s="45" t="s">
        <v>6</v>
      </c>
      <c r="G38" s="8"/>
      <c r="H38" s="8"/>
      <c r="I38" s="8"/>
      <c r="J38" s="52"/>
      <c r="K38" s="52"/>
      <c r="L38" s="52"/>
      <c r="M38" s="48"/>
      <c r="N38" s="48"/>
      <c r="O38" s="18">
        <v>500923</v>
      </c>
      <c r="P38" s="14"/>
      <c r="Q38" s="14"/>
      <c r="R38" s="14"/>
      <c r="S38" s="14"/>
      <c r="T38" s="48"/>
      <c r="U38" s="48"/>
    </row>
    <row r="39" spans="2:21" ht="13" customHeight="1" x14ac:dyDescent="0.35">
      <c r="B39" s="31">
        <v>38</v>
      </c>
      <c r="C39" s="37" t="s">
        <v>79</v>
      </c>
      <c r="D39" s="27" t="s">
        <v>84</v>
      </c>
      <c r="E39" s="22" t="s">
        <v>80</v>
      </c>
      <c r="F39" s="45" t="s">
        <v>6</v>
      </c>
      <c r="G39" s="54">
        <v>3846461.5384615385</v>
      </c>
      <c r="H39" s="54">
        <v>5535692.307692308</v>
      </c>
      <c r="I39" s="54">
        <v>3222769.230769231</v>
      </c>
      <c r="J39" s="51">
        <v>1062115.3846153847</v>
      </c>
      <c r="K39" s="51">
        <v>1062115.3846153847</v>
      </c>
      <c r="L39" s="51">
        <v>1062115.3846153847</v>
      </c>
      <c r="M39" s="51">
        <v>1062115.3846153847</v>
      </c>
      <c r="N39" s="51">
        <v>1062115.3846153847</v>
      </c>
      <c r="O39" s="51">
        <v>1062115.3846153847</v>
      </c>
      <c r="P39" s="51">
        <v>1062115.3846153847</v>
      </c>
      <c r="Q39" s="51">
        <v>1062115.3846153847</v>
      </c>
      <c r="R39" s="51">
        <v>1062115.3846153847</v>
      </c>
      <c r="S39" s="51">
        <v>1062115.3846153847</v>
      </c>
      <c r="T39" s="51">
        <v>1062115.3846153847</v>
      </c>
      <c r="U39" s="51">
        <v>1062115.3846153847</v>
      </c>
    </row>
    <row r="40" spans="2:21" ht="13" customHeight="1" thickBot="1" x14ac:dyDescent="0.4">
      <c r="B40" s="31">
        <v>39</v>
      </c>
      <c r="C40" s="39" t="s">
        <v>82</v>
      </c>
      <c r="D40" s="28" t="s">
        <v>84</v>
      </c>
      <c r="E40" s="22" t="s">
        <v>81</v>
      </c>
      <c r="F40" s="45" t="s">
        <v>12</v>
      </c>
      <c r="G40" s="53"/>
      <c r="H40" s="53"/>
      <c r="I40" s="53"/>
      <c r="J40" s="51">
        <v>1230769.2307692308</v>
      </c>
      <c r="K40" s="51">
        <v>923076.92307692312</v>
      </c>
      <c r="L40" s="51">
        <v>923076.92307692312</v>
      </c>
      <c r="M40" s="51">
        <v>955384.61538461538</v>
      </c>
      <c r="N40" s="51">
        <v>415384.61538461538</v>
      </c>
      <c r="O40" s="51">
        <v>456923.07692307694</v>
      </c>
      <c r="P40" s="49">
        <v>456923.07692307694</v>
      </c>
      <c r="Q40" s="49">
        <v>456923.07692307694</v>
      </c>
      <c r="R40" s="49">
        <v>456923.07692307694</v>
      </c>
      <c r="S40" s="48">
        <v>0</v>
      </c>
      <c r="T40" s="48">
        <v>0</v>
      </c>
      <c r="U40" s="48">
        <v>0</v>
      </c>
    </row>
    <row r="41" spans="2:21" x14ac:dyDescent="0.35"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</row>
  </sheetData>
  <sheetProtection formatCells="0" formatColumns="0" formatRows="0" sort="0" autoFilter="0"/>
  <autoFilter ref="A1:U40" xr:uid="{00000000-0001-0000-0000-000000000000}"/>
  <conditionalFormatting sqref="C3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2026-06-26T06:50:10Z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