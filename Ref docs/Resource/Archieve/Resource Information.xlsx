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"/>
    </mc:Choice>
  </mc:AlternateContent>
  <xr:revisionPtr revIDLastSave="23" documentId="13_ncr:1_{CA1DD370-0662-49C9-B33F-52F3C5116C2D}" xr6:coauthVersionLast="47" xr6:coauthVersionMax="47" xr10:uidLastSave="{9C89490D-EA69-450E-98DA-9F5362F28818}"/>
  <bookViews>
    <workbookView xWindow="-110" yWindow="-110" windowWidth="19420" windowHeight="11500" xr2:uid="{00000000-000D-0000-FFFF-FFFF00000000}"/>
  </bookViews>
  <sheets>
    <sheet name="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D17" i="1"/>
  <c r="D16" i="1"/>
  <c r="D15" i="1"/>
  <c r="D14" i="1"/>
  <c r="D13" i="1"/>
  <c r="D12" i="1"/>
  <c r="D11" i="1"/>
</calcChain>
</file>

<file path=xl/sharedStrings.xml><?xml version="1.0" encoding="utf-8"?>
<sst xmlns="http://schemas.openxmlformats.org/spreadsheetml/2006/main" count="230" uniqueCount="73">
  <si>
    <t>S.NO</t>
  </si>
  <si>
    <t>RA ID</t>
  </si>
  <si>
    <t>PIW Role</t>
  </si>
  <si>
    <t>Role/Domain</t>
  </si>
  <si>
    <t>Previous Workex</t>
  </si>
  <si>
    <t>DOJ</t>
  </si>
  <si>
    <t>Total Workex</t>
  </si>
  <si>
    <t>Skills</t>
  </si>
  <si>
    <t>1</t>
  </si>
  <si>
    <t>John Doe</t>
  </si>
  <si>
    <t>john.doe@example.com</t>
  </si>
  <si>
    <t>Developer</t>
  </si>
  <si>
    <t>Full Stack Developer</t>
  </si>
  <si>
    <t>5 years</t>
  </si>
  <si>
    <t>2024-01-15</t>
  </si>
  <si>
    <t>8 years</t>
  </si>
  <si>
    <t>Java, Spring Boot, React, Node.js</t>
  </si>
  <si>
    <t>GCC Engineer</t>
  </si>
  <si>
    <t>GCC Sr. Engineer</t>
  </si>
  <si>
    <t>Data Engineer</t>
  </si>
  <si>
    <t xml:space="preserve">Adabala Satyaram   </t>
  </si>
  <si>
    <t>Satyaram.Adabala@rockwellautomation.com</t>
  </si>
  <si>
    <t>Scrum</t>
  </si>
  <si>
    <t>Agile Methodology, Azure Devops, Customer Success Management (CSM), Project Management, Scrum Methodology, Support Management, Support Team Management</t>
  </si>
  <si>
    <t xml:space="preserve">Adith Suresh   </t>
  </si>
  <si>
    <t>Adith.Suresh@rockwellautomation.com</t>
  </si>
  <si>
    <t>DevOps, MySQL, Software Development, Solution Implementation</t>
  </si>
  <si>
    <t>Aayush  Agarwal</t>
  </si>
  <si>
    <t>Aayush.Agarwal@rockwellautomation.com</t>
  </si>
  <si>
    <t>Devops</t>
  </si>
  <si>
    <t xml:space="preserve">Abe Kuriachan   </t>
  </si>
  <si>
    <t>Abe.Kuriachan@rockwellautomation.com</t>
  </si>
  <si>
    <t>Implementation</t>
  </si>
  <si>
    <t>Abhijeet  Anand</t>
  </si>
  <si>
    <t>ABHIJEET.ANAND@rockwellautomation.com</t>
  </si>
  <si>
    <t>UI</t>
  </si>
  <si>
    <t>AngularJS, Python (Programming Language), React Redux, React.js</t>
  </si>
  <si>
    <t>Abhijith M S</t>
  </si>
  <si>
    <t>Abhijith.MS@rockwellautomation.com</t>
  </si>
  <si>
    <t xml:space="preserve">Abhishek Kurup   </t>
  </si>
  <si>
    <t>Abhishek.Kurup@rockwellautomation.com</t>
  </si>
  <si>
    <t>RA Funct| Fine Tuning Large Language Models, RA Funct| Prompt Engineering, RA IT| Amazon DynamoDB, RA IT| Amazon EMR, RA IT| Apache Airflow, RA IT| Azure Cognitive Services, RA IT| Azure Cosmos DB, RA IT| Azure Databricks, RA IT| Azure OpenAI Service, RA IT| Azure Synapse Analytics, RA IT| BERT / GPT models, RA IT| ChatGPT, RA IT| Databricks, RA IT| Databricks Lakehouse, RA IT| Databricks Runtime, RA IT| Delta Lake, RA IT| FastAPI, RA IT| Flask, RA IT| GCP Vertex AI, RA IT| Gemini (Google DeepMind), RA IT| Jupyter Notebooks, RA IT| KubeFlow, RA IT| Kubernetes, RA IT| LangChain, RA IT| OpenAI API, RA IT| OpenAI GPT-4, RA IT| Postgres, RA IT| RAG (Retrieval-Augmented Generation), RA IT| Reidis, RA IT| Streamlit, RA IT| Vector Databases (e.g., FAISS, Milvus, Pinecone)</t>
  </si>
  <si>
    <t>Abhishek Nayak U</t>
  </si>
  <si>
    <t>Abhishek.U@rockwellautomation.com</t>
  </si>
  <si>
    <t>Current Engagement</t>
  </si>
  <si>
    <t>Project ABC</t>
  </si>
  <si>
    <t>Project MNO</t>
  </si>
  <si>
    <t>Bench</t>
  </si>
  <si>
    <t xml:space="preserve">Smitha N   </t>
  </si>
  <si>
    <t>Sneha Manjunath Hegde</t>
  </si>
  <si>
    <t>Backend</t>
  </si>
  <si>
    <t xml:space="preserve">Somappa S   </t>
  </si>
  <si>
    <t>Somnath Paul</t>
  </si>
  <si>
    <t xml:space="preserve">Sonali Sahu   </t>
  </si>
  <si>
    <t>Data Science</t>
  </si>
  <si>
    <t xml:space="preserve">Sreejith Joseph   </t>
  </si>
  <si>
    <t xml:space="preserve">Sreelekshmi Sunish   </t>
  </si>
  <si>
    <t xml:space="preserve">Srinivasula Krishna Chaitanya  </t>
  </si>
  <si>
    <t>KrishnaChaitanya.Srinivasula@rockwellautomation.com</t>
  </si>
  <si>
    <t>QA</t>
  </si>
  <si>
    <t xml:space="preserve">Sruthilakshmi K G  </t>
  </si>
  <si>
    <t xml:space="preserve">Subash Soundarapandian   </t>
  </si>
  <si>
    <t xml:space="preserve">Sudhakar Srinivasan   </t>
  </si>
  <si>
    <t xml:space="preserve">Sudhi Prasad   </t>
  </si>
  <si>
    <t xml:space="preserve">Sukhwinder Singh   </t>
  </si>
  <si>
    <t>Sumit Pradip Kurkure</t>
  </si>
  <si>
    <t xml:space="preserve">Suneel Rathod   </t>
  </si>
  <si>
    <t xml:space="preserve">Suparna BK   </t>
  </si>
  <si>
    <t xml:space="preserve">Surya Kumar Gupta  </t>
  </si>
  <si>
    <t>GCC Project Manager</t>
  </si>
  <si>
    <t>Project Manager</t>
  </si>
  <si>
    <t>Employee 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</si>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</sst>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dotted">
        <color indexed="64"/>
      </right>
      <top/>
      <bottom style="dotted">
        <color auto="1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 applyProtection="1">
      <alignment horizontal="center" vertical="top"/>
      <protection locked="0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left" readingOrder="1"/>
    </xf>
    <xf numFmtId="0" fontId="2" fillId="2" borderId="2" xfId="0" applyFont="1" applyFill="1" applyBorder="1" applyAlignment="1">
      <alignment horizontal="left" vertical="center" readingOrder="1"/>
    </xf>
    <xf numFmtId="0" fontId="1" fillId="0" borderId="2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left" readingOrder="1"/>
    </xf>
    <xf numFmtId="0" fontId="4" fillId="2" borderId="2" xfId="1" applyFill="1" applyBorder="1" applyAlignment="1">
      <alignment horizontal="left" vertical="center" readingOrder="1"/>
    </xf>
    <xf numFmtId="0" fontId="2" fillId="2" borderId="6" xfId="0" applyFont="1" applyFill="1" applyBorder="1" applyAlignment="1">
      <alignment horizontal="left" readingOrder="1"/>
    </xf>
  </cellXfs>
  <cellStyles count="2">
    <cellStyle name="Hyperlink" xfId="1" builtinId="8"/>
    <cellStyle name="Normal" xfId="0" builtinId="0"/>
  </cellStyles>
  <dxfs count="1">
    <dxf>
      <font>
        <color theme="5" tint="-0.24994659260841701"/>
      </font>
      <fill>
        <patternFill>
          <bgColor theme="7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rishnaChaitanya.Srinivasula@rockwellautom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C1" workbookViewId="0">
      <selection activeCell="G2" sqref="G2"/>
    </sheetView>
  </sheetViews>
  <sheetFormatPr defaultRowHeight="15.5" x14ac:dyDescent="0.35"/>
  <cols>
    <col min="1" max="1" width="8.83203125" style="7" customWidth="1"/>
    <col min="2" max="2" width="12.83203125" customWidth="1"/>
    <col min="3" max="3" width="20.83203125" customWidth="1"/>
    <col min="4" max="4" width="25.83203125" customWidth="1"/>
    <col min="5" max="5" width="15.83203125" customWidth="1"/>
    <col min="6" max="6" width="20.83203125" customWidth="1"/>
    <col min="7" max="9" width="15.83203125" customWidth="1"/>
    <col min="10" max="10" width="22.5" customWidth="1"/>
    <col min="11" max="11" width="40.83203125" customWidth="1"/>
  </cols>
  <sheetData>
    <row r="1" spans="1:11" x14ac:dyDescent="0.35">
      <c r="A1" s="7" t="s">
        <v>0</v>
      </c>
      <c r="B1" t="s">
        <v>1</v>
      </c>
      <c r="C1" t="s">
        <v>71</v>
      </c>
      <c r="D1" t="s">
        <v>72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44</v>
      </c>
      <c r="K1" t="s">
        <v>7</v>
      </c>
    </row>
    <row r="2" spans="1:11" x14ac:dyDescent="0.35">
      <c r="A2" s="7" t="s">
        <v>8</v>
      </c>
      <c r="B2" s="2">
        <v>90719012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45</v>
      </c>
      <c r="K2" t="s">
        <v>16</v>
      </c>
    </row>
    <row r="3" spans="1:11" s="6" customFormat="1" ht="14.5" customHeight="1" x14ac:dyDescent="0.35">
      <c r="A3" s="1">
        <v>2</v>
      </c>
      <c r="B3" s="2">
        <v>90719011</v>
      </c>
      <c r="C3" s="3" t="s">
        <v>20</v>
      </c>
      <c r="D3" s="4" t="s">
        <v>21</v>
      </c>
      <c r="E3" s="2" t="s">
        <v>18</v>
      </c>
      <c r="F3" s="2" t="s">
        <v>22</v>
      </c>
      <c r="G3" t="s">
        <v>13</v>
      </c>
      <c r="H3" t="s">
        <v>14</v>
      </c>
      <c r="I3" t="s">
        <v>13</v>
      </c>
      <c r="J3" t="s">
        <v>46</v>
      </c>
      <c r="K3" s="5" t="s">
        <v>23</v>
      </c>
    </row>
    <row r="4" spans="1:11" s="6" customFormat="1" ht="14.5" customHeight="1" x14ac:dyDescent="0.35">
      <c r="A4" s="7">
        <v>3</v>
      </c>
      <c r="B4" s="2">
        <v>90719536</v>
      </c>
      <c r="C4" s="3" t="s">
        <v>24</v>
      </c>
      <c r="D4" s="4" t="s">
        <v>25</v>
      </c>
      <c r="E4" s="2" t="s">
        <v>17</v>
      </c>
      <c r="F4" s="2" t="s">
        <v>19</v>
      </c>
      <c r="G4" t="s">
        <v>13</v>
      </c>
      <c r="H4" t="s">
        <v>14</v>
      </c>
      <c r="I4" t="s">
        <v>13</v>
      </c>
      <c r="J4" t="s">
        <v>46</v>
      </c>
      <c r="K4" s="5" t="s">
        <v>26</v>
      </c>
    </row>
    <row r="5" spans="1:11" s="6" customFormat="1" ht="14.5" customHeight="1" x14ac:dyDescent="0.35">
      <c r="A5" s="1">
        <v>4</v>
      </c>
      <c r="B5" s="2">
        <v>90719506</v>
      </c>
      <c r="C5" s="3" t="s">
        <v>27</v>
      </c>
      <c r="D5" s="4" t="s">
        <v>28</v>
      </c>
      <c r="E5" s="2" t="s">
        <v>17</v>
      </c>
      <c r="F5" s="2" t="s">
        <v>29</v>
      </c>
      <c r="G5" t="s">
        <v>13</v>
      </c>
      <c r="H5" t="s">
        <v>14</v>
      </c>
      <c r="I5" t="s">
        <v>13</v>
      </c>
      <c r="J5" t="s">
        <v>47</v>
      </c>
      <c r="K5" s="5" t="s">
        <v>26</v>
      </c>
    </row>
    <row r="6" spans="1:11" s="6" customFormat="1" ht="14.5" customHeight="1" x14ac:dyDescent="0.35">
      <c r="A6" s="7">
        <v>5</v>
      </c>
      <c r="B6" s="2">
        <v>90725469</v>
      </c>
      <c r="C6" s="3" t="s">
        <v>30</v>
      </c>
      <c r="D6" s="4" t="s">
        <v>31</v>
      </c>
      <c r="E6" s="2" t="s">
        <v>17</v>
      </c>
      <c r="F6" s="2" t="s">
        <v>32</v>
      </c>
      <c r="G6" t="s">
        <v>13</v>
      </c>
      <c r="H6" t="s">
        <v>14</v>
      </c>
      <c r="I6" t="s">
        <v>13</v>
      </c>
      <c r="J6" t="s">
        <v>45</v>
      </c>
      <c r="K6" s="5" t="s">
        <v>26</v>
      </c>
    </row>
    <row r="7" spans="1:11" s="6" customFormat="1" ht="14.5" customHeight="1" x14ac:dyDescent="0.35">
      <c r="A7" s="1">
        <v>6</v>
      </c>
      <c r="B7" s="8">
        <v>90732267</v>
      </c>
      <c r="C7" s="9" t="s">
        <v>33</v>
      </c>
      <c r="D7" s="4" t="s">
        <v>34</v>
      </c>
      <c r="E7" s="2" t="s">
        <v>17</v>
      </c>
      <c r="F7" s="2" t="s">
        <v>35</v>
      </c>
      <c r="G7" t="s">
        <v>13</v>
      </c>
      <c r="H7" t="s">
        <v>14</v>
      </c>
      <c r="I7" t="s">
        <v>13</v>
      </c>
      <c r="J7" t="s">
        <v>47</v>
      </c>
      <c r="K7" s="5" t="s">
        <v>36</v>
      </c>
    </row>
    <row r="8" spans="1:11" s="6" customFormat="1" ht="14.5" customHeight="1" x14ac:dyDescent="0.35">
      <c r="A8" s="7">
        <v>7</v>
      </c>
      <c r="B8" s="2">
        <v>90718839</v>
      </c>
      <c r="C8" s="10" t="s">
        <v>37</v>
      </c>
      <c r="D8" s="4" t="s">
        <v>38</v>
      </c>
      <c r="E8" s="2" t="s">
        <v>18</v>
      </c>
      <c r="F8" s="2" t="s">
        <v>29</v>
      </c>
      <c r="G8" t="s">
        <v>13</v>
      </c>
      <c r="H8" t="s">
        <v>14</v>
      </c>
      <c r="I8" t="s">
        <v>13</v>
      </c>
      <c r="J8" t="s">
        <v>47</v>
      </c>
      <c r="K8" s="5" t="s">
        <v>26</v>
      </c>
    </row>
    <row r="9" spans="1:11" s="6" customFormat="1" ht="14.5" customHeight="1" x14ac:dyDescent="0.35">
      <c r="A9" s="1">
        <v>8</v>
      </c>
      <c r="B9" s="2">
        <v>90719409</v>
      </c>
      <c r="C9" s="3" t="s">
        <v>39</v>
      </c>
      <c r="D9" s="4" t="s">
        <v>40</v>
      </c>
      <c r="E9" s="2" t="s">
        <v>17</v>
      </c>
      <c r="F9" s="2" t="s">
        <v>19</v>
      </c>
      <c r="G9" t="s">
        <v>13</v>
      </c>
      <c r="H9" t="s">
        <v>14</v>
      </c>
      <c r="I9" t="s">
        <v>13</v>
      </c>
      <c r="J9" t="s">
        <v>47</v>
      </c>
      <c r="K9" s="5" t="s">
        <v>41</v>
      </c>
    </row>
    <row r="10" spans="1:11" s="6" customFormat="1" ht="14.5" customHeight="1" x14ac:dyDescent="0.35">
      <c r="A10" s="7">
        <v>9</v>
      </c>
      <c r="B10" s="2">
        <v>90719874</v>
      </c>
      <c r="C10" s="3" t="s">
        <v>42</v>
      </c>
      <c r="D10" s="4" t="s">
        <v>43</v>
      </c>
      <c r="E10" s="2" t="s">
        <v>17</v>
      </c>
      <c r="F10" s="2" t="s">
        <v>35</v>
      </c>
      <c r="G10" t="s">
        <v>13</v>
      </c>
      <c r="H10" t="s">
        <v>14</v>
      </c>
      <c r="I10" t="s">
        <v>13</v>
      </c>
      <c r="J10" t="s">
        <v>47</v>
      </c>
      <c r="K10" s="5" t="s">
        <v>26</v>
      </c>
    </row>
    <row r="11" spans="1:11" s="6" customFormat="1" ht="14.5" customHeight="1" x14ac:dyDescent="0.35">
      <c r="A11" s="1">
        <v>230</v>
      </c>
      <c r="B11" s="12">
        <v>90719879</v>
      </c>
      <c r="C11" s="11" t="s">
        <v>48</v>
      </c>
      <c r="D11" s="4" t="e">
        <f>_xlfn.XLOOKUP(B11,#REF!,#REF!)</f>
        <v>#REF!</v>
      </c>
      <c r="E11" s="2" t="s">
        <v>17</v>
      </c>
      <c r="F11" s="2" t="s">
        <v>29</v>
      </c>
      <c r="G11" t="s">
        <v>13</v>
      </c>
      <c r="H11" t="s">
        <v>14</v>
      </c>
      <c r="I11" t="s">
        <v>13</v>
      </c>
      <c r="J11" t="s">
        <v>47</v>
      </c>
      <c r="K11" s="5" t="s">
        <v>41</v>
      </c>
    </row>
    <row r="12" spans="1:11" s="6" customFormat="1" ht="14.5" customHeight="1" x14ac:dyDescent="0.35">
      <c r="A12" s="1">
        <v>231</v>
      </c>
      <c r="B12" s="2">
        <v>90719913</v>
      </c>
      <c r="C12" s="13" t="s">
        <v>49</v>
      </c>
      <c r="D12" s="4" t="e">
        <f>_xlfn.XLOOKUP(B12,#REF!,#REF!)</f>
        <v>#REF!</v>
      </c>
      <c r="E12" s="2" t="s">
        <v>17</v>
      </c>
      <c r="F12" s="2" t="s">
        <v>50</v>
      </c>
      <c r="G12" t="s">
        <v>13</v>
      </c>
      <c r="H12" t="s">
        <v>14</v>
      </c>
      <c r="I12" t="s">
        <v>13</v>
      </c>
      <c r="J12" t="s">
        <v>47</v>
      </c>
      <c r="K12" s="5" t="s">
        <v>26</v>
      </c>
    </row>
    <row r="13" spans="1:11" s="6" customFormat="1" ht="14.5" customHeight="1" x14ac:dyDescent="0.35">
      <c r="A13" s="1">
        <v>232</v>
      </c>
      <c r="B13" s="2">
        <v>90719331</v>
      </c>
      <c r="C13" s="3" t="s">
        <v>51</v>
      </c>
      <c r="D13" s="4" t="e">
        <f>_xlfn.XLOOKUP(B13,#REF!,#REF!)</f>
        <v>#REF!</v>
      </c>
      <c r="E13" s="2" t="s">
        <v>18</v>
      </c>
      <c r="F13" s="2" t="s">
        <v>29</v>
      </c>
      <c r="G13" t="s">
        <v>13</v>
      </c>
      <c r="H13" t="s">
        <v>14</v>
      </c>
      <c r="I13" t="s">
        <v>13</v>
      </c>
      <c r="J13" t="s">
        <v>47</v>
      </c>
      <c r="K13" s="5" t="s">
        <v>41</v>
      </c>
    </row>
    <row r="14" spans="1:11" s="6" customFormat="1" ht="14.5" customHeight="1" x14ac:dyDescent="0.35">
      <c r="A14" s="1">
        <v>233</v>
      </c>
      <c r="B14" s="2">
        <v>90719354</v>
      </c>
      <c r="C14" s="3" t="s">
        <v>52</v>
      </c>
      <c r="D14" s="4" t="e">
        <f>_xlfn.XLOOKUP(B14,#REF!,#REF!)</f>
        <v>#REF!</v>
      </c>
      <c r="E14" s="2" t="s">
        <v>17</v>
      </c>
      <c r="F14" s="2" t="s">
        <v>19</v>
      </c>
      <c r="G14" t="s">
        <v>13</v>
      </c>
      <c r="H14" t="s">
        <v>14</v>
      </c>
      <c r="I14" t="s">
        <v>13</v>
      </c>
      <c r="J14" t="s">
        <v>47</v>
      </c>
      <c r="K14" s="5" t="s">
        <v>26</v>
      </c>
    </row>
    <row r="15" spans="1:11" s="6" customFormat="1" ht="14.5" customHeight="1" x14ac:dyDescent="0.35">
      <c r="A15" s="1">
        <v>234</v>
      </c>
      <c r="B15" s="2">
        <v>90719886</v>
      </c>
      <c r="C15" s="3" t="s">
        <v>53</v>
      </c>
      <c r="D15" s="4" t="e">
        <f>_xlfn.XLOOKUP(B15,#REF!,#REF!)</f>
        <v>#REF!</v>
      </c>
      <c r="E15" s="2" t="s">
        <v>17</v>
      </c>
      <c r="F15" s="2" t="s">
        <v>54</v>
      </c>
      <c r="G15" t="s">
        <v>13</v>
      </c>
      <c r="H15" t="s">
        <v>14</v>
      </c>
      <c r="I15" t="s">
        <v>13</v>
      </c>
      <c r="J15" t="s">
        <v>47</v>
      </c>
      <c r="K15" s="5" t="s">
        <v>41</v>
      </c>
    </row>
    <row r="16" spans="1:11" s="6" customFormat="1" ht="14.5" customHeight="1" x14ac:dyDescent="0.35">
      <c r="A16" s="1">
        <v>235</v>
      </c>
      <c r="B16" s="2">
        <v>90719975</v>
      </c>
      <c r="C16" s="3" t="s">
        <v>55</v>
      </c>
      <c r="D16" s="4" t="e">
        <f>_xlfn.XLOOKUP(B16,#REF!,#REF!)</f>
        <v>#REF!</v>
      </c>
      <c r="E16" s="2" t="s">
        <v>18</v>
      </c>
      <c r="F16" s="2" t="s">
        <v>50</v>
      </c>
      <c r="G16" t="s">
        <v>13</v>
      </c>
      <c r="H16" t="s">
        <v>14</v>
      </c>
      <c r="I16" t="s">
        <v>13</v>
      </c>
      <c r="J16" t="s">
        <v>47</v>
      </c>
      <c r="K16" s="5" t="s">
        <v>26</v>
      </c>
    </row>
    <row r="17" spans="1:11" s="6" customFormat="1" ht="14.5" customHeight="1" x14ac:dyDescent="0.35">
      <c r="A17" s="1">
        <v>236</v>
      </c>
      <c r="B17" s="2">
        <v>90719813</v>
      </c>
      <c r="C17" s="3" t="s">
        <v>56</v>
      </c>
      <c r="D17" s="4" t="e">
        <f>_xlfn.XLOOKUP(B17,#REF!,#REF!)</f>
        <v>#REF!</v>
      </c>
      <c r="E17" s="2" t="s">
        <v>17</v>
      </c>
      <c r="F17" s="2" t="s">
        <v>35</v>
      </c>
      <c r="G17" t="s">
        <v>13</v>
      </c>
      <c r="H17" t="s">
        <v>14</v>
      </c>
      <c r="I17" t="s">
        <v>13</v>
      </c>
      <c r="J17" t="s">
        <v>47</v>
      </c>
      <c r="K17" s="5" t="s">
        <v>41</v>
      </c>
    </row>
    <row r="18" spans="1:11" s="6" customFormat="1" ht="14.5" customHeight="1" x14ac:dyDescent="0.35">
      <c r="A18" s="1">
        <v>237</v>
      </c>
      <c r="B18" s="2">
        <v>90719847</v>
      </c>
      <c r="C18" s="3" t="s">
        <v>57</v>
      </c>
      <c r="D18" s="14" t="s">
        <v>58</v>
      </c>
      <c r="E18" s="2" t="s">
        <v>17</v>
      </c>
      <c r="F18" s="2" t="s">
        <v>59</v>
      </c>
      <c r="G18" t="s">
        <v>13</v>
      </c>
      <c r="H18" t="s">
        <v>14</v>
      </c>
      <c r="I18" t="s">
        <v>13</v>
      </c>
      <c r="J18" t="s">
        <v>47</v>
      </c>
      <c r="K18" s="5" t="s">
        <v>26</v>
      </c>
    </row>
    <row r="19" spans="1:11" s="6" customFormat="1" ht="14.5" customHeight="1" x14ac:dyDescent="0.35">
      <c r="A19" s="1">
        <v>238</v>
      </c>
      <c r="B19" s="2">
        <v>90719791</v>
      </c>
      <c r="C19" s="3" t="s">
        <v>60</v>
      </c>
      <c r="D19" s="4" t="e">
        <f>_xlfn.XLOOKUP(B19,#REF!,#REF!)</f>
        <v>#REF!</v>
      </c>
      <c r="E19" s="2" t="s">
        <v>17</v>
      </c>
      <c r="F19" s="2" t="s">
        <v>32</v>
      </c>
      <c r="G19" t="s">
        <v>13</v>
      </c>
      <c r="H19" t="s">
        <v>14</v>
      </c>
      <c r="I19" t="s">
        <v>13</v>
      </c>
      <c r="J19" t="s">
        <v>47</v>
      </c>
      <c r="K19" s="5" t="s">
        <v>41</v>
      </c>
    </row>
    <row r="20" spans="1:11" s="6" customFormat="1" ht="14.5" customHeight="1" x14ac:dyDescent="0.35">
      <c r="A20" s="1">
        <v>239</v>
      </c>
      <c r="B20" s="2">
        <v>90719941</v>
      </c>
      <c r="C20" s="3" t="s">
        <v>61</v>
      </c>
      <c r="D20" s="4" t="e">
        <f>_xlfn.XLOOKUP(B20,#REF!,#REF!)</f>
        <v>#REF!</v>
      </c>
      <c r="E20" s="2" t="s">
        <v>17</v>
      </c>
      <c r="F20" s="2" t="s">
        <v>35</v>
      </c>
      <c r="G20" t="s">
        <v>13</v>
      </c>
      <c r="H20" t="s">
        <v>14</v>
      </c>
      <c r="I20" t="s">
        <v>13</v>
      </c>
      <c r="J20" t="s">
        <v>47</v>
      </c>
      <c r="K20" s="5" t="s">
        <v>26</v>
      </c>
    </row>
    <row r="21" spans="1:11" s="6" customFormat="1" ht="14.5" customHeight="1" x14ac:dyDescent="0.35">
      <c r="A21" s="1">
        <v>240</v>
      </c>
      <c r="B21" s="2">
        <v>90719633</v>
      </c>
      <c r="C21" s="3" t="s">
        <v>62</v>
      </c>
      <c r="D21" s="4" t="e">
        <f>_xlfn.XLOOKUP(B21,#REF!,#REF!)</f>
        <v>#REF!</v>
      </c>
      <c r="E21" s="2" t="s">
        <v>17</v>
      </c>
      <c r="F21" s="2" t="s">
        <v>32</v>
      </c>
      <c r="G21" t="s">
        <v>13</v>
      </c>
      <c r="H21" t="s">
        <v>14</v>
      </c>
      <c r="I21" t="s">
        <v>13</v>
      </c>
      <c r="J21" t="s">
        <v>47</v>
      </c>
      <c r="K21" s="5" t="s">
        <v>41</v>
      </c>
    </row>
    <row r="22" spans="1:11" s="6" customFormat="1" ht="14.5" customHeight="1" x14ac:dyDescent="0.35">
      <c r="A22" s="1">
        <v>241</v>
      </c>
      <c r="B22" s="2">
        <v>90719751</v>
      </c>
      <c r="C22" s="3" t="s">
        <v>63</v>
      </c>
      <c r="D22" s="4" t="e">
        <f>_xlfn.XLOOKUP(B22,#REF!,#REF!)</f>
        <v>#REF!</v>
      </c>
      <c r="E22" s="2" t="s">
        <v>17</v>
      </c>
      <c r="F22" s="2" t="s">
        <v>50</v>
      </c>
      <c r="G22" t="s">
        <v>13</v>
      </c>
      <c r="H22" t="s">
        <v>14</v>
      </c>
      <c r="I22" t="s">
        <v>13</v>
      </c>
      <c r="J22" t="s">
        <v>47</v>
      </c>
      <c r="K22" s="5" t="s">
        <v>26</v>
      </c>
    </row>
    <row r="23" spans="1:11" s="6" customFormat="1" ht="14.5" customHeight="1" x14ac:dyDescent="0.35">
      <c r="A23" s="1">
        <v>242</v>
      </c>
      <c r="B23" s="2">
        <v>90719462</v>
      </c>
      <c r="C23" s="3" t="s">
        <v>64</v>
      </c>
      <c r="D23" s="4" t="e">
        <f>_xlfn.XLOOKUP(B23,#REF!,#REF!)</f>
        <v>#REF!</v>
      </c>
      <c r="E23" s="2" t="s">
        <v>17</v>
      </c>
      <c r="F23" s="2" t="s">
        <v>29</v>
      </c>
      <c r="G23" t="s">
        <v>13</v>
      </c>
      <c r="H23" t="s">
        <v>14</v>
      </c>
      <c r="I23" t="s">
        <v>13</v>
      </c>
      <c r="J23" t="s">
        <v>47</v>
      </c>
      <c r="K23" s="5" t="s">
        <v>41</v>
      </c>
    </row>
    <row r="24" spans="1:11" s="6" customFormat="1" ht="14.5" customHeight="1" x14ac:dyDescent="0.35">
      <c r="A24" s="1">
        <v>243</v>
      </c>
      <c r="B24" s="2">
        <v>90719816</v>
      </c>
      <c r="C24" s="3" t="s">
        <v>65</v>
      </c>
      <c r="D24" s="4" t="e">
        <f>_xlfn.XLOOKUP(B24,#REF!,#REF!)</f>
        <v>#REF!</v>
      </c>
      <c r="E24" s="2" t="s">
        <v>17</v>
      </c>
      <c r="F24" s="2" t="s">
        <v>35</v>
      </c>
      <c r="G24" t="s">
        <v>13</v>
      </c>
      <c r="H24" t="s">
        <v>14</v>
      </c>
      <c r="I24" t="s">
        <v>13</v>
      </c>
      <c r="J24" t="s">
        <v>47</v>
      </c>
      <c r="K24" s="5" t="s">
        <v>26</v>
      </c>
    </row>
    <row r="25" spans="1:11" s="6" customFormat="1" ht="14.5" customHeight="1" x14ac:dyDescent="0.35">
      <c r="A25" s="1">
        <v>244</v>
      </c>
      <c r="B25" s="2">
        <v>90719920</v>
      </c>
      <c r="C25" s="3" t="s">
        <v>66</v>
      </c>
      <c r="D25" s="4" t="e">
        <f>_xlfn.XLOOKUP(B25,#REF!,#REF!)</f>
        <v>#REF!</v>
      </c>
      <c r="E25" s="2" t="s">
        <v>17</v>
      </c>
      <c r="F25" s="2" t="s">
        <v>50</v>
      </c>
      <c r="G25" t="s">
        <v>13</v>
      </c>
      <c r="H25" t="s">
        <v>14</v>
      </c>
      <c r="I25" t="s">
        <v>13</v>
      </c>
      <c r="J25" t="s">
        <v>47</v>
      </c>
      <c r="K25" s="5" t="s">
        <v>41</v>
      </c>
    </row>
    <row r="26" spans="1:11" s="6" customFormat="1" ht="14.5" customHeight="1" x14ac:dyDescent="0.35">
      <c r="A26" s="1">
        <v>245</v>
      </c>
      <c r="B26" s="2">
        <v>90724670</v>
      </c>
      <c r="C26" s="15" t="s">
        <v>67</v>
      </c>
      <c r="D26" s="4" t="e">
        <f>_xlfn.XLOOKUP(B26,#REF!,#REF!)</f>
        <v>#REF!</v>
      </c>
      <c r="E26" s="2" t="s">
        <v>17</v>
      </c>
      <c r="F26" s="2" t="s">
        <v>59</v>
      </c>
      <c r="G26" t="s">
        <v>13</v>
      </c>
      <c r="H26" t="s">
        <v>14</v>
      </c>
      <c r="I26" t="s">
        <v>13</v>
      </c>
      <c r="J26" t="s">
        <v>47</v>
      </c>
      <c r="K26" s="5" t="s">
        <v>26</v>
      </c>
    </row>
    <row r="27" spans="1:11" s="6" customFormat="1" ht="14.5" customHeight="1" x14ac:dyDescent="0.35">
      <c r="A27" s="1">
        <v>246</v>
      </c>
      <c r="B27" s="12">
        <v>90719416</v>
      </c>
      <c r="C27" s="11" t="s">
        <v>68</v>
      </c>
      <c r="D27" s="4" t="e">
        <f>_xlfn.XLOOKUP(B27,#REF!,#REF!)</f>
        <v>#REF!</v>
      </c>
      <c r="E27" s="2" t="s">
        <v>69</v>
      </c>
      <c r="F27" s="2" t="s">
        <v>70</v>
      </c>
      <c r="G27" t="s">
        <v>13</v>
      </c>
      <c r="H27" t="s">
        <v>14</v>
      </c>
      <c r="I27" t="s">
        <v>13</v>
      </c>
      <c r="J27" t="s">
        <v>47</v>
      </c>
      <c r="K27" s="5" t="s">
        <v>41</v>
      </c>
    </row>
  </sheetData>
  <phoneticPr fontId="3" type="noConversion"/>
  <conditionalFormatting sqref="K3:K27">
    <cfRule type="cellIs" dxfId="0" priority="2" operator="equal">
      <formula>"Bench"</formula>
    </cfRule>
  </conditionalFormatting>
  <hyperlinks>
    <hyperlink ref="D18" r:id="rId1" xr:uid="{CA257C60-5884-4F75-B543-2ECD238C4E93}"/>
  </hyperlinks>
  <pageMargins left="0.7" right="0.7" top="0.75" bottom="0.75" header="0.3" footer="0.3"/>
  <ignoredErrors>
    <ignoredError sqref="A2 K1:K2 C2:I2 A1:B1 E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2026-06-08T09:51:50Z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