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hidePivotFieldList="1"/>
  <mc:AlternateContent xmlns:mc="http://schemas.openxmlformats.org/markup-compatibility/2006">
    <mc:Choice Requires="x15">
      <x15ac:absPath xmlns:x15ac="http://schemas.microsoft.com/office/spreadsheetml/2010/11/ac" url="https://rockwellautomation-my.sharepoint.com/personal/anjana_sharma_rockwellautomation_com/Documents/Anjana Sharma - All Important Documents/1. My work/RA Work/AM-APP/Ref docs/Resource/Update Details/"/>
    </mc:Choice>
  </mc:AlternateContent>
  <xr:revisionPtr revIDLastSave="0" documentId="13_ncr:1_{DE7A2D52-2265-4858-A8ED-9AA83A3FD6F1}" xr6:coauthVersionLast="47" xr6:coauthVersionMax="47" xr10:uidLastSave="{00000000-0000-0000-0000-000000000000}"/>
  <bookViews>
    <workbookView xWindow="-110" yWindow="-110" windowWidth="19420" windowHeight="11500" firstSheet="2" activeTab="2" xr2:uid="{00000000-000D-0000-FFFF-FFFF00000000}"/>
  </bookViews>
  <sheets>
    <sheet name="Request Details" sheetId="7" state="hidden" r:id="rId1"/>
    <sheet name="Attendance" sheetId="31" state="hidden" r:id="rId2"/>
    <sheet name="Resource Details" sheetId="9" r:id="rId3"/>
    <sheet name="Sheet1" sheetId="32" r:id="rId4"/>
    <sheet name="Sheet2" sheetId="33" r:id="rId5"/>
    <sheet name="ResourceUtilization" sheetId="24" state="hidden" r:id="rId6"/>
    <sheet name="Tracker-old" sheetId="1" state="hidden" r:id="rId7"/>
    <sheet name="For PIW" sheetId="28" state="hidden" r:id="rId8"/>
  </sheets>
  <definedNames>
    <definedName name="_xlnm._FilterDatabase" localSheetId="1" hidden="1">Attendance!$B$5:$H$68</definedName>
    <definedName name="_xlnm._FilterDatabase" localSheetId="7" hidden="1">'For PIW'!$A$1:$G$380</definedName>
    <definedName name="_xlnm._FilterDatabase" localSheetId="2" hidden="1">'Resource Details'!$A$1:$XEL$310</definedName>
    <definedName name="_xlnm._FilterDatabase" localSheetId="5" hidden="1">ResourceUtilization!$B$5:$H$5</definedName>
    <definedName name="_xleta.AND" hidden="1" xlm="1">#NAME?</definedName>
    <definedName name="_xleta.MAP" hidden="1" xlm="1">#NAME?</definedName>
    <definedName name="_xleta.NO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26" i="9" l="1"/>
  <c r="L72" i="9"/>
  <c r="I253" i="9"/>
  <c r="I216" i="9" l="1"/>
  <c r="I267" i="9"/>
  <c r="I213" i="9"/>
  <c r="I283" i="9"/>
  <c r="I287" i="9"/>
  <c r="I3" i="9"/>
  <c r="I4" i="9"/>
  <c r="I6" i="9"/>
  <c r="I7" i="9"/>
  <c r="I8" i="9"/>
  <c r="I9" i="9"/>
  <c r="I10" i="9"/>
  <c r="I11" i="9"/>
  <c r="I12" i="9"/>
  <c r="I13" i="9"/>
  <c r="I14" i="9"/>
  <c r="I15" i="9"/>
  <c r="I16" i="9"/>
  <c r="I17" i="9"/>
  <c r="I18" i="9"/>
  <c r="I19" i="9"/>
  <c r="I20" i="9"/>
  <c r="I22" i="9"/>
  <c r="I23" i="9"/>
  <c r="I24" i="9"/>
  <c r="I25" i="9"/>
  <c r="I26" i="9"/>
  <c r="I27" i="9"/>
  <c r="I28" i="9"/>
  <c r="I29" i="9"/>
  <c r="I30" i="9"/>
  <c r="I31"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6" i="9"/>
  <c r="I68" i="9"/>
  <c r="I70" i="9"/>
  <c r="I71" i="9"/>
  <c r="I73" i="9"/>
  <c r="I74" i="9"/>
  <c r="I75" i="9"/>
  <c r="I76" i="9"/>
  <c r="I77" i="9"/>
  <c r="I79" i="9"/>
  <c r="I80" i="9"/>
  <c r="I81" i="9"/>
  <c r="I82" i="9"/>
  <c r="I83" i="9"/>
  <c r="I84" i="9"/>
  <c r="I86" i="9"/>
  <c r="I88" i="9"/>
  <c r="I89" i="9"/>
  <c r="I90" i="9"/>
  <c r="I91" i="9"/>
  <c r="I92" i="9"/>
  <c r="I93" i="9"/>
  <c r="I94" i="9"/>
  <c r="I95" i="9"/>
  <c r="I97" i="9"/>
  <c r="I98" i="9"/>
  <c r="I99" i="9"/>
  <c r="I100" i="9"/>
  <c r="I101" i="9"/>
  <c r="I102" i="9"/>
  <c r="I103" i="9"/>
  <c r="I104" i="9"/>
  <c r="I105" i="9"/>
  <c r="I106" i="9"/>
  <c r="I107" i="9"/>
  <c r="I108" i="9"/>
  <c r="I109" i="9"/>
  <c r="I110" i="9"/>
  <c r="I113" i="9"/>
  <c r="I114" i="9"/>
  <c r="I115" i="9"/>
  <c r="I116" i="9"/>
  <c r="I118"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2" i="9"/>
  <c r="I153" i="9"/>
  <c r="I154" i="9"/>
  <c r="I155" i="9"/>
  <c r="I156" i="9"/>
  <c r="I157" i="9"/>
  <c r="I158" i="9"/>
  <c r="I159" i="9"/>
  <c r="I160" i="9"/>
  <c r="I161" i="9"/>
  <c r="I162" i="9"/>
  <c r="I163" i="9"/>
  <c r="I165" i="9"/>
  <c r="I166" i="9"/>
  <c r="I167" i="9"/>
  <c r="I168" i="9"/>
  <c r="I169" i="9"/>
  <c r="I170" i="9"/>
  <c r="I171" i="9"/>
  <c r="I172" i="9"/>
  <c r="I173" i="9"/>
  <c r="I174" i="9"/>
  <c r="I175" i="9"/>
  <c r="I176" i="9"/>
  <c r="I177" i="9"/>
  <c r="I178" i="9"/>
  <c r="I179" i="9"/>
  <c r="I180" i="9"/>
  <c r="I181" i="9"/>
  <c r="I182" i="9"/>
  <c r="I184" i="9"/>
  <c r="I185" i="9"/>
  <c r="I186" i="9"/>
  <c r="I188" i="9"/>
  <c r="I189" i="9"/>
  <c r="I190" i="9"/>
  <c r="I191" i="9"/>
  <c r="I192" i="9"/>
  <c r="I193" i="9"/>
  <c r="I194" i="9"/>
  <c r="I195" i="9"/>
  <c r="I197" i="9"/>
  <c r="I198" i="9"/>
  <c r="I199" i="9"/>
  <c r="I200" i="9"/>
  <c r="I201" i="9"/>
  <c r="I202" i="9"/>
  <c r="I203" i="9"/>
  <c r="I204" i="9"/>
  <c r="I205" i="9"/>
  <c r="I206" i="9"/>
  <c r="I207" i="9"/>
  <c r="I209" i="9"/>
  <c r="I210" i="9"/>
  <c r="I211" i="9"/>
  <c r="I212" i="9"/>
  <c r="I214" i="9"/>
  <c r="I215"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4" i="9"/>
  <c r="I255" i="9"/>
  <c r="I256" i="9"/>
  <c r="I257" i="9"/>
  <c r="I258" i="9"/>
  <c r="I259" i="9"/>
  <c r="I260" i="9"/>
  <c r="I261" i="9"/>
  <c r="I262" i="9"/>
  <c r="I263" i="9"/>
  <c r="I264" i="9"/>
  <c r="I265" i="9"/>
  <c r="I266" i="9"/>
  <c r="I268" i="9"/>
  <c r="I270" i="9"/>
  <c r="I271" i="9"/>
  <c r="I272" i="9"/>
  <c r="I273" i="9"/>
  <c r="I274" i="9"/>
  <c r="I275" i="9"/>
  <c r="I276" i="9"/>
  <c r="I277" i="9"/>
  <c r="I278" i="9"/>
  <c r="I279" i="9"/>
  <c r="I281" i="9"/>
  <c r="I282" i="9"/>
  <c r="I284" i="9"/>
  <c r="I286" i="9"/>
  <c r="I111" i="9"/>
  <c r="I187" i="9"/>
  <c r="I64" i="9"/>
  <c r="I285" i="9"/>
  <c r="I5" i="9"/>
  <c r="I67" i="9"/>
  <c r="I69" i="9"/>
  <c r="I208" i="9"/>
  <c r="I280" i="9"/>
  <c r="I217" i="9"/>
  <c r="I96" i="9"/>
  <c r="I21" i="9"/>
  <c r="I32" i="9"/>
  <c r="I117" i="9"/>
  <c r="I65" i="9"/>
  <c r="I119" i="9"/>
  <c r="I183" i="9"/>
  <c r="I196" i="9"/>
  <c r="I87" i="9"/>
  <c r="I164" i="9"/>
  <c r="I78" i="9"/>
  <c r="I85" i="9"/>
  <c r="I112" i="9"/>
  <c r="I269" i="9"/>
  <c r="I151" i="9"/>
  <c r="I2" i="9"/>
  <c r="D3" i="9" l="1"/>
  <c r="D4" i="9"/>
  <c r="D6" i="9"/>
  <c r="D7" i="9"/>
  <c r="D8" i="9"/>
  <c r="D9" i="9"/>
  <c r="D10" i="9"/>
  <c r="D11" i="9"/>
  <c r="D12" i="9"/>
  <c r="D13" i="9"/>
  <c r="D14" i="9"/>
  <c r="D15" i="9"/>
  <c r="D16" i="9"/>
  <c r="D17" i="9"/>
  <c r="D18" i="9"/>
  <c r="D19" i="9"/>
  <c r="D20" i="9"/>
  <c r="D22" i="9"/>
  <c r="D23" i="9"/>
  <c r="D24" i="9"/>
  <c r="D25" i="9"/>
  <c r="D26" i="9"/>
  <c r="D27" i="9"/>
  <c r="D28" i="9"/>
  <c r="D29" i="9"/>
  <c r="D30" i="9"/>
  <c r="D31"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6" i="9"/>
  <c r="D68" i="9"/>
  <c r="D70" i="9"/>
  <c r="D71" i="9"/>
  <c r="D72" i="9"/>
  <c r="D73" i="9"/>
  <c r="D74" i="9"/>
  <c r="D75" i="9"/>
  <c r="D76" i="9"/>
  <c r="D77" i="9"/>
  <c r="D79" i="9"/>
  <c r="D80" i="9"/>
  <c r="D81" i="9"/>
  <c r="D82" i="9"/>
  <c r="D83" i="9"/>
  <c r="D84" i="9"/>
  <c r="D86" i="9"/>
  <c r="D88" i="9"/>
  <c r="D89" i="9"/>
  <c r="D90" i="9"/>
  <c r="D91" i="9"/>
  <c r="D92" i="9"/>
  <c r="D93" i="9"/>
  <c r="D94" i="9"/>
  <c r="D95" i="9"/>
  <c r="D97" i="9"/>
  <c r="D98" i="9"/>
  <c r="D99" i="9"/>
  <c r="D100" i="9"/>
  <c r="D101" i="9"/>
  <c r="D102" i="9"/>
  <c r="D103" i="9"/>
  <c r="D104" i="9"/>
  <c r="D105" i="9"/>
  <c r="D106" i="9"/>
  <c r="D107" i="9"/>
  <c r="D108" i="9"/>
  <c r="D109" i="9"/>
  <c r="D110" i="9"/>
  <c r="D113" i="9"/>
  <c r="D114" i="9"/>
  <c r="D115" i="9"/>
  <c r="D116" i="9"/>
  <c r="D118" i="9"/>
  <c r="D120" i="9"/>
  <c r="D121" i="9"/>
  <c r="D122" i="9"/>
  <c r="D123"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2" i="9"/>
  <c r="D153" i="9"/>
  <c r="D154" i="9"/>
  <c r="D155" i="9"/>
  <c r="D156" i="9"/>
  <c r="D157" i="9"/>
  <c r="D158" i="9"/>
  <c r="D159" i="9"/>
  <c r="D160" i="9"/>
  <c r="D161" i="9"/>
  <c r="D162" i="9"/>
  <c r="D163" i="9"/>
  <c r="D166" i="9"/>
  <c r="D167" i="9"/>
  <c r="D168" i="9"/>
  <c r="D169" i="9"/>
  <c r="D170" i="9"/>
  <c r="D171" i="9"/>
  <c r="D172" i="9"/>
  <c r="D173" i="9"/>
  <c r="D174" i="9"/>
  <c r="D175" i="9"/>
  <c r="D176" i="9"/>
  <c r="D177" i="9"/>
  <c r="D178" i="9"/>
  <c r="D179" i="9"/>
  <c r="D180" i="9"/>
  <c r="D181" i="9"/>
  <c r="D182" i="9"/>
  <c r="D184" i="9"/>
  <c r="D185" i="9"/>
  <c r="D186" i="9"/>
  <c r="D188" i="9"/>
  <c r="D189" i="9"/>
  <c r="D190" i="9"/>
  <c r="D191" i="9"/>
  <c r="D192" i="9"/>
  <c r="D193" i="9"/>
  <c r="D194" i="9"/>
  <c r="D195" i="9"/>
  <c r="D197" i="9"/>
  <c r="D198" i="9"/>
  <c r="D199" i="9"/>
  <c r="D200" i="9"/>
  <c r="D201" i="9"/>
  <c r="D202" i="9"/>
  <c r="D203" i="9"/>
  <c r="D204" i="9"/>
  <c r="D205" i="9"/>
  <c r="D206" i="9"/>
  <c r="D207" i="9"/>
  <c r="D209" i="9"/>
  <c r="D210" i="9"/>
  <c r="D211" i="9"/>
  <c r="D212" i="9"/>
  <c r="D214" i="9"/>
  <c r="D215" i="9"/>
  <c r="D218" i="9"/>
  <c r="D219" i="9"/>
  <c r="D220" i="9"/>
  <c r="D221" i="9"/>
  <c r="D222" i="9"/>
  <c r="D223" i="9"/>
  <c r="D224" i="9"/>
  <c r="D225" i="9"/>
  <c r="D226" i="9"/>
  <c r="D227" i="9"/>
  <c r="D228" i="9"/>
  <c r="D229" i="9"/>
  <c r="D230" i="9"/>
  <c r="D231" i="9"/>
  <c r="D232" i="9"/>
  <c r="D233" i="9"/>
  <c r="D234" i="9"/>
  <c r="D235" i="9"/>
  <c r="D236" i="9"/>
  <c r="D237" i="9"/>
  <c r="D239" i="9"/>
  <c r="D240" i="9"/>
  <c r="D241" i="9"/>
  <c r="D242" i="9"/>
  <c r="D243" i="9"/>
  <c r="D244" i="9"/>
  <c r="D245" i="9"/>
  <c r="D246" i="9"/>
  <c r="D247" i="9"/>
  <c r="D248" i="9"/>
  <c r="D249" i="9"/>
  <c r="D250" i="9"/>
  <c r="D251" i="9"/>
  <c r="D252" i="9"/>
  <c r="D254" i="9"/>
  <c r="D255" i="9"/>
  <c r="D256" i="9"/>
  <c r="D257" i="9"/>
  <c r="D258" i="9"/>
  <c r="D259" i="9"/>
  <c r="D260" i="9"/>
  <c r="D261" i="9"/>
  <c r="D262" i="9"/>
  <c r="D263" i="9"/>
  <c r="D264" i="9"/>
  <c r="D265" i="9"/>
  <c r="D266" i="9"/>
  <c r="D268" i="9"/>
  <c r="D270" i="9"/>
  <c r="D271" i="9"/>
  <c r="D272" i="9"/>
  <c r="D273" i="9"/>
  <c r="D274" i="9"/>
  <c r="D275" i="9"/>
  <c r="D276" i="9"/>
  <c r="D277" i="9"/>
  <c r="D278" i="9"/>
  <c r="D279" i="9"/>
  <c r="D281" i="9"/>
  <c r="D282" i="9"/>
  <c r="D284" i="9"/>
  <c r="D286" i="9"/>
  <c r="D111" i="9"/>
  <c r="D187" i="9"/>
  <c r="D64" i="9"/>
  <c r="D285" i="9"/>
  <c r="D5" i="9"/>
  <c r="D67" i="9"/>
  <c r="D69" i="9"/>
  <c r="D208" i="9"/>
  <c r="D280" i="9"/>
  <c r="D217" i="9"/>
  <c r="D96" i="9"/>
  <c r="D21" i="9"/>
  <c r="D32" i="9"/>
  <c r="D117" i="9"/>
  <c r="D65" i="9"/>
  <c r="D119" i="9"/>
  <c r="D183" i="9"/>
  <c r="D196" i="9"/>
  <c r="D87" i="9"/>
  <c r="D164" i="9"/>
  <c r="D78" i="9"/>
  <c r="D85" i="9"/>
  <c r="D112" i="9"/>
  <c r="D269" i="9"/>
  <c r="D151" i="9"/>
  <c r="D216" i="9"/>
  <c r="D267" i="9"/>
  <c r="D213" i="9"/>
  <c r="D283" i="9"/>
  <c r="D253" i="9"/>
  <c r="D2" i="9"/>
  <c r="L3" i="9"/>
  <c r="L4" i="9"/>
  <c r="L6" i="9"/>
  <c r="L7" i="9"/>
  <c r="L8" i="9"/>
  <c r="L9" i="9"/>
  <c r="L10" i="9"/>
  <c r="L11" i="9"/>
  <c r="L12" i="9"/>
  <c r="L13" i="9"/>
  <c r="L14" i="9"/>
  <c r="L15" i="9"/>
  <c r="L16" i="9"/>
  <c r="L17" i="9"/>
  <c r="L18" i="9"/>
  <c r="L19" i="9"/>
  <c r="L20" i="9"/>
  <c r="L22" i="9"/>
  <c r="L23" i="9"/>
  <c r="L24" i="9"/>
  <c r="L25" i="9"/>
  <c r="L26" i="9"/>
  <c r="L27" i="9"/>
  <c r="L28" i="9"/>
  <c r="L29" i="9"/>
  <c r="L30" i="9"/>
  <c r="L31" i="9"/>
  <c r="L33" i="9"/>
  <c r="L34" i="9"/>
  <c r="L35" i="9"/>
  <c r="L36" i="9"/>
  <c r="L37" i="9"/>
  <c r="L38" i="9"/>
  <c r="L39" i="9"/>
  <c r="L40" i="9"/>
  <c r="L41" i="9"/>
  <c r="L42" i="9"/>
  <c r="L43" i="9"/>
  <c r="L44" i="9"/>
  <c r="L45" i="9"/>
  <c r="L46" i="9"/>
  <c r="L47" i="9"/>
  <c r="L48" i="9"/>
  <c r="L49" i="9"/>
  <c r="L50" i="9"/>
  <c r="L51" i="9"/>
  <c r="L52" i="9"/>
  <c r="L53" i="9"/>
  <c r="L54" i="9"/>
  <c r="L55" i="9"/>
  <c r="L56" i="9"/>
  <c r="L57" i="9"/>
  <c r="L58" i="9"/>
  <c r="L59" i="9"/>
  <c r="L60" i="9"/>
  <c r="L61" i="9"/>
  <c r="L62" i="9"/>
  <c r="L63" i="9"/>
  <c r="L66" i="9"/>
  <c r="L68" i="9"/>
  <c r="L70" i="9"/>
  <c r="L71" i="9"/>
  <c r="L73" i="9"/>
  <c r="L74" i="9"/>
  <c r="L75" i="9"/>
  <c r="L76" i="9"/>
  <c r="L77" i="9"/>
  <c r="L79" i="9"/>
  <c r="L80" i="9"/>
  <c r="L81" i="9"/>
  <c r="L82" i="9"/>
  <c r="L83" i="9"/>
  <c r="L84" i="9"/>
  <c r="L86" i="9"/>
  <c r="L88" i="9"/>
  <c r="L89" i="9"/>
  <c r="L90" i="9"/>
  <c r="L91" i="9"/>
  <c r="L92" i="9"/>
  <c r="L93" i="9"/>
  <c r="L94" i="9"/>
  <c r="L95" i="9"/>
  <c r="L97" i="9"/>
  <c r="L98" i="9"/>
  <c r="L99" i="9"/>
  <c r="L100" i="9"/>
  <c r="L101" i="9"/>
  <c r="L102" i="9"/>
  <c r="L103" i="9"/>
  <c r="L104" i="9"/>
  <c r="L105" i="9"/>
  <c r="L106" i="9"/>
  <c r="L107" i="9"/>
  <c r="L108" i="9"/>
  <c r="L109" i="9"/>
  <c r="L110" i="9"/>
  <c r="L113" i="9"/>
  <c r="L114" i="9"/>
  <c r="L115" i="9"/>
  <c r="L116" i="9"/>
  <c r="L118" i="9"/>
  <c r="L120" i="9"/>
  <c r="L121" i="9"/>
  <c r="L122" i="9"/>
  <c r="L123" i="9"/>
  <c r="L124" i="9"/>
  <c r="L125" i="9"/>
  <c r="L126" i="9"/>
  <c r="L127" i="9"/>
  <c r="L128" i="9"/>
  <c r="L129" i="9"/>
  <c r="L130" i="9"/>
  <c r="L131" i="9"/>
  <c r="L132" i="9"/>
  <c r="L133" i="9"/>
  <c r="L134" i="9"/>
  <c r="L135" i="9"/>
  <c r="L136" i="9"/>
  <c r="L137" i="9"/>
  <c r="L138" i="9"/>
  <c r="L139" i="9"/>
  <c r="L140" i="9"/>
  <c r="L141" i="9"/>
  <c r="L142" i="9"/>
  <c r="L143" i="9"/>
  <c r="L144" i="9"/>
  <c r="L145" i="9"/>
  <c r="L146" i="9"/>
  <c r="L147" i="9"/>
  <c r="L148" i="9"/>
  <c r="L149" i="9"/>
  <c r="L150" i="9"/>
  <c r="L152" i="9"/>
  <c r="L153" i="9"/>
  <c r="L154" i="9"/>
  <c r="L155" i="9"/>
  <c r="L156" i="9"/>
  <c r="L157" i="9"/>
  <c r="L158" i="9"/>
  <c r="L159" i="9"/>
  <c r="L160" i="9"/>
  <c r="L161" i="9"/>
  <c r="L162" i="9"/>
  <c r="L163" i="9"/>
  <c r="L165" i="9"/>
  <c r="L166" i="9"/>
  <c r="L167" i="9"/>
  <c r="L168" i="9"/>
  <c r="L169" i="9"/>
  <c r="L170" i="9"/>
  <c r="L171" i="9"/>
  <c r="L172" i="9"/>
  <c r="L173" i="9"/>
  <c r="L174" i="9"/>
  <c r="L175" i="9"/>
  <c r="L176" i="9"/>
  <c r="L177" i="9"/>
  <c r="L178" i="9"/>
  <c r="L179" i="9"/>
  <c r="L180" i="9"/>
  <c r="L181" i="9"/>
  <c r="L182" i="9"/>
  <c r="L184" i="9"/>
  <c r="L185" i="9"/>
  <c r="L186" i="9"/>
  <c r="L188" i="9"/>
  <c r="L189" i="9"/>
  <c r="L190" i="9"/>
  <c r="L191" i="9"/>
  <c r="L192" i="9"/>
  <c r="L193" i="9"/>
  <c r="L194" i="9"/>
  <c r="L195" i="9"/>
  <c r="L197" i="9"/>
  <c r="L198" i="9"/>
  <c r="L199" i="9"/>
  <c r="L200" i="9"/>
  <c r="L201" i="9"/>
  <c r="L202" i="9"/>
  <c r="L203" i="9"/>
  <c r="L204" i="9"/>
  <c r="L205" i="9"/>
  <c r="L206" i="9"/>
  <c r="L207" i="9"/>
  <c r="L209" i="9"/>
  <c r="L210" i="9"/>
  <c r="L211" i="9"/>
  <c r="L212" i="9"/>
  <c r="L214" i="9"/>
  <c r="L215" i="9"/>
  <c r="L218" i="9"/>
  <c r="L219" i="9"/>
  <c r="L220" i="9"/>
  <c r="L221" i="9"/>
  <c r="L222" i="9"/>
  <c r="L223" i="9"/>
  <c r="L224" i="9"/>
  <c r="L225" i="9"/>
  <c r="L227" i="9"/>
  <c r="L228" i="9"/>
  <c r="L229" i="9"/>
  <c r="L230" i="9"/>
  <c r="L231" i="9"/>
  <c r="L232" i="9"/>
  <c r="L233" i="9"/>
  <c r="L234" i="9"/>
  <c r="L235" i="9"/>
  <c r="L236" i="9"/>
  <c r="L237" i="9"/>
  <c r="L238" i="9"/>
  <c r="L239" i="9"/>
  <c r="L240" i="9"/>
  <c r="L241" i="9"/>
  <c r="L242" i="9"/>
  <c r="L243" i="9"/>
  <c r="L244" i="9"/>
  <c r="L245" i="9"/>
  <c r="L246" i="9"/>
  <c r="L247" i="9"/>
  <c r="L248" i="9"/>
  <c r="L249" i="9"/>
  <c r="L250" i="9"/>
  <c r="L251" i="9"/>
  <c r="L252" i="9"/>
  <c r="L254" i="9"/>
  <c r="L255" i="9"/>
  <c r="L256" i="9"/>
  <c r="L257" i="9"/>
  <c r="L258" i="9"/>
  <c r="L259" i="9"/>
  <c r="L260" i="9"/>
  <c r="L261" i="9"/>
  <c r="L262" i="9"/>
  <c r="L263" i="9"/>
  <c r="L264" i="9"/>
  <c r="L265" i="9"/>
  <c r="L266" i="9"/>
  <c r="L268" i="9"/>
  <c r="L270" i="9"/>
  <c r="L271" i="9"/>
  <c r="L272" i="9"/>
  <c r="L273" i="9"/>
  <c r="L274" i="9"/>
  <c r="L275" i="9"/>
  <c r="L276" i="9"/>
  <c r="L277" i="9"/>
  <c r="L278" i="9"/>
  <c r="L279" i="9"/>
  <c r="L281" i="9"/>
  <c r="L282" i="9"/>
  <c r="L284" i="9"/>
  <c r="L286" i="9"/>
  <c r="L111" i="9"/>
  <c r="L187" i="9"/>
  <c r="L64" i="9"/>
  <c r="L285" i="9"/>
  <c r="L5" i="9"/>
  <c r="L67" i="9"/>
  <c r="L69" i="9"/>
  <c r="L208" i="9"/>
  <c r="L280" i="9"/>
  <c r="L217" i="9"/>
  <c r="L96" i="9"/>
  <c r="L21" i="9"/>
  <c r="L32" i="9"/>
  <c r="L117" i="9"/>
  <c r="L65" i="9"/>
  <c r="L119" i="9"/>
  <c r="L183" i="9"/>
  <c r="L196" i="9"/>
  <c r="L87" i="9"/>
  <c r="L164" i="9"/>
  <c r="L78" i="9"/>
  <c r="L85" i="9"/>
  <c r="L112" i="9"/>
  <c r="L269" i="9"/>
  <c r="L151" i="9"/>
  <c r="L216" i="9"/>
  <c r="L267" i="9"/>
  <c r="L213" i="9"/>
  <c r="L283" i="9"/>
  <c r="L253" i="9"/>
  <c r="L2" i="9"/>
  <c r="M2" i="9" s="1"/>
  <c r="C3" i="28" a="1"/>
  <c r="C3" i="28" s="1"/>
  <c r="C17" i="28" a="1"/>
  <c r="C17" i="28" s="1"/>
  <c r="C44" i="28" a="1"/>
  <c r="C44" i="28" s="1"/>
  <c r="C58" i="28" a="1"/>
  <c r="C58" i="28" s="1"/>
  <c r="C72" i="28" a="1"/>
  <c r="C72" i="28" s="1"/>
  <c r="C85" i="28" a="1"/>
  <c r="C85" i="28" s="1"/>
  <c r="C99" i="28" a="1"/>
  <c r="C99" i="28" s="1"/>
  <c r="C113" i="28" a="1"/>
  <c r="C113" i="28" s="1"/>
  <c r="C127" i="28" a="1"/>
  <c r="C127" i="28" s="1"/>
  <c r="C140" i="28" a="1"/>
  <c r="C140" i="28" s="1"/>
  <c r="C153" i="28" a="1"/>
  <c r="C153" i="28" s="1"/>
  <c r="C166" i="28" a="1"/>
  <c r="C166" i="28" s="1"/>
  <c r="C180" i="28" a="1"/>
  <c r="C180" i="28" s="1"/>
  <c r="C194" i="28" a="1"/>
  <c r="C194" i="28" s="1"/>
  <c r="C210" i="28" a="1"/>
  <c r="C210" i="28" s="1"/>
  <c r="C224" i="28" a="1"/>
  <c r="C224" i="28" s="1"/>
  <c r="C238" i="28" a="1"/>
  <c r="C238" i="28" s="1"/>
  <c r="C252" i="28" a="1"/>
  <c r="C252" i="28" s="1"/>
  <c r="C266" i="28" a="1"/>
  <c r="C266" i="28" s="1"/>
  <c r="C280" i="28" a="1"/>
  <c r="C280" i="28" s="1"/>
  <c r="C293" i="28" a="1"/>
  <c r="C293" i="28" s="1"/>
  <c r="C307" i="28" a="1"/>
  <c r="C307" i="28" s="1"/>
  <c r="C321" i="28" a="1"/>
  <c r="C321" i="28" s="1"/>
  <c r="C335" i="28" a="1"/>
  <c r="C335" i="28" s="1"/>
  <c r="C361" i="28" a="1"/>
  <c r="C361" i="28" s="1"/>
  <c r="C378" i="28" a="1"/>
  <c r="C378" i="28" s="1"/>
  <c r="C231" i="28" a="1"/>
  <c r="C231" i="28" s="1"/>
  <c r="C328" i="28" a="1"/>
  <c r="C328" i="28" s="1"/>
  <c r="C319" i="28" a="1"/>
  <c r="C319" i="28" s="1"/>
  <c r="C126" i="28" a="1"/>
  <c r="C126" i="28" s="1"/>
  <c r="C18" i="28" a="1"/>
  <c r="C18" i="28" s="1"/>
  <c r="C31" i="28" a="1"/>
  <c r="C31" i="28" s="1"/>
  <c r="C45" i="28" a="1"/>
  <c r="C45" i="28" s="1"/>
  <c r="C59" i="28" a="1"/>
  <c r="C59" i="28" s="1"/>
  <c r="C73" i="28" a="1"/>
  <c r="C73" i="28" s="1"/>
  <c r="C86" i="28" a="1"/>
  <c r="C86" i="28" s="1"/>
  <c r="C100" i="28" a="1"/>
  <c r="C100" i="28" s="1"/>
  <c r="C114" i="28" a="1"/>
  <c r="C114" i="28" s="1"/>
  <c r="C128" i="28" a="1"/>
  <c r="C128" i="28" s="1"/>
  <c r="C141" i="28" a="1"/>
  <c r="C141" i="28" s="1"/>
  <c r="C154" i="28" a="1"/>
  <c r="C154" i="28" s="1"/>
  <c r="C167" i="28" a="1"/>
  <c r="C167" i="28" s="1"/>
  <c r="C181" i="28" a="1"/>
  <c r="C181" i="28" s="1"/>
  <c r="C211" i="28" a="1"/>
  <c r="C211" i="28" s="1"/>
  <c r="C225" i="28" a="1"/>
  <c r="C225" i="28" s="1"/>
  <c r="C239" i="28" a="1"/>
  <c r="C239" i="28" s="1"/>
  <c r="C253" i="28" a="1"/>
  <c r="C253" i="28" s="1"/>
  <c r="C267" i="28" a="1"/>
  <c r="C267" i="28" s="1"/>
  <c r="C281" i="28" a="1"/>
  <c r="C281" i="28" s="1"/>
  <c r="C308" i="28" a="1"/>
  <c r="C308" i="28" s="1"/>
  <c r="C336" i="28" a="1"/>
  <c r="C336" i="28" s="1"/>
  <c r="C349" i="28" a="1"/>
  <c r="C349" i="28" s="1"/>
  <c r="C362" i="28" a="1"/>
  <c r="C362" i="28" s="1"/>
  <c r="C379" i="28" a="1"/>
  <c r="C379" i="28" s="1"/>
  <c r="C173" i="28" a="1"/>
  <c r="C173" i="28" s="1"/>
  <c r="C273" i="28" a="1"/>
  <c r="C273" i="28" s="1"/>
  <c r="C376" i="28" a="1"/>
  <c r="C376" i="28" s="1"/>
  <c r="C373" i="28" a="1"/>
  <c r="C373" i="28" s="1"/>
  <c r="C179" i="28" a="1"/>
  <c r="C179" i="28" s="1"/>
  <c r="C334" i="28" a="1"/>
  <c r="C334" i="28" s="1"/>
  <c r="C19" i="28" a="1"/>
  <c r="C19" i="28" s="1"/>
  <c r="C32" i="28" a="1"/>
  <c r="C32" i="28" s="1"/>
  <c r="C46" i="28" a="1"/>
  <c r="C46" i="28" s="1"/>
  <c r="C60" i="28" a="1"/>
  <c r="C60" i="28" s="1"/>
  <c r="C74" i="28" a="1"/>
  <c r="C74" i="28" s="1"/>
  <c r="C87" i="28" a="1"/>
  <c r="C87" i="28" s="1"/>
  <c r="C101" i="28" a="1"/>
  <c r="C101" i="28" s="1"/>
  <c r="C129" i="28" a="1"/>
  <c r="C129" i="28" s="1"/>
  <c r="C142" i="28" a="1"/>
  <c r="C142" i="28" s="1"/>
  <c r="C155" i="28" a="1"/>
  <c r="C155" i="28" s="1"/>
  <c r="C182" i="28" a="1"/>
  <c r="C182" i="28" s="1"/>
  <c r="C196" i="28" a="1"/>
  <c r="C196" i="28" s="1"/>
  <c r="C212" i="28" a="1"/>
  <c r="C212" i="28" s="1"/>
  <c r="C226" i="28" a="1"/>
  <c r="C226" i="28" s="1"/>
  <c r="C240" i="28" a="1"/>
  <c r="C240" i="28" s="1"/>
  <c r="C254" i="28" a="1"/>
  <c r="C254" i="28" s="1"/>
  <c r="C268" i="28" a="1"/>
  <c r="C268" i="28" s="1"/>
  <c r="C309" i="28" a="1"/>
  <c r="C309" i="28" s="1"/>
  <c r="C337" i="28" a="1"/>
  <c r="C337" i="28" s="1"/>
  <c r="C350" i="28" a="1"/>
  <c r="C350" i="28" s="1"/>
  <c r="C363" i="28" a="1"/>
  <c r="C363" i="28" s="1"/>
  <c r="C380" i="28" a="1"/>
  <c r="C380" i="28" s="1"/>
  <c r="C24" i="28" a="1"/>
  <c r="C24" i="28" s="1"/>
  <c r="C134" i="28" a="1"/>
  <c r="C134" i="28" s="1"/>
  <c r="C203" i="28" a="1"/>
  <c r="C203" i="28" s="1"/>
  <c r="C291" i="28" a="1"/>
  <c r="C291" i="28" s="1"/>
  <c r="C71" i="28" a="1"/>
  <c r="C71" i="28" s="1"/>
  <c r="C237" i="28" a="1"/>
  <c r="C237" i="28" s="1"/>
  <c r="C6" i="28" a="1"/>
  <c r="C6" i="28" s="1"/>
  <c r="C20" i="28" a="1"/>
  <c r="C20" i="28" s="1"/>
  <c r="C33" i="28" a="1"/>
  <c r="C33" i="28" s="1"/>
  <c r="C47" i="28" a="1"/>
  <c r="C47" i="28" s="1"/>
  <c r="C61" i="28" a="1"/>
  <c r="C61" i="28" s="1"/>
  <c r="C75" i="28" a="1"/>
  <c r="C75" i="28" s="1"/>
  <c r="C88" i="28" a="1"/>
  <c r="C88" i="28" s="1"/>
  <c r="C102" i="28" a="1"/>
  <c r="C102" i="28" s="1"/>
  <c r="C116" i="28" a="1"/>
  <c r="C116" i="28" s="1"/>
  <c r="C130" i="28" a="1"/>
  <c r="C130" i="28" s="1"/>
  <c r="C169" i="28" a="1"/>
  <c r="C169" i="28" s="1"/>
  <c r="C183" i="28" a="1"/>
  <c r="C183" i="28" s="1"/>
  <c r="C197" i="28" a="1"/>
  <c r="C197" i="28" s="1"/>
  <c r="C213" i="28" a="1"/>
  <c r="C213" i="28" s="1"/>
  <c r="C227" i="28" a="1"/>
  <c r="C227" i="28" s="1"/>
  <c r="C241" i="28" a="1"/>
  <c r="C241" i="28" s="1"/>
  <c r="C255" i="28" a="1"/>
  <c r="C255" i="28" s="1"/>
  <c r="C296" i="28" a="1"/>
  <c r="C296" i="28" s="1"/>
  <c r="C323" i="28" a="1"/>
  <c r="C323" i="28" s="1"/>
  <c r="C338" i="28" a="1"/>
  <c r="C338" i="28" s="1"/>
  <c r="C351" i="28" a="1"/>
  <c r="C351" i="28" s="1"/>
  <c r="C364" i="28" a="1"/>
  <c r="C364" i="28" s="1"/>
  <c r="C201" i="28" a="1"/>
  <c r="C201" i="28" s="1"/>
  <c r="C37" i="28" a="1"/>
  <c r="C37" i="28" s="1"/>
  <c r="C120" i="28" a="1"/>
  <c r="C120" i="28" s="1"/>
  <c r="C187" i="28" a="1"/>
  <c r="C187" i="28" s="1"/>
  <c r="C300" i="28" a="1"/>
  <c r="C300" i="28" s="1"/>
  <c r="C278" i="28" a="1"/>
  <c r="C278" i="28" s="1"/>
  <c r="C57" i="28" a="1"/>
  <c r="C57" i="28" s="1"/>
  <c r="C7" i="28" a="1"/>
  <c r="C7" i="28" s="1"/>
  <c r="C21" i="28" a="1"/>
  <c r="C21" i="28" s="1"/>
  <c r="C34" i="28" a="1"/>
  <c r="C34" i="28" s="1"/>
  <c r="C48" i="28" a="1"/>
  <c r="C48" i="28" s="1"/>
  <c r="C76" i="28" a="1"/>
  <c r="C76" i="28" s="1"/>
  <c r="C89" i="28" a="1"/>
  <c r="C89" i="28" s="1"/>
  <c r="C103" i="28" a="1"/>
  <c r="C103" i="28" s="1"/>
  <c r="C117" i="28" a="1"/>
  <c r="C117" i="28" s="1"/>
  <c r="C131" i="28" a="1"/>
  <c r="C131" i="28" s="1"/>
  <c r="C198" i="28" a="1"/>
  <c r="C198" i="28" s="1"/>
  <c r="C214" i="28" a="1"/>
  <c r="C214" i="28" s="1"/>
  <c r="C228" i="28" a="1"/>
  <c r="C228" i="28" s="1"/>
  <c r="C242" i="28" a="1"/>
  <c r="C242" i="28" s="1"/>
  <c r="C270" i="28" a="1"/>
  <c r="C270" i="28" s="1"/>
  <c r="C283" i="28" a="1"/>
  <c r="C283" i="28" s="1"/>
  <c r="C311" i="28" a="1"/>
  <c r="C311" i="28" s="1"/>
  <c r="C202" i="28" a="1"/>
  <c r="C202" i="28" s="1"/>
  <c r="C79" i="28" a="1"/>
  <c r="C79" i="28" s="1"/>
  <c r="C159" i="28" a="1"/>
  <c r="C159" i="28" s="1"/>
  <c r="C259" i="28" a="1"/>
  <c r="C259" i="28" s="1"/>
  <c r="C355" i="28" a="1"/>
  <c r="C355" i="28" s="1"/>
  <c r="C305" i="28" a="1"/>
  <c r="C305" i="28" s="1"/>
  <c r="C112" i="28" a="1"/>
  <c r="C112" i="28" s="1"/>
  <c r="C279" i="28" a="1"/>
  <c r="C279" i="28" s="1"/>
  <c r="C22" i="28" a="1"/>
  <c r="C22" i="28" s="1"/>
  <c r="C35" i="28" a="1"/>
  <c r="C35" i="28" s="1"/>
  <c r="C49" i="28" a="1"/>
  <c r="C49" i="28" s="1"/>
  <c r="C63" i="28" a="1"/>
  <c r="C63" i="28" s="1"/>
  <c r="C77" i="28" a="1"/>
  <c r="C77" i="28" s="1"/>
  <c r="C90" i="28" a="1"/>
  <c r="C90" i="28" s="1"/>
  <c r="C104" i="28" a="1"/>
  <c r="C104" i="28" s="1"/>
  <c r="C118" i="28" a="1"/>
  <c r="C118" i="28" s="1"/>
  <c r="C132" i="28" a="1"/>
  <c r="C132" i="28" s="1"/>
  <c r="C145" i="28" a="1"/>
  <c r="C145" i="28" s="1"/>
  <c r="C157" i="28" a="1"/>
  <c r="C157" i="28" s="1"/>
  <c r="C199" i="28" a="1"/>
  <c r="C199" i="28" s="1"/>
  <c r="C215" i="28" a="1"/>
  <c r="C215" i="28" s="1"/>
  <c r="C229" i="28" a="1"/>
  <c r="C229" i="28" s="1"/>
  <c r="C257" i="28" a="1"/>
  <c r="C257" i="28" s="1"/>
  <c r="C298" i="28" a="1"/>
  <c r="C298" i="28" s="1"/>
  <c r="C312" i="28" a="1"/>
  <c r="C312" i="28" s="1"/>
  <c r="C340" i="28" a="1"/>
  <c r="C340" i="28" s="1"/>
  <c r="C353" i="28" a="1"/>
  <c r="C353" i="28" s="1"/>
  <c r="C366" i="28" a="1"/>
  <c r="C366" i="28" s="1"/>
  <c r="C341" i="28" a="1"/>
  <c r="C341" i="28" s="1"/>
  <c r="C367" i="28" a="1"/>
  <c r="C367" i="28" s="1"/>
  <c r="C106" i="28" a="1"/>
  <c r="C106" i="28" s="1"/>
  <c r="C217" i="28" a="1"/>
  <c r="C217" i="28" s="1"/>
  <c r="C286" i="28" a="1"/>
  <c r="C286" i="28" s="1"/>
  <c r="C368" i="28" a="1"/>
  <c r="C368" i="28" s="1"/>
  <c r="C360" i="28" a="1"/>
  <c r="C360" i="28" s="1"/>
  <c r="C165" i="28" a="1"/>
  <c r="C165" i="28" s="1"/>
  <c r="C265" i="28" a="1"/>
  <c r="C265" i="28" s="1"/>
  <c r="C9" i="28" a="1"/>
  <c r="C9" i="28" s="1"/>
  <c r="C23" i="28" a="1"/>
  <c r="C23" i="28" s="1"/>
  <c r="C36" i="28" a="1"/>
  <c r="C36" i="28" s="1"/>
  <c r="C50" i="28" a="1"/>
  <c r="C50" i="28" s="1"/>
  <c r="C64" i="28" a="1"/>
  <c r="C64" i="28" s="1"/>
  <c r="C78" i="28" a="1"/>
  <c r="C78" i="28" s="1"/>
  <c r="C91" i="28" a="1"/>
  <c r="C91" i="28" s="1"/>
  <c r="C105" i="28" a="1"/>
  <c r="C105" i="28" s="1"/>
  <c r="C133" i="28" a="1"/>
  <c r="C133" i="28" s="1"/>
  <c r="C146" i="28" a="1"/>
  <c r="C146" i="28" s="1"/>
  <c r="C172" i="28" a="1"/>
  <c r="C172" i="28" s="1"/>
  <c r="C186" i="28" a="1"/>
  <c r="C186" i="28" s="1"/>
  <c r="C200" i="28" a="1"/>
  <c r="C200" i="28" s="1"/>
  <c r="C244" i="28" a="1"/>
  <c r="C244" i="28" s="1"/>
  <c r="C313" i="28" a="1"/>
  <c r="C313" i="28" s="1"/>
  <c r="C327" i="28" a="1"/>
  <c r="C327" i="28" s="1"/>
  <c r="C354" i="28" a="1"/>
  <c r="C354" i="28" s="1"/>
  <c r="C375" i="28" a="1"/>
  <c r="C375" i="28" s="1"/>
  <c r="C51" i="28" a="1"/>
  <c r="C51" i="28" s="1"/>
  <c r="C245" i="28" a="1"/>
  <c r="C245" i="28" s="1"/>
  <c r="C342" i="28" a="1"/>
  <c r="C342" i="28" s="1"/>
  <c r="C333" i="28" a="1"/>
  <c r="C333" i="28" s="1"/>
  <c r="C152" i="28" a="1"/>
  <c r="C152" i="28" s="1"/>
  <c r="C306" i="28" a="1"/>
  <c r="C306" i="28" s="1"/>
  <c r="C11" i="28" a="1"/>
  <c r="C11" i="28" s="1"/>
  <c r="C25" i="28" a="1"/>
  <c r="C25" i="28" s="1"/>
  <c r="C38" i="28" a="1"/>
  <c r="C38" i="28" s="1"/>
  <c r="C52" i="28" a="1"/>
  <c r="C52" i="28" s="1"/>
  <c r="C66" i="28" a="1"/>
  <c r="C66" i="28" s="1"/>
  <c r="C80" i="28" a="1"/>
  <c r="C80" i="28" s="1"/>
  <c r="C93" i="28" a="1"/>
  <c r="C93" i="28" s="1"/>
  <c r="C107" i="28" a="1"/>
  <c r="C107" i="28" s="1"/>
  <c r="C121" i="28" a="1"/>
  <c r="C121" i="28" s="1"/>
  <c r="C135" i="28" a="1"/>
  <c r="C135" i="28" s="1"/>
  <c r="C148" i="28" a="1"/>
  <c r="C148" i="28" s="1"/>
  <c r="C174" i="28" a="1"/>
  <c r="C174" i="28" s="1"/>
  <c r="C218" i="28" a="1"/>
  <c r="C218" i="28" s="1"/>
  <c r="C246" i="28" a="1"/>
  <c r="C246" i="28" s="1"/>
  <c r="C260" i="28" a="1"/>
  <c r="C260" i="28" s="1"/>
  <c r="C274" i="28" a="1"/>
  <c r="C274" i="28" s="1"/>
  <c r="C301" i="28" a="1"/>
  <c r="C301" i="28" s="1"/>
  <c r="C329" i="28" a="1"/>
  <c r="C329" i="28" s="1"/>
  <c r="C356" i="28" a="1"/>
  <c r="C356" i="28" s="1"/>
  <c r="C369" i="28" a="1"/>
  <c r="C369" i="28" s="1"/>
  <c r="C377" i="28" a="1"/>
  <c r="C377" i="28" s="1"/>
  <c r="C70" i="28" a="1"/>
  <c r="C70" i="28" s="1"/>
  <c r="C125" i="28" a="1"/>
  <c r="C125" i="28" s="1"/>
  <c r="C16" i="28" a="1"/>
  <c r="C16" i="28" s="1"/>
  <c r="C193" i="28" a="1"/>
  <c r="C193" i="28" s="1"/>
  <c r="C12" i="28" a="1"/>
  <c r="C12" i="28" s="1"/>
  <c r="C26" i="28" a="1"/>
  <c r="C26" i="28" s="1"/>
  <c r="C39" i="28" a="1"/>
  <c r="C39" i="28" s="1"/>
  <c r="C53" i="28" a="1"/>
  <c r="C53" i="28" s="1"/>
  <c r="C67" i="28" a="1"/>
  <c r="C67" i="28" s="1"/>
  <c r="C81" i="28" a="1"/>
  <c r="C81" i="28" s="1"/>
  <c r="C94" i="28" a="1"/>
  <c r="C94" i="28" s="1"/>
  <c r="C122" i="28" a="1"/>
  <c r="C122" i="28" s="1"/>
  <c r="C149" i="28" a="1"/>
  <c r="C149" i="28" s="1"/>
  <c r="C175" i="28" a="1"/>
  <c r="C175" i="28" s="1"/>
  <c r="C189" i="28" a="1"/>
  <c r="C189" i="28" s="1"/>
  <c r="C205" i="28" a="1"/>
  <c r="C205" i="28" s="1"/>
  <c r="C219" i="28" a="1"/>
  <c r="C219" i="28" s="1"/>
  <c r="C233" i="28" a="1"/>
  <c r="C233" i="28" s="1"/>
  <c r="C247" i="28" a="1"/>
  <c r="C247" i="28" s="1"/>
  <c r="C261" i="28" a="1"/>
  <c r="C261" i="28" s="1"/>
  <c r="C275" i="28" a="1"/>
  <c r="C275" i="28" s="1"/>
  <c r="C288" i="28" a="1"/>
  <c r="C288" i="28" s="1"/>
  <c r="C316" i="28" a="1"/>
  <c r="C316" i="28" s="1"/>
  <c r="C330" i="28" a="1"/>
  <c r="C330" i="28" s="1"/>
  <c r="C357" i="28" a="1"/>
  <c r="C357" i="28" s="1"/>
  <c r="C2" i="28" a="1"/>
  <c r="C2" i="28" s="1"/>
  <c r="C97" i="28" a="1"/>
  <c r="C97" i="28" s="1"/>
  <c r="C151" i="28" a="1"/>
  <c r="C151" i="28" s="1"/>
  <c r="C208" i="28" a="1"/>
  <c r="C208" i="28" s="1"/>
  <c r="C264" i="28" a="1"/>
  <c r="C264" i="28" s="1"/>
  <c r="C209" i="28" a="1"/>
  <c r="C209" i="28" s="1"/>
  <c r="C13" i="28" a="1"/>
  <c r="C13" i="28" s="1"/>
  <c r="C27" i="28" a="1"/>
  <c r="C27" i="28" s="1"/>
  <c r="C40" i="28" a="1"/>
  <c r="C40" i="28" s="1"/>
  <c r="C54" i="28" a="1"/>
  <c r="C54" i="28" s="1"/>
  <c r="C68" i="28" a="1"/>
  <c r="C68" i="28" s="1"/>
  <c r="C95" i="28" a="1"/>
  <c r="C95" i="28" s="1"/>
  <c r="C109" i="28" a="1"/>
  <c r="C109" i="28" s="1"/>
  <c r="C123" i="28" a="1"/>
  <c r="C123" i="28" s="1"/>
  <c r="C136" i="28" a="1"/>
  <c r="C136" i="28" s="1"/>
  <c r="C162" i="28" a="1"/>
  <c r="C162" i="28" s="1"/>
  <c r="C190" i="28" a="1"/>
  <c r="C190" i="28" s="1"/>
  <c r="C220" i="28" a="1"/>
  <c r="C220" i="28" s="1"/>
  <c r="C262" i="28" a="1"/>
  <c r="C262" i="28" s="1"/>
  <c r="C289" i="28" a="1"/>
  <c r="C289" i="28" s="1"/>
  <c r="C317" i="28" a="1"/>
  <c r="C317" i="28" s="1"/>
  <c r="C331" i="28" a="1"/>
  <c r="C331" i="28" s="1"/>
  <c r="C345" i="28" a="1"/>
  <c r="C345" i="28" s="1"/>
  <c r="C371" i="28" a="1"/>
  <c r="C371" i="28" s="1"/>
  <c r="C372" i="28" a="1"/>
  <c r="C372" i="28" s="1"/>
  <c r="C29" i="28" a="1"/>
  <c r="C29" i="28" s="1"/>
  <c r="C84" i="28" a="1"/>
  <c r="C84" i="28" s="1"/>
  <c r="C138" i="28" a="1"/>
  <c r="C138" i="28" s="1"/>
  <c r="C192" i="28" a="1"/>
  <c r="C192" i="28" s="1"/>
  <c r="C98" i="28" a="1"/>
  <c r="C98" i="28" s="1"/>
  <c r="C223" i="28" a="1"/>
  <c r="C223" i="28" s="1"/>
  <c r="C14" i="28" a="1"/>
  <c r="C14" i="28" s="1"/>
  <c r="C28" i="28" a="1"/>
  <c r="C28" i="28" s="1"/>
  <c r="C41" i="28" a="1"/>
  <c r="C41" i="28" s="1"/>
  <c r="C83" i="28" a="1"/>
  <c r="C83" i="28" s="1"/>
  <c r="C96" i="28" a="1"/>
  <c r="C96" i="28" s="1"/>
  <c r="C110" i="28" a="1"/>
  <c r="C110" i="28" s="1"/>
  <c r="C124" i="28" a="1"/>
  <c r="C124" i="28" s="1"/>
  <c r="C137" i="28" a="1"/>
  <c r="C137" i="28" s="1"/>
  <c r="C163" i="28" a="1"/>
  <c r="C163" i="28" s="1"/>
  <c r="C177" i="28" a="1"/>
  <c r="C177" i="28" s="1"/>
  <c r="C191" i="28" a="1"/>
  <c r="C191" i="28" s="1"/>
  <c r="C221" i="28" a="1"/>
  <c r="C221" i="28" s="1"/>
  <c r="C235" i="28" a="1"/>
  <c r="C235" i="28" s="1"/>
  <c r="C249" i="28" a="1"/>
  <c r="C249" i="28" s="1"/>
  <c r="C290" i="28" a="1"/>
  <c r="C290" i="28" s="1"/>
  <c r="C318" i="28" a="1"/>
  <c r="C318" i="28" s="1"/>
  <c r="C332" i="28" a="1"/>
  <c r="C332" i="28" s="1"/>
  <c r="C346" i="28" a="1"/>
  <c r="C346" i="28" s="1"/>
  <c r="C56" i="28" a="1"/>
  <c r="C56" i="28" s="1"/>
  <c r="C111" i="28" a="1"/>
  <c r="C111" i="28" s="1"/>
  <c r="C164" i="28" a="1"/>
  <c r="C164" i="28" s="1"/>
  <c r="C222" i="28" a="1"/>
  <c r="C222" i="28" s="1"/>
  <c r="C139" i="28" a="1"/>
  <c r="C139" i="28" s="1"/>
  <c r="C178" i="28" l="1" a="1"/>
  <c r="C178" i="28" s="1"/>
  <c r="C324" i="28" l="1" a="1"/>
  <c r="C324" i="28" s="1"/>
  <c r="C358" i="28" a="1"/>
  <c r="C358" i="28" s="1"/>
  <c r="C108" i="28" a="1"/>
  <c r="C108" i="28" s="1"/>
  <c r="C258" i="28" a="1"/>
  <c r="C258" i="28" s="1"/>
  <c r="C295" i="28" l="1" a="1"/>
  <c r="C295" i="28" s="1"/>
  <c r="C303" i="28" a="1"/>
  <c r="C303" i="28" s="1"/>
  <c r="C263" i="28" a="1"/>
  <c r="C263" i="28" s="1"/>
  <c r="C5" i="28" a="1"/>
  <c r="C5" i="28" s="1"/>
  <c r="C248" i="28" a="1"/>
  <c r="C248" i="28" s="1"/>
  <c r="C374" i="28" a="1"/>
  <c r="C374" i="28" s="1"/>
  <c r="C297" i="28" a="1"/>
  <c r="C297" i="28" s="1"/>
  <c r="C171" i="28" a="1"/>
  <c r="C171" i="28" s="1"/>
  <c r="C234" i="28" a="1"/>
  <c r="C234" i="28" s="1"/>
  <c r="C325" i="28" a="1"/>
  <c r="C325" i="28" s="1"/>
  <c r="C144" i="28" a="1"/>
  <c r="C144" i="28" s="1"/>
  <c r="C352" i="28" a="1"/>
  <c r="C352" i="28" s="1"/>
  <c r="C170" i="28" a="1"/>
  <c r="C170" i="28" s="1"/>
  <c r="C310" i="28" a="1"/>
  <c r="C310" i="28" s="1"/>
  <c r="C176" i="28" a="1"/>
  <c r="C176" i="28" s="1"/>
  <c r="C62" i="28" a="1"/>
  <c r="C62" i="28" s="1"/>
  <c r="C343" i="28" a="1"/>
  <c r="C343" i="28" s="1"/>
  <c r="C115" i="28" a="1"/>
  <c r="C115" i="28" s="1"/>
  <c r="C339" i="28" a="1"/>
  <c r="C339" i="28" s="1"/>
  <c r="C287" i="28" a="1"/>
  <c r="C287" i="28" s="1"/>
  <c r="C55" i="28" a="1"/>
  <c r="C55" i="28" s="1"/>
  <c r="C10" i="28" a="1"/>
  <c r="C10" i="28" s="1"/>
  <c r="C158" i="28" a="1"/>
  <c r="C158" i="28" s="1"/>
  <c r="C119" i="28" a="1"/>
  <c r="C119" i="28" s="1"/>
  <c r="C161" i="28" a="1"/>
  <c r="C161" i="28" s="1"/>
  <c r="C365" i="28" a="1"/>
  <c r="C365" i="28" s="1"/>
  <c r="C82" i="28" l="1" a="1"/>
  <c r="C82" i="28" s="1"/>
  <c r="C276" i="28" a="1"/>
  <c r="C276" i="28" s="1"/>
  <c r="C271" i="28" a="1"/>
  <c r="C271" i="28" s="1"/>
  <c r="C284" i="28" a="1"/>
  <c r="C284" i="28" s="1"/>
  <c r="C344" i="28" a="1"/>
  <c r="C344" i="28" s="1"/>
  <c r="C185" i="28" a="1"/>
  <c r="C185" i="28" s="1"/>
  <c r="C207" i="28" a="1"/>
  <c r="C207" i="28" s="1"/>
  <c r="C322" i="28" a="1"/>
  <c r="C322" i="28" s="1"/>
  <c r="C314" i="28" a="1"/>
  <c r="C314" i="28" s="1"/>
  <c r="C168" i="28" a="1"/>
  <c r="C168" i="28" s="1"/>
  <c r="C206" i="28" a="1"/>
  <c r="C206" i="28" s="1"/>
  <c r="C304" i="28" a="1"/>
  <c r="C304" i="28" s="1"/>
  <c r="C320" i="28" l="1" a="1"/>
  <c r="C320" i="28" s="1"/>
  <c r="C230" i="28" a="1"/>
  <c r="C230" i="28" s="1"/>
  <c r="C299" i="28" a="1"/>
  <c r="C299" i="28" s="1"/>
  <c r="C43" i="28" a="1"/>
  <c r="C43" i="28" s="1"/>
  <c r="C370" i="28" a="1"/>
  <c r="C370" i="28" s="1"/>
  <c r="C92" i="28" a="1"/>
  <c r="C92" i="28" s="1"/>
  <c r="C272" i="28" a="1"/>
  <c r="C272" i="28" s="1"/>
  <c r="C195" i="28" a="1"/>
  <c r="C195" i="28" s="1"/>
  <c r="C42" i="28" a="1"/>
  <c r="C42" i="28" s="1"/>
  <c r="C232" i="28" a="1"/>
  <c r="C232" i="28" s="1"/>
  <c r="C243" i="28" a="1"/>
  <c r="C243" i="28" s="1"/>
  <c r="C347" i="28" a="1"/>
  <c r="C347" i="28" s="1"/>
  <c r="C150" i="28" a="1"/>
  <c r="C150" i="28" s="1"/>
  <c r="C315" i="28" a="1"/>
  <c r="C315" i="28" s="1"/>
  <c r="C160" i="28" a="1"/>
  <c r="C160" i="28" s="1"/>
  <c r="C69" i="28" a="1"/>
  <c r="C69" i="28" s="1"/>
  <c r="C236" i="28" a="1"/>
  <c r="C236" i="28" s="1"/>
  <c r="C156" i="28" a="1"/>
  <c r="C156" i="28" s="1"/>
  <c r="C348" i="28" a="1"/>
  <c r="C348" i="28" s="1"/>
  <c r="C188" i="28" a="1"/>
  <c r="C188" i="28" s="1"/>
  <c r="C256" i="28" a="1"/>
  <c r="C256" i="28" s="1"/>
  <c r="C143" i="28" a="1"/>
  <c r="C143" i="28" s="1"/>
  <c r="C326" i="28" a="1"/>
  <c r="C326" i="28" s="1"/>
  <c r="C294" i="28" a="1"/>
  <c r="C294" i="28" s="1"/>
  <c r="C251" i="28" a="1"/>
  <c r="C251" i="28" s="1"/>
  <c r="C8" i="28" a="1"/>
  <c r="C8" i="28" s="1"/>
  <c r="C65" i="28" a="1"/>
  <c r="C65" i="28" s="1"/>
  <c r="C204" i="28" a="1"/>
  <c r="C204" i="28" s="1"/>
  <c r="C250" i="28" a="1"/>
  <c r="C250" i="28" s="1"/>
  <c r="C30" i="28" a="1"/>
  <c r="C30" i="28" s="1"/>
  <c r="C4" i="28" a="1"/>
  <c r="C4" i="28" s="1"/>
  <c r="C285" i="28" a="1"/>
  <c r="C285" i="28" s="1"/>
  <c r="C269" i="28" a="1"/>
  <c r="C269" i="28" s="1"/>
  <c r="C147" i="28" a="1"/>
  <c r="C147" i="28" s="1"/>
  <c r="C15" i="28" a="1"/>
  <c r="C15" i="28" s="1"/>
  <c r="C302" i="28" a="1"/>
  <c r="C302" i="28" s="1"/>
  <c r="C277" i="28" a="1"/>
  <c r="C277" i="28" s="1"/>
  <c r="C216" i="28" a="1"/>
  <c r="C216" i="28" s="1"/>
  <c r="C359" i="28" a="1"/>
  <c r="C359" i="28" s="1"/>
  <c r="C282" i="28" a="1"/>
  <c r="C282" i="28" s="1"/>
  <c r="C292" i="28" a="1"/>
  <c r="C292" i="28" s="1"/>
  <c r="C184" i="28" a="1"/>
  <c r="C184"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D4" authorId="0" shapeId="0" xr:uid="{3C4D57F0-6D3B-414A-8D45-59383F3AF24B}">
      <text>
        <r>
          <rPr>
            <b/>
            <sz val="9"/>
            <color indexed="81"/>
            <rFont val="Tahoma"/>
            <family val="2"/>
          </rPr>
          <t>hp:</t>
        </r>
        <r>
          <rPr>
            <sz val="9"/>
            <color indexed="81"/>
            <rFont val="Tahoma"/>
            <family val="2"/>
          </rPr>
          <t xml:space="preserve">
This is the primary key for tracking the enitre request in the Request tracker and demand fulfillment tab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Anjana Sharma</author>
  </authors>
  <commentList>
    <comment ref="I1" authorId="0" shapeId="0" xr:uid="{45B0BAA3-0E90-45F1-AA4F-FE7BCA8AA0C7}">
      <text>
        <r>
          <rPr>
            <sz val="11"/>
            <color theme="1"/>
            <rFont val="Calibri"/>
            <family val="2"/>
            <scheme val="minor"/>
          </rPr>
          <t>=IF(
   OR(I2="",I2="NA"),
   "",
   VALUE(LEFT(I2,FIND("years",I2)-1)) +
   VALUE(MID(I2,FIND("years",I2)+5,FIND("months",I2)-FIND("years",I2)-5))/12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<sst xmlns="http://schemas.openxmlformats.org/spreadsheetml/2006/main" count="7940" uniqueCount="2708">
  <si>
    <t xml:space="preserve">For Capturing  the details in the Meeting with Client </t>
  </si>
  <si>
    <t>S.No</t>
  </si>
  <si>
    <t xml:space="preserve">Request ID </t>
  </si>
  <si>
    <t xml:space="preserve">Opportunity Name </t>
  </si>
  <si>
    <t>Project Name</t>
  </si>
  <si>
    <t>Skills</t>
  </si>
  <si>
    <t xml:space="preserve">Comment </t>
  </si>
  <si>
    <t>Snowflake  Optimization</t>
  </si>
  <si>
    <t xml:space="preserve">Snowflakes Expert </t>
  </si>
  <si>
    <t>* Infra-Level Snowflake: Focus primarily on cost optimization, including warehouse, storage, and cluster-level adjustments.
* Query Optimization: Assumed to be already optimized, as per the client’s input.
* Timeline: The project is expected to span 16 weeks.
* Cluster and Warehouse Details: Need clarification on the number of clusters and warehouses.
Environments:
* Four environments: Dev, QA, Prod, and Sandbox.
* All are hosted on the same Snowflake instance.
* Role-Based Access Control (RBAC): The client wants to implement RBAC for this instance.
* Team Size: Can accommodate two team members for this project.
* Cloud Platform: The instance is hosted on Azure.</t>
  </si>
  <si>
    <t>Snowflake ETL Developer</t>
  </si>
  <si>
    <t>* ETL &amp; data warehousing concepts.
* SQL
* Experience in Databricks 
* Experience in Snowflake</t>
  </si>
  <si>
    <t xml:space="preserve">* Work Independently with Client 
* Will have Interview process
* ~5-6 months with the very high potential of extending to more than a year long depending on our performance </t>
  </si>
  <si>
    <t>EDA Initiatives FY25 – React Application Development Additional team</t>
  </si>
  <si>
    <t>Takeda EDA EDB Platform WP FY 2025</t>
  </si>
  <si>
    <t xml:space="preserve">ETL Data Engineers 
• Databricks  - Sparksql , no pyspark
• AWS 
• Python 
• SQL 
* Redshift 
* Open to Learn new Things 
* Lead Role 
* Independent client handling </t>
  </si>
  <si>
    <r>
      <t xml:space="preserve">* For mulitple Mini/VC Projects 
* Cluster of folks ranging from Senior to Junior engineers - In Batches
* No interviews required
* Onboard Gopal for architect , already working in tango (takeda project) 
* Follow agile process (hours will be accounted) 
* Start with 2-3 folks 
* ZS and Takeda onborading will take around 1-2 weeks 
* Mature Highly skilled Mentor/Consultant role 
* Figure out the  SOW Process , in case if folks allocation is scattered 
* Try to staff at the start of the month and avoid end dates 
* Next week is ZS PI planning - ZS team will be in banglore 
* To communicate some concreate number of folks by Monday 
*  </t>
    </r>
    <r>
      <rPr>
        <b/>
        <sz val="10"/>
        <color theme="1"/>
        <rFont val="Calibri"/>
        <family val="2"/>
      </rPr>
      <t xml:space="preserve">beyond the individual contributor role, they also need to play the lead role at time where they can own few smaller pieces and run them independently and also guide junior members. </t>
    </r>
    <r>
      <rPr>
        <sz val="10"/>
        <color theme="1"/>
        <rFont val="Calibri"/>
        <family val="2"/>
      </rPr>
      <t xml:space="preserve">
* Pune  - Delhi  - Banglore - Remote </t>
    </r>
  </si>
  <si>
    <t xml:space="preserve">Takeda Onsite opportunity </t>
  </si>
  <si>
    <t>Onsite Leads - US (Tampa)</t>
  </si>
  <si>
    <t xml:space="preserve">Currently Hardeep is working </t>
  </si>
  <si>
    <t xml:space="preserve">Gen AI Testing </t>
  </si>
  <si>
    <t>Automation Testers with expertise in GenAI testing</t>
  </si>
  <si>
    <t>Fundamentals of software testing (functional, regression, performance, security)
Test automation tools (e.g., Selenium, Playwright, Cypress)
Python proficiency
Experience with CI/CD pipelines
AI/ML model testing knowledge
Bias detection, prompt engineering, and ethical validation knowledge</t>
  </si>
  <si>
    <t xml:space="preserve">ESCOE Admin Opportunity </t>
  </si>
  <si>
    <t>Infra Admin</t>
  </si>
  <si>
    <t>Skills: AWS, Databricks, Terraform, Prometheus, GitHub Actions, CloudFormation, Ansible, Docker, Kubernetes, Jenkins
Experience: 6-8 years</t>
  </si>
  <si>
    <t>Operations (DCT)</t>
  </si>
  <si>
    <t>ETL Testing</t>
  </si>
  <si>
    <t>Skillset: ETL Testing, Functional and Non-Functional UI Testing, SQL, Python
Years of Experience: 3–6 years
Project Duration: 3–6 months
Preferred: Experience with Amgen systems and GxP/validated environments
Expected Joining: 1st or 2nd week of February 2025
Number of Positions: 1</t>
  </si>
  <si>
    <t>MDM (Master Data Management)</t>
  </si>
  <si>
    <t xml:space="preserve">• Data engineering - Delhi - 2/3 
	• Pyspark , SQL , Python 
* Experience - 4+ 
* Requested by Rajat on call on 4th Feb 2025 </t>
  </si>
  <si>
    <t>In Silico Aided Product Team Jan- Mar 2025</t>
  </si>
  <si>
    <t>Old Request of 2024</t>
  </si>
  <si>
    <t>Evidence 360 - ZS Evidence Pro Deploy Jan- Mar 2025</t>
  </si>
  <si>
    <t>BiTE CRS KTLO  Jan 2025</t>
  </si>
  <si>
    <t>Roche OCEAN CDR Jan- Mar 2025</t>
  </si>
  <si>
    <t>Takeda Infrastructure Automation Initiative Jan- Mar 2025</t>
  </si>
  <si>
    <t>Trial Analytics Compass Live Ops FY25</t>
  </si>
  <si>
    <t>Big Data POD ESCOE Asset Development Jan- Mar 2025</t>
  </si>
  <si>
    <t>Seattle Genetics Jan 2025</t>
  </si>
  <si>
    <t>Amgen OPSDSC project Oct- Mar 2025</t>
  </si>
  <si>
    <t>Takeda Tango EDB Implementation - Phase 2 Nov- Mar</t>
  </si>
  <si>
    <t>Trial Compass Enhancements Q1 FY25</t>
  </si>
  <si>
    <t>Amgen EEA Durable Capability Program Jan- Mar 2025</t>
  </si>
  <si>
    <t>EDL KTLO Platform Jan- Mar 2025</t>
  </si>
  <si>
    <t>RWE KTLO Operations project Jan-Mar 2025</t>
  </si>
  <si>
    <t>EDF Durable Jan- Mar 2025</t>
  </si>
  <si>
    <t>Durable capability program Jan- Mar 2025</t>
  </si>
  <si>
    <t>Data Market Place Project Jan- Mar 2025</t>
  </si>
  <si>
    <t>EEA GenAI Acceleration Center Jan- Mar 2025</t>
  </si>
  <si>
    <t>Amgen AOH Control Tower-Amgen   Jan 2025</t>
  </si>
  <si>
    <t>Allogene Data Lake Enhancements Jan- Mar 2025</t>
  </si>
  <si>
    <t>iDNA Ops &amp; Enhancements Jan- Feb 2025</t>
  </si>
  <si>
    <t>EDM DPC Data Inventory and Data Management Oct- Mar 2025</t>
  </si>
  <si>
    <t>JPXDTIT NexGen Jan- Mar 2025</t>
  </si>
  <si>
    <t xml:space="preserve">ETL &amp; PowerBI Testing </t>
  </si>
  <si>
    <t>ETL and Power BI testing</t>
  </si>
  <si>
    <t xml:space="preserve">ESCOE - UI , DS &amp; ETL </t>
  </si>
  <si>
    <t>UI - Angular       3 resources        
Data scientist -- Manu , other - total 3 
Data engineer - python , AWS , Pyspark 3</t>
  </si>
  <si>
    <t xml:space="preserve">Via call from Sandeep to sampath </t>
  </si>
  <si>
    <t>Seattle Genetics March 2025</t>
  </si>
  <si>
    <t xml:space="preserve">DE - Extenstion on the previous work 
Wants to check for the avaialblity of prasanna </t>
  </si>
  <si>
    <t xml:space="preserve">Via message chat with Rajat </t>
  </si>
  <si>
    <t>Takeda Tango EDB Implementation - Phase 2 Apr</t>
  </si>
  <si>
    <t xml:space="preserve">Arpan informed paresh that his last working day in RA is 16th April.
We need to find a replacement as the current ZS project is expected to be till April end.
Shadow resource for 1 month in advacne 
Data Engineer  - Python , Databricks , SQL </t>
  </si>
  <si>
    <t>Roche ZS AWS COE</t>
  </si>
  <si>
    <t>Project QA Lead
Technical Delivery Lead
Sr. Backend Engineer
Full-Stack Developer</t>
  </si>
  <si>
    <t xml:space="preserve">GMA </t>
  </si>
  <si>
    <t>Power BI</t>
  </si>
  <si>
    <t xml:space="preserve">Due to syed's health condition , Need a replacement for syed who was given to ZS for seagen space but they were internally utilising him to takeda  
1 more senior resource for Power BI </t>
  </si>
  <si>
    <t>Next Gen Data &amp; Analytics Platform Jan 2025</t>
  </si>
  <si>
    <t>Merck HHIE Analytics Platform DevOps Squad</t>
  </si>
  <si>
    <t>Infrastructure Automation</t>
  </si>
  <si>
    <t>1 . Tech Delivery Role 
2.  Replacement for Neetesh</t>
  </si>
  <si>
    <t>Roche DISTILL GxP (0145CH0101)</t>
  </si>
  <si>
    <t>We are looking for a senior DE profile to start ASAP on one of the projects, can you please help if there is any resource whom we can onboard to the project
•	YOE: Must be 8+ in Data Engineering
•	Location Preference: Pune
•	Hard skills: 
o	Must have: 
	Strong Python expertise (best practices)
	Strong Git fundamentals: Any Git service (GitLab (preferred) or GitHub, Bitbucket, etc.)
	Strong knowledge on Apache Spark
	Good knowledge on common AWS services (S3, EMR/EC2 are must)
	Good knowledge on Airflow 
	Familiar with at least one large-scale SQL databases (Snowflake (preferred), Postgres, MySQL) 
o	Good to have: 
	Knowledge of CI/CD processes &amp; practices
•	Soft skills: 
o	Good communication skills
o	Team player</t>
  </si>
  <si>
    <t>Merck Chem Squad</t>
  </si>
  <si>
    <t xml:space="preserve">OLD request of 2024
currently onboarded in T&amp;M model 
Need to convert him in FP and time model </t>
  </si>
  <si>
    <t>React + Full Stack developer for a client</t>
  </si>
  <si>
    <t>Full stack UI</t>
  </si>
  <si>
    <t>GenAI program</t>
  </si>
  <si>
    <t>2 Gen AI and 1 Devops</t>
  </si>
  <si>
    <t>Contract Data Analytics</t>
  </si>
  <si>
    <t xml:space="preserve">Resource extension and they have been moved to a different project now </t>
  </si>
  <si>
    <t>Commercial Integration Hub</t>
  </si>
  <si>
    <t xml:space="preserve"> Full stack/react senior developer</t>
  </si>
  <si>
    <t xml:space="preserve">To start with immediately </t>
  </si>
  <si>
    <t>Takeda EDA AI Platform WP FY 2025</t>
  </si>
  <si>
    <t xml:space="preserve">3 Delivery lead 
6-8 (12) - junior developer / senior  -- full stack  -- React + fast API  (React only) </t>
  </si>
  <si>
    <t xml:space="preserve">Big projects 
Mostly will start from June 
Will have multiple projects with different deadlines 
</t>
  </si>
  <si>
    <t>Takeda EDB Platform &amp; Gen AI Initiative</t>
  </si>
  <si>
    <t xml:space="preserve">3 Delivery lead 
6-8 (12) - junior developer / senior  -- full stack  -- React + fast API  (React only) 
</t>
  </si>
  <si>
    <t>Takeda Data Governance &amp; Data Quality Initiative</t>
  </si>
  <si>
    <t xml:space="preserve">Terraform Developer - PLACEHOLDER </t>
  </si>
  <si>
    <t>2 Terraform developers - urgent basis. 
minimum 3-4 years of experience. 
Required Skills:
•	Strong hands-on experience with Terraform and IaC principles.
•	Solid understanding of AWS services (e.g., EC2, S3, IAM, VPC, Lambda, etc.).
•	Experience working with Databricks and IDMC (Informatica Intelligent Data Management Cloud)
•	Ability to contribute to solution design, architecture discussions, and documentation.
•	Good scripting knowledge for automation workflows</t>
  </si>
  <si>
    <t xml:space="preserve">We will need 2 Terraform developers for the EDB &amp; AI labs Platform work on an urgent basis. Given the skillset, these would ideally be people with minimum 3-4 years of experience. The work is going to be longer term , through the year. Some details on skillsets / core responsibilities below :
Key Responsibilities:
•	Design and develop Infrastructure as Code (IaC) solutions using Terraform to automate provisioning across AWS, Databricks, and IDMC environments.
•	Collaborate with architects and stakeholders to define scalable, secure, and reusable infrastructure solutions.
•	Implement and maintain modules for consistent infrastructure deployment and versioning.
•	Troubleshoot and resolve infrastructure-related issues in dev, test, and production environments.
•	Ensure adherence to best practices in security, scalability, and automation.
</t>
  </si>
  <si>
    <t>Amgen AIN Search KTLO</t>
  </si>
  <si>
    <t>1. Tech stack: Java &amp; Python (for basic debugging and issue resolution), SOLR, AWS services (EKS, RDS, EC2, IAM, S3, CloudWatch), Airflow, Dynatrace, Kibana, Veracode, Twigkit, GitLab, CI/CD
2. Production support and Incident Management
3. Server Patching and Infra Upgrades
4. Deployment and Change management</t>
  </si>
  <si>
    <t>Amgen AIN Databricks Admin</t>
  </si>
  <si>
    <t>Databricks</t>
  </si>
  <si>
    <t>Amgen AIN Informatica IDQ Admin</t>
  </si>
  <si>
    <t>Informatica MDM</t>
  </si>
  <si>
    <t>Amgen OPS Project Opportunities</t>
  </si>
  <si>
    <t>Gen AI
Data Engineer
Fullstack</t>
  </si>
  <si>
    <t>DSE Platform Operations</t>
  </si>
  <si>
    <t>Python, Kubernetes, Workbench</t>
  </si>
  <si>
    <t>Self-Service Build Out</t>
  </si>
  <si>
    <t>Python, Kubernetes, AWS</t>
  </si>
  <si>
    <t xml:space="preserve">EDB Initiatives FY25 – GenAI Initiative requirement </t>
  </si>
  <si>
    <t xml:space="preserve">Need one GenAI lead </t>
  </si>
  <si>
    <t xml:space="preserve">Additional React developers </t>
  </si>
  <si>
    <t xml:space="preserve">Need 2 more react developers for takeda </t>
  </si>
  <si>
    <t>Replacement Data Eng - Sai mukesh</t>
  </si>
  <si>
    <t>Data Eng with exp &gt; 3
Amazon MWAA, S3, Databricks, Python, SQL, Pyspark, Terraform Cloud(Basics), Harness, Azure Data Factory, Azure databricks.</t>
  </si>
  <si>
    <t xml:space="preserve">Replacement of Sai mukesh - to start from Sep to get proper transition </t>
  </si>
  <si>
    <t>Testing COE - ETL Requirements - Amgen July- Sep 2025</t>
  </si>
  <si>
    <t xml:space="preserve">Need 2 ETL testers </t>
  </si>
  <si>
    <t>Extension of existing resources for sep 25</t>
  </si>
  <si>
    <t xml:space="preserve">For Sanjana and fazulu </t>
  </si>
  <si>
    <t xml:space="preserve">Data engineers </t>
  </si>
  <si>
    <t xml:space="preserve">2-3 mid </t>
  </si>
  <si>
    <t xml:space="preserve">Replacement of Dayal - React </t>
  </si>
  <si>
    <t xml:space="preserve">React Developer </t>
  </si>
  <si>
    <t xml:space="preserve">Extension of Takeda resources for Q4 25 </t>
  </si>
  <si>
    <t xml:space="preserve">2 SOWS extensions </t>
  </si>
  <si>
    <t>Takeda - Extension of resources for Q1 26</t>
  </si>
  <si>
    <t xml:space="preserve">Including replcement of jebby and nayan </t>
  </si>
  <si>
    <t>UCB - Extension of resources for Q1 26</t>
  </si>
  <si>
    <t>Allogene - Extension of resources for Q1 26</t>
  </si>
  <si>
    <t xml:space="preserve">ESCOE - GenAI </t>
  </si>
  <si>
    <t>Official from Jan 2026</t>
  </si>
  <si>
    <t>Candidate Name</t>
  </si>
  <si>
    <t>Client Space</t>
  </si>
  <si>
    <t>Expected Offboarding Date</t>
  </si>
  <si>
    <t>Joining Date</t>
  </si>
  <si>
    <t>SOW Name</t>
  </si>
  <si>
    <t>Open Air Project ID</t>
  </si>
  <si>
    <t>Yerrannagari Sai  Mukhesh</t>
  </si>
  <si>
    <t>Takeda</t>
  </si>
  <si>
    <t xml:space="preserve">Rahul Ramesh Basani  </t>
  </si>
  <si>
    <t xml:space="preserve">Amgen R&amp;D </t>
  </si>
  <si>
    <t xml:space="preserve">Vishal Narendra Patil  </t>
  </si>
  <si>
    <t>ZS Testing</t>
  </si>
  <si>
    <t xml:space="preserve">Ayush Kumar Choudhary  </t>
  </si>
  <si>
    <t xml:space="preserve">Sushil Chandrakant Gaikwad  </t>
  </si>
  <si>
    <t xml:space="preserve">Shaik Mohammad Sahil  </t>
  </si>
  <si>
    <t>Roche</t>
  </si>
  <si>
    <t xml:space="preserve">Syed Faraz Ali  </t>
  </si>
  <si>
    <t xml:space="preserve">Jebby John   </t>
  </si>
  <si>
    <t xml:space="preserve">Akhilkrishnan K   </t>
  </si>
  <si>
    <t>ESCOE</t>
  </si>
  <si>
    <t xml:space="preserve">Abhinav Singh   </t>
  </si>
  <si>
    <t xml:space="preserve">Sai Sandeep S  </t>
  </si>
  <si>
    <t xml:space="preserve">Prabhakaran Dhanasekarapandian   </t>
  </si>
  <si>
    <t xml:space="preserve">Mallela Sai Reethi  </t>
  </si>
  <si>
    <t xml:space="preserve">Sukhwinder Singh   </t>
  </si>
  <si>
    <t xml:space="preserve">Rahul Pokharia   </t>
  </si>
  <si>
    <t xml:space="preserve">Arun Singh Kushwaha  </t>
  </si>
  <si>
    <t xml:space="preserve">Sarun Natarajan   </t>
  </si>
  <si>
    <t xml:space="preserve">Anshul Kumar   </t>
  </si>
  <si>
    <t xml:space="preserve">Varshini K V  </t>
  </si>
  <si>
    <t>Amgen Operations</t>
  </si>
  <si>
    <t xml:space="preserve">Mohammed Shahid Shariff M </t>
  </si>
  <si>
    <t xml:space="preserve">Abhishek Kurup   </t>
  </si>
  <si>
    <t xml:space="preserve">Maneesha Peddireddy   </t>
  </si>
  <si>
    <t xml:space="preserve">M Subramanyam Dora  </t>
  </si>
  <si>
    <t>Amgen Enterprise</t>
  </si>
  <si>
    <t xml:space="preserve">D Vinod Kumar Reddy </t>
  </si>
  <si>
    <t xml:space="preserve">Gaurav Kumar Singh  </t>
  </si>
  <si>
    <t xml:space="preserve">Habib Khan   </t>
  </si>
  <si>
    <t xml:space="preserve">Majid V A  </t>
  </si>
  <si>
    <t xml:space="preserve">Samrudh Advani A M </t>
  </si>
  <si>
    <t xml:space="preserve">Vignesh Prabhu V  </t>
  </si>
  <si>
    <t xml:space="preserve">V Krithika   </t>
  </si>
  <si>
    <t xml:space="preserve">Shilpa R   </t>
  </si>
  <si>
    <t xml:space="preserve">Jhenkar HG   </t>
  </si>
  <si>
    <t xml:space="preserve">Manisha Pedhaguntlapalli   </t>
  </si>
  <si>
    <t xml:space="preserve">Aiswarya S   </t>
  </si>
  <si>
    <t xml:space="preserve">Heena Kouser S  </t>
  </si>
  <si>
    <t xml:space="preserve">Visnu KRB   </t>
  </si>
  <si>
    <t xml:space="preserve">Snigda Suresh   </t>
  </si>
  <si>
    <t xml:space="preserve">Rupak Kumar   </t>
  </si>
  <si>
    <t xml:space="preserve">Adith Suresh   </t>
  </si>
  <si>
    <t xml:space="preserve">Aditya Kumar Keshri  </t>
  </si>
  <si>
    <t xml:space="preserve">Netturi Kowshik Basha  </t>
  </si>
  <si>
    <t>Allogene</t>
  </si>
  <si>
    <t xml:space="preserve">Veeramreddy Rupeshreddy   </t>
  </si>
  <si>
    <t xml:space="preserve">Tushar Gatkal   </t>
  </si>
  <si>
    <t xml:space="preserve">Mahesh Balikai   </t>
  </si>
  <si>
    <t xml:space="preserve">Uttaradi Sai Chaitanya  </t>
  </si>
  <si>
    <t>Anjana Sharma</t>
  </si>
  <si>
    <t xml:space="preserve">Shivam Mohan Katkamwar  </t>
  </si>
  <si>
    <t xml:space="preserve">Pranjay Kumar Singh  </t>
  </si>
  <si>
    <t>UCB</t>
  </si>
  <si>
    <t xml:space="preserve">Nayan Vilas Nikam  </t>
  </si>
  <si>
    <t xml:space="preserve">Suparna BK   </t>
  </si>
  <si>
    <t>Mohan N</t>
  </si>
  <si>
    <t xml:space="preserve">Sareesh Krishnan   </t>
  </si>
  <si>
    <t>Dayal Dev</t>
  </si>
  <si>
    <t xml:space="preserve">Fazulu Rehaman   </t>
  </si>
  <si>
    <t>Sanjana Nn</t>
  </si>
  <si>
    <t>Abhijith M S</t>
  </si>
  <si>
    <t xml:space="preserve">K Prasanna   </t>
  </si>
  <si>
    <t xml:space="preserve">G Himabindu   </t>
  </si>
  <si>
    <t>Nisfan  Sabith</t>
  </si>
  <si>
    <t>Litesh Kolte</t>
  </si>
  <si>
    <t>Amgen Commercial</t>
  </si>
  <si>
    <t xml:space="preserve">Swagato Das   </t>
  </si>
  <si>
    <t xml:space="preserve">S Sri Archana  </t>
  </si>
  <si>
    <t xml:space="preserve">Swetha S   </t>
  </si>
  <si>
    <t>S.NO</t>
  </si>
  <si>
    <t>Emp Name</t>
  </si>
  <si>
    <t>RA ID</t>
  </si>
  <si>
    <t xml:space="preserve">Email Id </t>
  </si>
  <si>
    <t>PIW Role</t>
  </si>
  <si>
    <t>Role/Domain</t>
  </si>
  <si>
    <t>Working in ZS?</t>
  </si>
  <si>
    <t>Total 
Workex (yr and months)</t>
  </si>
  <si>
    <t>Total 
Workex (yr)</t>
  </si>
  <si>
    <t>Previous Experience 
(Before RA/KL)</t>
  </si>
  <si>
    <t xml:space="preserve">DOJ 
(Hiring Date in KL/RA)
</t>
  </si>
  <si>
    <t>Calculated Total Workex (yr)</t>
  </si>
  <si>
    <t>Primary skills</t>
  </si>
  <si>
    <t>Backend</t>
  </si>
  <si>
    <t>Frontend</t>
  </si>
  <si>
    <t>AI/ML</t>
  </si>
  <si>
    <t>Data Science/Data Eng/BI</t>
  </si>
  <si>
    <t>DevOps</t>
  </si>
  <si>
    <t>Product/Framework</t>
  </si>
  <si>
    <t>Quality</t>
  </si>
  <si>
    <t>Soft Skills</t>
  </si>
  <si>
    <t xml:space="preserve">Aayush    </t>
  </si>
  <si>
    <t>GCC Engineer</t>
  </si>
  <si>
    <t>Implementation</t>
  </si>
  <si>
    <t>1years 4months</t>
  </si>
  <si>
    <t xml:space="preserve">0    </t>
  </si>
  <si>
    <t>Java</t>
  </si>
  <si>
    <t> </t>
  </si>
  <si>
    <t>Aayush  Agarwal</t>
  </si>
  <si>
    <t>Devops</t>
  </si>
  <si>
    <t>6years 2months</t>
  </si>
  <si>
    <t xml:space="preserve">Abe Kuriachan   </t>
  </si>
  <si>
    <t>NA</t>
  </si>
  <si>
    <t>Abhijeet  Anand</t>
  </si>
  <si>
    <t>UI</t>
  </si>
  <si>
    <t>Yes</t>
  </si>
  <si>
    <t>0years 3months</t>
  </si>
  <si>
    <t>AngularJS, Python (Programming Language), React Redux, React.js</t>
  </si>
  <si>
    <t>Angular</t>
  </si>
  <si>
    <t>GCC Sr. Engineer</t>
  </si>
  <si>
    <t>9years 6months</t>
  </si>
  <si>
    <t>Data Engineer</t>
  </si>
  <si>
    <t>7years 6months</t>
  </si>
  <si>
    <t>RA Funct| Fine Tuning Large Language Models, RA Funct| Prompt Engineering, RA IT| Amazon DynamoDB, RA IT| Amazon EMR, RA IT| Apache Airflow, RA IT| Azure Cognitive Services, RA IT| Azure Cosmos DB, RA IT| Azure Databricks, RA IT| Azure OpenAI Service, RA IT| Azure Synapse Analytics, RA IT| BERT / GPT models, RA IT| ChatGPT, RA IT| Databricks, RA IT| Databricks Lakehouse, RA IT| Databricks Runtime, RA IT| Delta Lake, RA IT| FastAPI, RA IT| Flask, RA IT| GCP Vertex AI, RA IT| Gemini (Google DeepMind), RA IT| Jupyter Notebooks, RA IT| KubeFlow, RA IT| Kubernetes, RA IT| LangChain, RA IT| OpenAI API, RA IT| OpenAI GPT-4, RA IT| Postgres, RA IT| RAG (Retrieval-Augmented Generation), RA IT| Reidis, RA IT| Streamlit, RA IT| Vector Databases (e.g., FAISS, Milvus, Pinecone)</t>
  </si>
  <si>
    <t>Python</t>
  </si>
  <si>
    <t>GenAI</t>
  </si>
  <si>
    <t>Abhishek Nayak U</t>
  </si>
  <si>
    <t>3years 3months</t>
  </si>
  <si>
    <t xml:space="preserve">Adabala Satyaram   </t>
  </si>
  <si>
    <t>Scrum</t>
  </si>
  <si>
    <t>17years 6months</t>
  </si>
  <si>
    <t xml:space="preserve">13years 0months   </t>
  </si>
  <si>
    <t>Agile Methodology, Azure Devops, Customer Success Management (CSM), Project Management, Scrum Methodology, Support Management, Support Team Management</t>
  </si>
  <si>
    <t>FTOptix</t>
  </si>
  <si>
    <t>Agile FP</t>
  </si>
  <si>
    <t>6years 10months</t>
  </si>
  <si>
    <t xml:space="preserve">1years 0months   </t>
  </si>
  <si>
    <t>DevOps, MySQL, Software Development, Solution Implementation</t>
  </si>
  <si>
    <t>GenAI (Training)</t>
  </si>
  <si>
    <t xml:space="preserve">Aishwarya B N  </t>
  </si>
  <si>
    <t>Data Visualisation</t>
  </si>
  <si>
    <t>3years 4months</t>
  </si>
  <si>
    <t>Data Analysis, Data Modeling, Data Quality, Data Visualization, DAX Language, Logistics, Microsoft Azure, Microsoft Excel, Microsoft Power Business Intelligence (BI), Requirements Gathering, Structured Query Language (SQL), Supply Chain Strategies</t>
  </si>
  <si>
    <t>Python, Java</t>
  </si>
  <si>
    <t>Aishwarya B Nair</t>
  </si>
  <si>
    <t>RA IT| Amazon Web Services, RA IT| Cognite, RA IT| FastAPI, RA IT| GitLab, RA IT| JSON, RA IT| Linux, RA IT| MongoDB, RA IT| MS Azure Cloud, RA IT| MS SQL, RA IT| PostgreSQL, RA IT| PYTHON, RA IT| PyTorch, RA IT| REST, RA IT| scikit-learn, RA IT| seaborn, RA IT| SonarQube, RA IT| YAML</t>
  </si>
  <si>
    <t>Ajaykumarreddy Kummetha</t>
  </si>
  <si>
    <t>3years 9months</t>
  </si>
  <si>
    <t>2.10</t>
  </si>
  <si>
    <t>Ansible (Software), Artificial Intelligence (AI), AWS DataSync, Data Science, Django Web Framework, Flask (Web Framework), Flask-RESTful, Git, GitHub, GitLab, Linux, Machine Learning (ML), Microsoft Azure, Python (Programming Language), PyTorch, RA IT| Amazon Bedrock, RA IT| Amazon DynamoDB, RA IT| Docker, RA IT| Docker Compose, RA IT| FastAPI, RA IT| Flask, RA IT| Kubernetes, RA IT| Minikube, RA IT| Postgres, Tensorflow, Terraform</t>
  </si>
  <si>
    <t xml:space="preserve">Akhil K R  </t>
  </si>
  <si>
    <t>3years 11months</t>
  </si>
  <si>
    <t xml:space="preserve">Akhila V K  </t>
  </si>
  <si>
    <t>2years 2months</t>
  </si>
  <si>
    <t>Angular, Angular UI, AngularJS, Cascading Style Sheets (CSS), CSS HTML, HTML Web Development, Hyper Text Markup Language (HTML), JavaScript, JSON, RA IT| AngularJS, RA IT| Charts.js, TypeScript</t>
  </si>
  <si>
    <t>4years 7months</t>
  </si>
  <si>
    <t xml:space="preserve">0years 8months   </t>
  </si>
  <si>
    <t>Bootstrap (Front-End Framework), Debugging, JavaScript, Material UI, ng-bootstrap, RA IT| Angular, RA IT| AngularJS, RA IT| Charts.js, RA IT| ChatGPT, RA IT| D3.js, RA IT| Docker, RA IT| HTML; Java Script; CSS, RA IT| HTML5, RA IT| JSON, RA IT| Web Services, React.js, Software Engineering, TypeScript, Version Control</t>
  </si>
  <si>
    <t>Akshaya   P S</t>
  </si>
  <si>
    <t>8years 5months</t>
  </si>
  <si>
    <t>RA Funct| Database Implementation, RA Funct| Prompt Engineering, RA Funct| Software Architecture Planning, RA Funct| Software Code Review, RA Funct| Software Development Lifecycle, RA IT| Amazon Web Services, RA IT| Azure Databricks, RA IT| Azure OpenAI Service, RA IT| C/C++, RA IT| ChatGPT, RA IT| Databricks, RA IT| ElasticSearch, RA IT| FastAPI, RA IT| Flask, RA IT| GitLab, RA IT| GraphQL, RA IT| Jira, RA IT| JSON, RA IT| LangChain, RA IT| MongoDB, RA IT| MySQL, RA IT| Object Oriented Programming, RA IT| OpenAI GPT-4, RA IT| Postgres, RA IT| PostgreSQL, RA IT| PYTHON, RA IT| RAG (Retrieval-Augmented Generation), RA IT| Reidis, RA IT| REST, RA IT| SonarQube, RA IT| SQL, RA IT| Vector Databases (e.g., FAISS, Milvus, Pinecone), RA IT| Web Services</t>
  </si>
  <si>
    <t>GenAI (E)</t>
  </si>
  <si>
    <t xml:space="preserve">Aliva Mishra   </t>
  </si>
  <si>
    <t xml:space="preserve">Amal Bhas P  </t>
  </si>
  <si>
    <t>3years 2months</t>
  </si>
  <si>
    <t xml:space="preserve">Amrit Nandan Satapathy  </t>
  </si>
  <si>
    <t>UX</t>
  </si>
  <si>
    <t>3years 5months</t>
  </si>
  <si>
    <t>Design, Information Architecture Design, Prototyping, UI/UX Design, User Experience (UX), User Interface (UI) Design, User Research, User-Centered Design (UCC)</t>
  </si>
  <si>
    <t>Anand  Rao S</t>
  </si>
  <si>
    <t>QA</t>
  </si>
  <si>
    <t>Automation Testing, Defect Life Cycle, JIRA Tool, Manual Testing, Python (Programming Language), Selenium, Selenium Automation, Selenium Testing, Software Development Life Cycle (SDLC), Software Testing, Software Testing Life Cycle (STLC), Structured Query Language (SQL)</t>
  </si>
  <si>
    <t xml:space="preserve">Aneesh K   </t>
  </si>
  <si>
    <t>Anikmon Davis</t>
  </si>
  <si>
    <t>2years 11months</t>
  </si>
  <si>
    <t>Amazon S3, AWS Elastic Kubernetes Service (EKS), Azure App Service, Azure Data Factory, Azure Devops, Azure Kubernetes Service (AKS), DevOps, Docker (Software), Dockerfile, GitLab, GitLab CI/CD, Jenkins Continuous Integration, Kubernetes, Microsoft Azure, Microsoft Azure Application Insights, Microsoft Azure DevOps Pipelines, Microsoft Azure Functions, RA IT| GitLab, Structured Query Language (SQL), Version Control</t>
  </si>
  <si>
    <t>Anirudh Dasari</t>
  </si>
  <si>
    <t>2years 0months</t>
  </si>
  <si>
    <t>GCC Project Manager</t>
  </si>
  <si>
    <t>Project Manager</t>
  </si>
  <si>
    <t>10years 2months</t>
  </si>
  <si>
    <t xml:space="preserve">2years 0months   </t>
  </si>
  <si>
    <t>Amazon Web Services (AWS), Apache Airflow, Apache Solr, Client Service, Cloud Based Services, Cloud Computing Services, Customer Relationship Management (CRM), Databricks Platform, Databricks SQL, ElasticSearch, GraphQL (Query Language), Multiple Project Management, Neo4j Graph Database, Presales Activities, Project Completions, Project Delivery, Project Management Office (PMO), Project Team Leadership, Python (Programming Language), RA IT| MCP, Stakeholder Management, Structured Query Language (SQL)</t>
  </si>
  <si>
    <t xml:space="preserve">Anju Krishna P K </t>
  </si>
  <si>
    <t>Data Science</t>
  </si>
  <si>
    <t>GenAI (A)</t>
  </si>
  <si>
    <t xml:space="preserve">Ankit Nayak   </t>
  </si>
  <si>
    <t>project Manager</t>
  </si>
  <si>
    <t>8years 1months</t>
  </si>
  <si>
    <t>Change Management, Collaboration, Communication, Continuous Improvement, Data-Driven Decision Making, Process Optimization, Project Management, RA Funct| Change Management, RA Funct| Cross-Business Collaboration, RA Funct| Data Migration, RA Funct| Data Visualization, RA Funct| Database Implementation, RA Funct| iPM, PMBOK Methodology, RA Funct| PLM - Application Lifecycle Mgmt, RA Funct| PLM - Change Management, RA Funct| PLM - Configuration Management, RA Funct| PMP Methodology, RA Funct| Process Improvement, RA Funct| Process Mapping, RA Funct| Project Management, RA Funct| Project Scheduling, RA Funct| Project Scoping, RA Funct| Quality Management, RA Funct| Resource Planning, RA Funct| Risk Management, RA Funct| Scope Management, RA Funct| Software Architecture Planning, RA Funct| Software Code Review, RA Funct| Software Development Lifecycle, RA Funct| Software Performance Tuning, RA Funct| Stakeholder Management, RA Funct| Strategic Planning, RA Funct| System Requirement Gathering, RA Funct| Team Leadership, RA Funct| Time Management, RA Ind| Life Sciences General Knowledge, RA Ind| Pharma/BioTech - General Knowledge, RA IT| Amazon Web Services, RA IT| MS PowerBI Reporting, RA IT| PYTHON, RA Prod| FT DataMosaix, Root Cause Problem Solving, Software Application Development, Software Development Management, Waterfall Model</t>
  </si>
  <si>
    <t>PMMC</t>
  </si>
  <si>
    <t>5years 3months</t>
  </si>
  <si>
    <t>Python, MySQL, PostgresSQL, FastAPI, REST API, Data Modeling, Software Development, Software Performance Tuning, Code Review, AWS, Elastic search</t>
  </si>
  <si>
    <t xml:space="preserve">Anuj Kumar Saini  </t>
  </si>
  <si>
    <t>13years 9months</t>
  </si>
  <si>
    <t xml:space="preserve">10years 0months   </t>
  </si>
  <si>
    <t>Project Development, Project Management, Security Engineering, Security Risk, Software Debugging, Software Design, Software Development, Test Design</t>
  </si>
  <si>
    <t>Anupama  D S</t>
  </si>
  <si>
    <t>15 years 10 months</t>
  </si>
  <si>
    <t xml:space="preserve">11years 6months   </t>
  </si>
  <si>
    <t>Budgeting, Consulting, Digital Strategy, Digital Transformation, Enterprise Software as a Service (SaaS), Growth Development, Key Account Development, Management Consulting, Operational Excellence, Project Delivery, Project Management, RA IT| ChatGPT, RA IT| Java/JSP, RA IT| Jira, RA IT| LangChain, RA IT| MCP, RA IT| OpenAI GPT-4, RA IT| Oracle PL/SQL, RA IT| PYTHON, RA IT| R Language, RA IT| RAG (Retrieval-Augmented Generation), RA IT| REST, RA IT| Spring Boot, RA IT| Vector Databases (e.g., FAISS, Milvus, Pinecone), RA IT| XML, Resource Allocation, Solution Consulting, Solutions Delivery, Technical Management</t>
  </si>
  <si>
    <t xml:space="preserve">Anupuru Karishma   </t>
  </si>
  <si>
    <t>Agile Methodology, API Testing, Azure Devops, Bug Tracking Systems, Functional Testing, JIRA Tool, Python (Programming Language), Quality Assurance (QA), Regression Testing, Selenium Webdriver, Software Testing, SQL, Test Analysis, Test Case Design, Test Environments, Test Execution, Test Planning, Test Scenarios, User Interface Testing</t>
  </si>
  <si>
    <t>Anvesh  M P</t>
  </si>
  <si>
    <t>22/09/2025</t>
  </si>
  <si>
    <t>Automation Testing, Manual QA Testing, Python (Programming Language), Selenium, Selenium Testing, Structured Query Language (SQL)</t>
  </si>
  <si>
    <t>Anzar Ahmad   Ganie</t>
  </si>
  <si>
    <t>Django Rest Framework, MongoDB, Python (Programming Language), RA IT| FastAPI, RA IT| Postgres, RA IT| Reidis, Structured Query Language (SQL), UiPath (Platform)</t>
  </si>
  <si>
    <t xml:space="preserve">Aparna Singh   </t>
  </si>
  <si>
    <t>RA IT| MS Azure Cloud, RA IT| MySQL, RA IT| PostgreSQL, RA IT| PYTHON, RA IT| SQL</t>
  </si>
  <si>
    <t xml:space="preserve">Aravind S   </t>
  </si>
  <si>
    <t>8years 6months</t>
  </si>
  <si>
    <t>EPMC</t>
  </si>
  <si>
    <t>Arjun B</t>
  </si>
  <si>
    <t>2years 5months</t>
  </si>
  <si>
    <t>Apache Kafka, RA IT| Apache Kafka, RA IT| Docker, RA IT| ElasticSearch, RA IT| FastAPI, RA IT| Kafka Streams, RA IT| KubeFlow, RA IT| Kubernetes, RA IT| MongoDB, RA IT| MySQL, RA IT| Postgres, RA IT| PostgreSQL, RA IT| PYTHON, RA IT| Reidis, RA Prod| FT UnifyTwin</t>
  </si>
  <si>
    <t xml:space="preserve">Arun Raj M P </t>
  </si>
  <si>
    <t>6years 0months</t>
  </si>
  <si>
    <t>Programming: Python, R, Java - Database: PostgreSQL, MySQL, database design, optimization - Data Engineering: ETL/ELT, data pipelines, data warehousing - Cloud &amp; Integration: AWS, Azure, REST APIs, system integrations</t>
  </si>
  <si>
    <t xml:space="preserve">Ashaka Singh   </t>
  </si>
  <si>
    <t>6years 1months</t>
  </si>
  <si>
    <t>Ashitosh  Chandrakant Dhaware</t>
  </si>
  <si>
    <t>5years 4months</t>
  </si>
  <si>
    <t xml:space="preserve">python, sql, spark, agentic ai, LLM, </t>
  </si>
  <si>
    <t>Ashwin Kodgimath</t>
  </si>
  <si>
    <t>14years 4months</t>
  </si>
  <si>
    <t xml:space="preserve">5years 0months   </t>
  </si>
  <si>
    <t>Agile Methodology, Amazon Web Services (AWS), Apache Spark, Big Data, Databricks Platform, Information Technology (IT) Projects, Leadership, PostgreSQL, Project Planning, Python (Programming Language), Spark SQL, Structured Query Language (SQL), Team Leadership, Understanding of Requirements</t>
  </si>
  <si>
    <t>Cognite</t>
  </si>
  <si>
    <t xml:space="preserve">Ashwini KV   </t>
  </si>
  <si>
    <t>7years 3months</t>
  </si>
  <si>
    <t xml:space="preserve">1years 2months   </t>
  </si>
  <si>
    <t xml:space="preserve">Asim Konar   </t>
  </si>
  <si>
    <t>Data Science, Pandas Python Library, PostgreSQL, Python (Programming Language), Python Numpy, RA Funct| Prompt Engineering, RA IT| ChatGPT, RA IT| FastAPI, RA IT| Hugging Face Transformers, RA IT| Jupyter Notebooks, RA IT| LangChain, RA IT| LLaMA (Meta), RA IT| matplotlib, RA IT| OpenAI API, RA IT| Postgres, RA IT| RAG (Retrieval-Augmented Generation), RA IT| seaborn, RA IT| Tableau, RA Prod| FT UnifyTwin, Statistics, Version Control</t>
  </si>
  <si>
    <t xml:space="preserve">Asutosh Dora S  </t>
  </si>
  <si>
    <t>Angular, AngularJS, Bitbucket, Bootstrap (Front-End Framework), Cascading Style Sheets (CSS), Git, GitHub, GitLab, Hyper Text Markup Language (HTML), JavaScript, PostgreSQL, Python (Programming Language), React.js, SQL, TypeScript, Web Application Development</t>
  </si>
  <si>
    <t xml:space="preserve">Aswathi G Nair  </t>
  </si>
  <si>
    <t>4years 2months</t>
  </si>
  <si>
    <t>Manual Testing, Project Implementations, Structured Query Language (SQL)</t>
  </si>
  <si>
    <t>Aswathy L</t>
  </si>
  <si>
    <t>4years 4months</t>
  </si>
  <si>
    <t>Agile Methodology, Kubernetes, Microsoft Azure, MySQL, Structured Query Language (SQL)</t>
  </si>
  <si>
    <t>Aswin G Menon</t>
  </si>
  <si>
    <t>GenAI (B)</t>
  </si>
  <si>
    <t xml:space="preserve">Athira Prasannan   </t>
  </si>
  <si>
    <t>C++ Programming Language, Microsoft Azure, MySQL, RA IT| Amazon Web Services, RA IT| Azure Cognitive Services, RA IT| C/C++, RA IT| HTML; Java Script; CSS, RA IT| HTML5, RA IT| JSON, RA IT| MS Azure Cloud, RA IT| MySQL, RA IT| Object Oriented Programming, RA IT| PL-SQL (Oracle), RA IT| SQL, RA Prod| FT UnifyTwin, Structured Query Language (SQL)</t>
  </si>
  <si>
    <t xml:space="preserve">Avinash Kumar   </t>
  </si>
  <si>
    <t>9years 0months</t>
  </si>
  <si>
    <t xml:space="preserve">3years 0months   </t>
  </si>
  <si>
    <t>Project Management, RA Funct| Change Management, RA Funct| Client Management/Influence, RA Funct| Communication (Written &amp; Verbal), RA Funct| Conflict Resolution, RA Funct| Contract Management, RA Funct| Cross-Business Collaboration, RA Funct| Escalation Management, RA Funct| iPM, PMBOK Methodology, RA Funct| Presentation Delivery, RA Funct| Process Control System Design, RA Funct| Process Improvement, RA Funct| Procurement Management, RA Funct| Project Commissioning, RA Funct| Project Scheduling, RA Funct| Project Scoping, RA Funct| Proposal Development, RA Funct| Quality Management, RA Funct| Resource Planning, RA Funct| Risk Management, RA Funct| Scope Management, RA Funct| Specification Development (URS/FRS/FDS/DS), RA Funct| Stakeholder Management, RA Funct| Strategic Planning, RA Funct| Team Leadership, RA Ind| Chemicals - General Knowledge, RA Ind| Food &amp; Bev - General Knowledge, RA Ind| Life Sciences General Knowledge, RA Ind| Pharma/BioTech - General Knowledge, RA Ind| Pharmaceuticals - Primary (API), RA IT| Apache Kafka, RA IT| Azure Databricks, RA IT| C/C++, RA IT| Docker, RA IT| FastAPI, RA IT| Flask, RA IT| Java/JSP, RA IT| Jupyter Notebooks, RA IT| KubeFlow, RA IT| Kubernetes, RA IT| MongoDB, RA IT| MySQL, RA IT| Postgres, RA IT| PYTHON, RA IT| R Language, RA IT| REST, RA IT| Tableau</t>
  </si>
  <si>
    <t>API Testing, Functional Testing, PostgreSQL, Quality Assurance (QA), Software Application Testing, Software Quality Assurance (SQA), Structured Query Language (SQL), Test Case Design, Test Execution, Test Plan Design, Test Planning, Worksoft Certify</t>
  </si>
  <si>
    <t>Azeez, Zaid Bin</t>
  </si>
  <si>
    <t xml:space="preserve">B Kowsalya   </t>
  </si>
  <si>
    <t>Apache Kafka, ASP.NET Core, ASP.NET MVC, C Sharp (Programming Language), ElasticSearch, Microsoft SQL Server, Microsoft SQL Server Management Studio (SSMS), MongoDB, MySQL, OpenTSDB, PostgreSQL, Python (Programming Language), RA IT| FastAPI, RA IT| Flask, Redis, Relational Database Management System (RDBMS), SQL, Stored Procedures, Transact-SQL</t>
  </si>
  <si>
    <t xml:space="preserve">Balaji Rasamadugu   </t>
  </si>
  <si>
    <t>10 years 8 months</t>
  </si>
  <si>
    <t xml:space="preserve">0years 4months   </t>
  </si>
  <si>
    <t xml:space="preserve">Python, AWS, Databricks, Hadoop, Azure IOT, SPARKSQL, MySQL, pyspark, </t>
  </si>
  <si>
    <t>Cognite, FTDM SaaS</t>
  </si>
  <si>
    <t xml:space="preserve">Bishwadeep Chaudhary   </t>
  </si>
  <si>
    <t>5years 6months</t>
  </si>
  <si>
    <t xml:space="preserve">Brahmaduttan S   </t>
  </si>
  <si>
    <t xml:space="preserve">Burada Bhanu Prakash  </t>
  </si>
  <si>
    <t>4years 5months</t>
  </si>
  <si>
    <t xml:space="preserve">3 years 0months  </t>
  </si>
  <si>
    <t>Data Acquisition (DAQ), IoT Applications, Python (Programming Language), RA Prod| Emulate 3D</t>
  </si>
  <si>
    <t>Emulate 3D</t>
  </si>
  <si>
    <t xml:space="preserve">Chandrakanth Gottam   </t>
  </si>
  <si>
    <t>Microservices Architecture, RA Funct| Prompt Engineering, RA Funct| Software Architecture Planning, RA Funct| Software Code Review, RA Funct| Software Configuration Management, RA IT| Apache Airflow, RA IT| Apache Kafka, RA IT| Apache Spark, RA IT| Azure Databricks, RA IT| Azure OpenAI Service, RA IT| ChatGPT, RA IT| Claude (Anthropic), RA IT| Databricks, RA IT| Docker, RA IT| Docker Compose, RA IT| Docker Swarm, RA IT| ElasticSearch, RA IT| FastAPI, RA IT| Flask, RA IT| Gemini (Google DeepMind), RA IT| GitLab, RA IT| Jenkins, RA IT| Jira, RA IT| JSON, RA IT| Jupyter Notebooks, RA IT| K3s, RA IT| Kafka Streams, RA IT| Kubernetes, RA IT| Linux, RA IT| MongoDB, RA IT| MQTT, RA IT| MS SQL, RA IT| MySQL, RA IT| NLTK, RA IT| OpenAI API, RA IT| PostgreSQL, RA IT| PYTHON, RA IT| RabbitMQ, RA IT| Reidis, RA IT| REST, RA IT| Snowflake, RA IT| SonarQube, RA IT| SQL, RA IT| SQL Reporting Services (SSRS), RA IT| Web Services, RA Prod| FT DataMosaix, Software Design, Software Engineering</t>
  </si>
  <si>
    <t>Charan M Jatteppanavar</t>
  </si>
  <si>
    <t>0years 7months</t>
  </si>
  <si>
    <t>Application Programming Interface (API), Customer Communications, Data Engineering, Data Integration, Data Modeling, Data Pipelines, Data Processing, Data Warehousing (DW), Documentations, Leadership, Problem Solving, Processing, Project Management, Python (Programming Language), Structured Query Language (SQL)</t>
  </si>
  <si>
    <t>GenAI (I)</t>
  </si>
  <si>
    <t>Chinmoy Ranjan Khadgaray</t>
  </si>
  <si>
    <t>7years 9months</t>
  </si>
  <si>
    <t>1years 0months</t>
  </si>
  <si>
    <t>Amazon S3, Amazon Simple Email Service (SES), Apache Solr, AWS AI Services, AWS DynamoDB, AWS Fargate, Databricks, DevOps, ETL Development, Generative AI, Google Cloud Platform (GCP), Java, Large Language Model (LLM) Fine-Tuning, Microsoft Azure, MongoDB, MySQL, Prompt Engineering, Python (Programming Language), RA IT| LangChain, Spring Boot</t>
  </si>
  <si>
    <t>Danushri C</t>
  </si>
  <si>
    <t xml:space="preserve">Backend </t>
  </si>
  <si>
    <t>125years 11months</t>
  </si>
  <si>
    <t>Agile Methodology, Back-End Development, Codebase, Data Lake, Data Modeling, Data Transformation, Docker (Software), Java, Kubernetes, Microservices Architecture, MySQL, PostgreSQL, Python (Programming Language), RA Funct| Model Compression &amp; Quantization, RESTful APIs, Web Development</t>
  </si>
  <si>
    <t xml:space="preserve">Deepak M   </t>
  </si>
  <si>
    <t>Deepika Manoharan</t>
  </si>
  <si>
    <t>0years 2months</t>
  </si>
  <si>
    <t>Agile Methodology, Automated Testing, Cascading Style Sheets (CSS), Generative AI, Hyper Text Markup Language (HTML), Python (Programming Language), Quality Assurance (QA), RA Funct| Model Compression &amp; Quantization, RA Funct| Prompt Engineering, Structured Query Language (SQL)</t>
  </si>
  <si>
    <t>Deepthi  Naik</t>
  </si>
  <si>
    <t>Dharshan  Kumar C</t>
  </si>
  <si>
    <t>Cascading Style Sheets (CSS), Database Administration, Docker (Software), Hyper Text Markup Language (HTML), Java, Java Database Connectivity (JDBC), Java Server, JavaScript, Kubernetes, Leadership, Microsoft Windows, MySQL, Problem Solving, Python (Programming Language), RA Funct| Prompt Engineering, RA IT| Jupyter Notebooks, RA IT| NLTK, RA IT| Postgres, RA IT| Selenium IDE, RA IT| Selenium WebDriver, RA Prod| FT UnifyTwin, Structured Query Language (SQL)</t>
  </si>
  <si>
    <t xml:space="preserve">Dilna V   </t>
  </si>
  <si>
    <t>AWS, Databricks, Kubernetes ,GIT , Python,SQL, Kibana, Linux, BigData, ETL, JIRA,Tableau, Microservices, Apache Spark /Pyspark,  Agile</t>
  </si>
  <si>
    <t>Divya  K</t>
  </si>
  <si>
    <t>Angular, Python (Programming Language), RA Funct| Model Compression &amp; Quantization, RA Funct| Prompt Engineering, React.js</t>
  </si>
  <si>
    <t>Divya Mummasani</t>
  </si>
  <si>
    <t>Amazon Bedrock, Amazon Elastic Compute Cloud (Amazon EC2), Amazon Elastic Container Service (Amazon ECS), Amazon Elastic File System (EFS), Amazon S3, AWS AI Services, AWS Glue, MySQL, RA IT| MongoDB, RA IT| MySQL, RA IT| Postgres, RA IT| PostgreSQL, RA IT| SQL</t>
  </si>
  <si>
    <t>Diya  Biju</t>
  </si>
  <si>
    <t>RA Funct| Fine Tuning Large Language Models, RA Funct| Prompt Engineering, RA IT| BERT / GPT models, RA IT| ChatGPT, RA IT| Docker, RA IT| FastAPI, RA IT| Hugging Face Transformers, RA IT| Jupyter Notebooks, RA IT| LangChain, RA IT| MCP, RA IT| OpenAI API, RA IT| Postgres, RA IT| RAG (Retrieval-Augmented Generation), RA IT| Streamlit, RA IT| Transformers (Hugging Face), RA IT| Vector Databases (e.g., FAISS, Milvus, Pinecone), RA IT| XGBoost</t>
  </si>
  <si>
    <t xml:space="preserve">Doble NJ   </t>
  </si>
  <si>
    <t>Mobile App</t>
  </si>
  <si>
    <t xml:space="preserve">3years 2months   </t>
  </si>
  <si>
    <t>Apple Applications, Apple iOS, Data Fusion, iOS Application Development, iOS Development, iOS SDK, Mobile Application Development, Mobile Applications Design, Python (Programming Language), RA Funct| Mobile App Development</t>
  </si>
  <si>
    <t>Don George</t>
  </si>
  <si>
    <t>6years 6months</t>
  </si>
  <si>
    <t>Azure IoT Edge, C++ Programming Language, Internet of Things (IoT), MySQL, Python (Programming Language), Python Automation, Python Frameworks, Python Requests, Python Software Development, RA Funct| Prompt Engineering, RA IT| Azure OpenAI Service, RA IT| ChatGPT, RA IT| Claude (Anthropic), RA IT| Containerd, RA IT| Docker, RA IT| Docker Compose, RA IT| FastAPI, RA IT| Flask, RA IT| Jupyter Notebooks, RA IT| Kafka Streams, RA IT| LangChain, RA IT| OpenAI API, RA IT| OpenAI GPT-4, RA IT| Postgres, RA IT| RAG (Retrieval-Augmented Generation), RA IT| Vector Databases (e.g., FAISS, Milvus, Pinecone), RA Prod| FT UnifyTwin, Software Debugging, Systems Development</t>
  </si>
  <si>
    <t xml:space="preserve">E Harsha   </t>
  </si>
  <si>
    <t>1years 5months</t>
  </si>
  <si>
    <t xml:space="preserve">Fathima Nourin T R </t>
  </si>
  <si>
    <t>10years 8months</t>
  </si>
  <si>
    <t xml:space="preserve">2years 8months   </t>
  </si>
  <si>
    <t>AngularJS, Cascading Style Sheets (CSS), Hyper Text Markup Language (HTML), JavaScript, Node.js, React Native, React Redux, React.js, Svelte (Framework)</t>
  </si>
  <si>
    <t>8years 0months</t>
  </si>
  <si>
    <t>React JS, Angular, Javascript, Typescript, NX workspace, HTML, CSS, Bootstrap.</t>
  </si>
  <si>
    <t>8years 8months</t>
  </si>
  <si>
    <t>AJAX (Programming), Amazon S3, Angular, AngularJS, AWS Glue, Databricks Platform, JavaScript, Kubernetes, PostgreSQL, Python (Programming Language), React.js, Redux (Javascript Library), TypeScript, Vanilla JavaScript</t>
  </si>
  <si>
    <t xml:space="preserve">Gayathri Suresh   </t>
  </si>
  <si>
    <t>4years 6months</t>
  </si>
  <si>
    <t>Action-Oriented, Bug Tracking Systems, Collaborates, Communicates effectively, Courage, Customer focus, Demonstrates self-awareness, Directs work, Drives engagement, Drives results, Drives vision and purpose, Ensures accountability, Manages conflict, Optimizes work processes, Plans and aligns, Quality Assurance (QA), RA Funct| PLM - Quality Management Systems, RA Funct| SAT/UAT/OQ Test Execution, RA Funct| Test Case Writing, RA Funct| Validation, RA IT| Selenium IDE, RA IT| Selenium WebDriver, RA Prod| FT UnifyTwin, Resourcefulness, Self-development, Situational adaptability, Test Automation, Test Case Design, Test Case Development, Test Execution, Test Planning, Test Scenarios</t>
  </si>
  <si>
    <t>Georgekutty  Sebastian</t>
  </si>
  <si>
    <t>PyMongo, Python (Programming Language), Tensorflow</t>
  </si>
  <si>
    <t xml:space="preserve">Ginse Joy   </t>
  </si>
  <si>
    <t>5years 2months</t>
  </si>
  <si>
    <t>RA Funct| Prompt Engineering, RA IT| AWS CodeWhisperer, RA IT| ChatGPT, RA IT| Flask, RA IT| Postgres, RA IT| RAG (Retrieval-Augmented Generation), RA Prod| FT UnifyTwin</t>
  </si>
  <si>
    <t xml:space="preserve">Githu Varghese   </t>
  </si>
  <si>
    <t>Agile Methodology, Cascading Style Sheets (CSS), Customer Service, Debugging, Google Cloud Platform (GCP), Hyper Text Markup Language (HTML), JavaScript, Logbooks, Microsoft Azure, Microsoft Power Business Intelligence (BI), MySQL, Python (Programming Language), Python for Data Analysis, Python Frameworks, Python Software Development, RA IT| C/C++, RA IT| ChatGPT, RA IT| Claude (Anthropic), RA IT| Docker, RA IT| FastAPI, RA IT| Flask, RA IT| HTML5, RA IT| JSON, RA IT| Kafka Streams, RA IT| matplotlib, RA IT| MongoDB, RA IT| MySQL, RA IT| Podman, RA IT| Postgres, RA IT| PostgreSQL, RA IT| PYTHON, RA IT| Reidis, RA IT| SQL, RESTful APIs, Software Development, Software Enhancement, Supervisory Control and Data Acquisition (SCADA), Version Control, Version Control System</t>
  </si>
  <si>
    <t>iQ3 (B)</t>
  </si>
  <si>
    <t xml:space="preserve">Gokkul R R  </t>
  </si>
  <si>
    <t>RA IT| FastAPI, RA IT| Flask, RA IT| Kafka Streams, RA IT| Postgres</t>
  </si>
  <si>
    <t xml:space="preserve">Gopala Krishna Manchukonda  </t>
  </si>
  <si>
    <t>24 years 11 months</t>
  </si>
  <si>
    <t xml:space="preserve">18years 0months   </t>
  </si>
  <si>
    <t xml:space="preserve">Guruprasad R   </t>
  </si>
  <si>
    <t>7years 11months</t>
  </si>
  <si>
    <t>Microservices Architecture, Software Design, Software Engineering</t>
  </si>
  <si>
    <t>9years 11months</t>
  </si>
  <si>
    <t>Databricks Platform support, Linux Platform support ,Airflow,AWS services ,Kafka, Hadoop Administration</t>
  </si>
  <si>
    <t>Haripriya  Maddela</t>
  </si>
  <si>
    <t>RA IT| Azure Databricks, RA IT| Databricks Lakehouse, RA IT| Delta Lake, RA IT| FastAPI</t>
  </si>
  <si>
    <t xml:space="preserve">Harshada Rajesh Deshmukh  </t>
  </si>
  <si>
    <t xml:space="preserve"> .NET, Python , JavaScript, AngularJS ,GitHub ,SQL, PostgreSQL </t>
  </si>
  <si>
    <t>Harshitha  K M</t>
  </si>
  <si>
    <t>Data Engineering, Data Pipelines, Debugging, Documentations, People Management, Python (Programming Language), RA IT| FastAPI, Structured Query Language (SQL), Teamwork, Time Management, Translations, Writing</t>
  </si>
  <si>
    <t xml:space="preserve">0years 7months   </t>
  </si>
  <si>
    <t>Power BI, SQL, Python, AWS</t>
  </si>
  <si>
    <t xml:space="preserve">J Anandhaselvam   </t>
  </si>
  <si>
    <t>3 years  0 months</t>
  </si>
  <si>
    <t>RA Prod| FT DataMosaix, RA Prod| FT Edge Gateway</t>
  </si>
  <si>
    <t>Jagyansenee Karan</t>
  </si>
  <si>
    <t>Agile Methodology, AI Agents, AI Prompting, Algorithms, Apache JMeter, API Development, API Management, API Testing, Artificial Intelligence (AI), Back-End Development, Cloud Based Solutions, Code Reviews, Computer Science, Conversational AI, Data Analysis, Data Engineering, Data Mining, Data Pipelines, Data Science, Datasets, Generative AI, Intelligent Agents, Machine Learning (ML), Microsoft Power Business Intelligence (BI), MongoDB, MQTT (Message Queuing Telemetry Transport), Oracle, Python (Programming Language), Python for Data Analysis, Python Matplotlib, Python Numpy, Python Sqlite3, Quality Assurance (QA), RA Funct| Data Management Practices, RA Funct| Data Science Tools Knowledge / Usage, RA Funct| Data Visualization, RA Funct| Deep Learning Design / Train, RA Funct| Fine Tuning Large Language Models, RA Funct| Machine Learning (ML) Design, RA Funct| Prompt Engineering, RA Funct| Software Code Review, RA Funct| Software Performance Tuning, RA Funct| Software Testing, RA Funct| Statistical Analysis, RA IT| AutoML (H2O, TPOT, AutoKeras, etc.), RA IT| Azure Machine Learning, RA IT| BERT / GPT models, RA IT| ChatGPT, RA IT| Claude (Anthropic), RA IT| DALL·E, RA IT| Gemini (Google DeepMind), RA IT| Hugging Face Transformers, RA IT| Jupyter Notebooks, RA IT| Keras, RA IT| LangChain, RA IT| LLaMA (Meta), RA IT| LlamaIndex, RA IT| MongoDB, RA IT| MS SQL, RA IT| MySQL, RA IT| OpenAI API, RA IT| OpenAI GPT-4, RA IT| Oracle dB, RA IT| PL-SQL (Oracle), RA IT| PostgreSQL, RA IT| RAG (Retrieval-Augmented Generation), RA IT| scikit-learn, RA IT| SQL, RA IT| TensorFlow, RA IT| Vector Databases (e.g., FAISS, Milvus, Pinecone), RA IT| XGBoost, RA Prod| FT DataMosaix, Snowflake (Platform), Software Development, Spreadsheet Software, Structured Query Language (SQL), Virtual Agents</t>
  </si>
  <si>
    <t xml:space="preserve">Jasir Hussain A  </t>
  </si>
  <si>
    <t>10years 3months</t>
  </si>
  <si>
    <t xml:space="preserve">0years 6months   </t>
  </si>
  <si>
    <t xml:space="preserve">Jayashree Suresh   </t>
  </si>
  <si>
    <t>11 years 11 months</t>
  </si>
  <si>
    <t>AI Architecture, AI Programming, AI Systems, Artificial Intelligence (AI), Artificial Intelligence Algorithms, AWS AI Services, Conversational AI, Data Pipelines, Data Science, Data Tools, Data Types, Dataset Management, Generative AI, Microsoft Artificial Intelligence (AI) Builder</t>
  </si>
  <si>
    <t xml:space="preserve">Jeevan Akshay B  </t>
  </si>
  <si>
    <t>Apache Cassandra, Apache Kafka, PostgreSQL, Python (Programming Language), RA IT| Kafka Streams, Redis</t>
  </si>
  <si>
    <t>Jerry John</t>
  </si>
  <si>
    <t>Jhanvi  Sondhi</t>
  </si>
  <si>
    <t>RA IT| Angular, RA IT| Apache Airflow, RA IT| Azure Databricks, RA IT| Databricks Lakehouse, RA IT| Delta Lake, RA IT| GitLab, RA IT| HTML; Java Script; CSS, RA IT| HTML5, RA IT| JSON, RA IT| MySQL, RA IT| Postgres, RA IT| PYTHON</t>
  </si>
  <si>
    <t>AWS, Azure, Terraform, Ansible, ARM template, Kubernetes, Databricks, Solr, SQL</t>
  </si>
  <si>
    <t>Jismariya Jose</t>
  </si>
  <si>
    <t>4years 3months</t>
  </si>
  <si>
    <t>Manual Testing, MySQL, Project Implementations, Scrum, Software Enhancement, Structured Query Language (SQL)</t>
  </si>
  <si>
    <t>Jithin S S</t>
  </si>
  <si>
    <t>Code Reviews, Functional Testing, RA IT| Docker, RA IT| Docker Compose, RA IT| FastAPI, RA IT| MySQL, RA IT| PYTHON, RA IT| Selenium IDE, RA IT| Selenium WebDriver, Software Application Testing, Test Automation, Test Case Design, Test Case Development, Test Scenarios</t>
  </si>
  <si>
    <t>Jobin Jose</t>
  </si>
  <si>
    <t>10years 7months</t>
  </si>
  <si>
    <t>RA IT| .Net Framework, RA IT| AngularJS, RA IT| ASP .Net, RA IT| C# (C Sharp), RA IT| Charts.js, RA IT| D3.js, RA IT| Docker, RA IT| Docker Compose, RA IT| FastAPI, RA IT| Flask, RA IT| HTML; Java Script; CSS, RA IT| HTML5, RA IT| JSON, RA IT| MongoDB, RA IT| MS SQL, RA IT| MySQL, RA IT| Object Oriented Programming, RA IT| Postgres, RA IT| PostgreSQL, RA IT| PYTHON, RA IT| SQL, RA IT| Web Services, RA IT| WebSockets</t>
  </si>
  <si>
    <t xml:space="preserve">Jyothish K   </t>
  </si>
  <si>
    <t>Jyothsna Narra</t>
  </si>
  <si>
    <t>3 years 9 months</t>
  </si>
  <si>
    <t>AI Agents, Amazon S3, Artificial Intelligence (AI), AWS AI Services, Azure Blob Storage, Cloud Solutions, Cybersecurity, Data Engineering, Data Pipelines, Data Processing, Databricks Platform, Deep Learning, Digital Forensics, Ethical Hacking, ETL Pipelines, Generative AI, Machine Learning (ML), Microsoft Azure, Microsoft Azure Databricks, Microsoft Azure DevOps, Microsoft Azure SQL Database, PL/SQL (Programming Language), Prompt Engineering, PySpark, Python (Programming Language), Structured Query Language (SQL)</t>
  </si>
  <si>
    <t>6years 7months</t>
  </si>
  <si>
    <t>Angular, Bootstrap (Front-End Framework), Cascading Style Sheets (CSS), Hyper Text Markup Language (HTML), JavaScript, React Redux, React.js, Redux (Javascript Library), TypeScript</t>
  </si>
  <si>
    <t xml:space="preserve">Karthik Prakash Hudedamani  </t>
  </si>
  <si>
    <t xml:space="preserve">4 years 8months  </t>
  </si>
  <si>
    <t>Health Level 7, Java, Linux, MongoDB, MySQL, Python (Programming Language), RA IT| FastAPI, Software as a Service (SaaS), Software Development Life Cycle (SDLC), Structured Query Language (SQL)</t>
  </si>
  <si>
    <t>Kavini P</t>
  </si>
  <si>
    <t>Building Dashboards, Data Annotation, Data Visualization, DBeaver, GitHub, GitHub Repositories, Microsoft Azure, MongoDB, Pandas Python Library, Postman (Software), RA IT| Cognite, RA IT| FastAPI, RA IT| HTML; Java Script; CSS, RA IT| JSON, RA IT| Jupyter Notebooks, RA IT| MongoDB, RA IT| PostgreSQL, RA IT| PYTHON, RA IT| REST, RA IT| SQL, RA Prod| FT DataMosaix, RA Prod| FT UnifyTwin, Report Building, SQL Databases, SQLite</t>
  </si>
  <si>
    <t xml:space="preserve">Python </t>
  </si>
  <si>
    <t>Cognite , FTDM SaaS</t>
  </si>
  <si>
    <t xml:space="preserve">Keerthi Vardhan H  </t>
  </si>
  <si>
    <t xml:space="preserve">1years 1months  </t>
  </si>
  <si>
    <t>RA Funct| Data Visualization, RA Funct| Database Implementation, RA IT| MS SQL, RA IT| MySQL, RA IT| PostgreSQL, RA IT| SQL</t>
  </si>
  <si>
    <t>Keerti N Ronad</t>
  </si>
  <si>
    <t xml:space="preserve">2years 1months  </t>
  </si>
  <si>
    <t xml:space="preserve">Kirikari Naveen Kumar  </t>
  </si>
  <si>
    <t>IOT</t>
  </si>
  <si>
    <t xml:space="preserve">Kokila D   </t>
  </si>
  <si>
    <t>4years 0months</t>
  </si>
  <si>
    <t xml:space="preserve">Kota Harish Kumar  </t>
  </si>
  <si>
    <t>8years 11months</t>
  </si>
  <si>
    <t>UX - Figma</t>
  </si>
  <si>
    <t>Kripal  K</t>
  </si>
  <si>
    <t>Apache Subversion (SVN), Cascading Style Sheets (CSS), EDA Tools, FLEXlm, Git Distributed Version Control System, Jenkins (Software), JSON, Linux System Administration, Microsoft Excel VBA Programming, Microsoft Power Business Intelligence (BI), Microsoft SharePoint Administration, Microsoft Visual Basic, Nagios, Oracle, Oracle Grid Engine, Perl Programming, PHP Scripting, Python (Programming Language), Shell Programming, Squid Proxy, Structured Query Language (SQL), Tcl/Tk, VB Scripting, Web Application Development, WordPress</t>
  </si>
  <si>
    <t>Lakshmi Devi  Mudimela</t>
  </si>
  <si>
    <t>Lavani  Shabaz Ali Khan</t>
  </si>
  <si>
    <t xml:space="preserve">3years 5months   </t>
  </si>
  <si>
    <t>HTML5, React.js, TypeScript</t>
  </si>
  <si>
    <t>Angular, Svelte</t>
  </si>
  <si>
    <t xml:space="preserve">Lavanya H Y  </t>
  </si>
  <si>
    <t>5years 0months</t>
  </si>
  <si>
    <t xml:space="preserve">1years 5months   </t>
  </si>
  <si>
    <t xml:space="preserve">Lishobh P   </t>
  </si>
  <si>
    <t>7years 4months</t>
  </si>
  <si>
    <t>Android Software Development, iOS Development, RA Funct| Mobile App Development</t>
  </si>
  <si>
    <t>Java, Python</t>
  </si>
  <si>
    <t>Android, iOS</t>
  </si>
  <si>
    <t>8years 7months</t>
  </si>
  <si>
    <t xml:space="preserve">1years 8months   </t>
  </si>
  <si>
    <t>Agile Methodology, Application Testing, Functional Testing, Manual Testing, RA Funct| Prompt Engineering, RA Prod| FT UnifyTwin, Software Quality Assurance (SQA), Software Testing Process, Test Case Design, Test Execution, Test Planning</t>
  </si>
  <si>
    <t>M Bhagat Raj  Singh</t>
  </si>
  <si>
    <t>Agile Methodology, Automation, Python (Programming Language), RA IT| Postgres, Software Development Life Cycle (SDLC), Structured Query Language (SQL)</t>
  </si>
  <si>
    <t>8years 2months</t>
  </si>
  <si>
    <t xml:space="preserve">2years 1months   </t>
  </si>
  <si>
    <t>React.js, Angular 2+</t>
  </si>
  <si>
    <t>M Venkata  Poojitha</t>
  </si>
  <si>
    <t>JIRA Tool, Manual Testing, Python (Programming Language), Selenium, Structured Query Language (SQL)</t>
  </si>
  <si>
    <t>Maddike  Lakshmi Prasanna</t>
  </si>
  <si>
    <t>Amazon S3, Data ETL, Databricks, Flask (Web Framework), Generative AI, Microsoft Azure, MySQL, Prompt Engineering, Python (Programming Language), RA IT| FastAPI, RA IT| LangChain, RA IT| RAG (Retrieval-Augmented Generation)</t>
  </si>
  <si>
    <t xml:space="preserve">Madhuri M   </t>
  </si>
  <si>
    <t>Backbone.js, RA IT| Angular, RA IT| AngularJS, RA IT| FastAPI, RA IT| Flask, RA IT| HTML; Java Script; CSS, RA IT| HTML5, RA IT| JSON, RA IT| Object Oriented Programming, RA IT| Perl/PHP, RA IT| PYTHON, RA IT| REST, RA IT| Web Services, React.js, Software Services</t>
  </si>
  <si>
    <t xml:space="preserve">Madhuri Yarrannagari   </t>
  </si>
  <si>
    <t>Agile Methodology, Application Testing, Automated Test Scripts, Automation Frameworks, Bug Tracking Systems, Data Testing, Functional Testing, Manual Testing, Release Testing, Requirements Gathering, Selenium, Software Testing, Software Testing Process, Test Analysis, Test Automation, Test Case Design, Test Case Development, Test Data Management, Test Development, Test Environments, Test Execution, Test Planning, Web Service Testing</t>
  </si>
  <si>
    <t>Madhvi Singh</t>
  </si>
  <si>
    <t>Agile Methodology, Internet of Things (IoT), Java, JavaScript, Microsoft Azure, Structured Query Language (SQL)</t>
  </si>
  <si>
    <t xml:space="preserve">Cognite </t>
  </si>
  <si>
    <t xml:space="preserve">Mahammad Shaik Shabhad Peddadevara </t>
  </si>
  <si>
    <t>MahammadShaikShabhad.Peddadevara@rockwellautomation.com</t>
  </si>
  <si>
    <t>1years 6months</t>
  </si>
  <si>
    <t>API Development, Atlassian JIRA, Azure Devops, Code Reviews, Computer Programming, Flask-RESTful, Generative AI, MySQL, MySQL Workbench, pgAdmin, PostgreSQL, Python (Programming Language), Python Frameworks, Python Software Development, RA IT| Amazon DynamoDB, RA IT| Amazon EMR, RA IT| ChatGPT, RA IT| FastAPI, RA IT| Flask, RA IT| Gemini (Google DeepMind), RA IT| Jupyter Notebooks, RA IT| LLaMA (Meta), RA IT| OpenAI API, RA IT| OpenAI GPT-4, RA IT| Postgres, RA IT| RAG (Retrieval-Augmented Generation), RA IT| Streamlit, RESTful APIs, Software Development, Software Enhancement, Structured Query Language (SQL)</t>
  </si>
  <si>
    <t xml:space="preserve">Majety Omesh   </t>
  </si>
  <si>
    <t>Snowflake Developer</t>
  </si>
  <si>
    <t>Amazon S3, Amazon Web Services (AWS), Azure Devops, C++ Programming Language, Code Reviews, Data Analysis, Data Analyzer, Databricks, Databricks Platform, ETL (Informatica), Git, GitLab, Informatica Development, Informatica PowerCenter, Microsoft Power Business Intelligence (BI), MySQL, Pentaho Data Integration (Kettle), PostgreSQL, Product Lifecycle Management (PLM), PySpark, Python (Programming Language), Quality Assurance (QA), Snowflake Data Warehouse, Software Code Quality, Software Engineering, Structured Query Language (SQL)</t>
  </si>
  <si>
    <t>Malavika  Mahendran</t>
  </si>
  <si>
    <t>3years 6months</t>
  </si>
  <si>
    <t>Amazon S3, Apache Airflow, AWS Glue, Python (Programming Language), SQL</t>
  </si>
  <si>
    <t>Agile Methodology, Amazon S3, Apache Airflow, Atlassian Confluence, Atlassian JIRA, Databricks, Flask (Web Framework), Git Version Control System, GitLab, Jupyter Notebook, PostgreSQL, PySpark, Python (Programming Language), Python for Data Analysis</t>
  </si>
  <si>
    <t>Databricks Platform, PySpark, Python (Programming Language), Structured Query Language (SQL), Team Management</t>
  </si>
  <si>
    <t xml:space="preserve">Manu Menon   </t>
  </si>
  <si>
    <t>9 years 5 months</t>
  </si>
  <si>
    <t>0 years 3 months</t>
  </si>
  <si>
    <t>Budgeting, Client Service, Courage, Cultivates innovation, Customer focus, Project Delivery, Project Handling, Project Management, Project Management Practices, RA IT| Amazon Web Services, RA IT| Apache (Casandra, Hadoop, Hive), RA IT| Apache Kafka, RA IT| Apache Spark, RA IT| Apache SparkML, RA IT| Apache Tomcat, RA IT| Azure Machine Learning, RA IT| Data Modeling, RA IT| Eclipse, RA IT| ElasticSearch, RA IT| GitLab, RA IT| Google Cloud Platform, RA IT| H2O, RA IT| Jenkins, RA IT| Jira, RA IT| JSON, RA IT| Linux, RA IT| Linux / Unix, RA IT| Microsoft Azure IOT Hub, RA IT| Microsoft Visio, RA IT| MongoDB, RA IT| MS Azure Cloud, RA IT| MS PowerBI Reporting, RA IT| MS SQL, RA IT| MySQL, RA IT| Oracle dB, RA IT| PostgreSQL, RA IT| PYTHON, RA IT| R Language, RA IT| scikit-learn, RA IT| Selenium WebDriver, RA IT| SonarQube, RA IT| TensorFlow, Resource Allocation, Self-development, Situational adaptability, Strategic mindset, Tech savvy</t>
  </si>
  <si>
    <t>Mary Jiny</t>
  </si>
  <si>
    <t>3 years 5months</t>
  </si>
  <si>
    <t>Applied Machine Learning, Applied Mathematics, Artificial Intelligence (AI), Customer Analytics, Data Science, Deep Learning, Machine Learning (ML), Mathematics, Microsoft Power Business Intelligence (BI), OpenAI, Python (Programming Language), RA IT| RAG (Retrieval-Augmented Generation), Science, Statistics, Structured Query Language (SQL)</t>
  </si>
  <si>
    <t>MD Faizan Alam</t>
  </si>
  <si>
    <t>Cascading Style Sheets (CSS), Hyper Text Markup Language (HTML), Java, JavaScript, MongoDB, Python (Programming Language), RA IT| FastAPI, RA IT| Postgres, RA Prod| FT UnifyTwin, React.js</t>
  </si>
  <si>
    <t xml:space="preserve">Megha D   </t>
  </si>
  <si>
    <t>1years 10months</t>
  </si>
  <si>
    <t>0years 10months</t>
  </si>
  <si>
    <t>Miruthula Chandrasekaran</t>
  </si>
  <si>
    <t>3 years 3 months</t>
  </si>
  <si>
    <t>Bootstrap (Front-End Framework), Figma, Front-End Engineering, Java, JavaScript, Material UI, RA IT| AngularJS, RA IT| HTML; Java Script; CSS, RA IT| Postgres, RA IT| Spring Boot, React.js, Redux (Javascript Library), RESTful APIs, TypeScript, User Interfaces (UI), Web Development</t>
  </si>
  <si>
    <t>Mithun V</t>
  </si>
  <si>
    <t xml:space="preserve">Mohammad Sharique Ali  </t>
  </si>
  <si>
    <t xml:space="preserve">Mohammad Taufeeq   </t>
  </si>
  <si>
    <t>Mohammed Saqib Noorahmed Baig</t>
  </si>
  <si>
    <t xml:space="preserve">3years 4months   </t>
  </si>
  <si>
    <t>Agile Methodology, Amazon Elastic Compute Cloud (Amazon EC2), Apache Airflow, Atlassian JIRA, Data Analysis, Data Analytics, Data Testing, Databricks, Databricks SQL, Defects Management, DevOps, ETL (Extract Transform Load) Testing, Exploratory Data Analysis (EDA), Exploratory Testing, Functional Testing, GitLab, GitLab CI/CD, HP ALM, Manual Testing, Microsoft Excel, Microsoft Power Business Intelligence (BI), Product Testing, PySpark, Python (Programming Language), Regression Testing, Selenium, Software Testing, SQL, Test Analysis, Test Automation, Test Case Design, Test Data Management, Test Planning</t>
  </si>
  <si>
    <t>Mohammed Shibili O</t>
  </si>
  <si>
    <t>Debugging, Docker (Software), Docker Container, Generative AI, JavaScript, Kubernetes, RA IT| MongoDB, RA IT| MySQL, RA IT| PostgreSQL, RA IT| PYTHON, REST API Development, RESTful APIs, Software Development</t>
  </si>
  <si>
    <t xml:space="preserve">Mohan Guntur   </t>
  </si>
  <si>
    <t xml:space="preserve">2years 7months   </t>
  </si>
  <si>
    <t>Apache Airflow, Apache Spark, Azure Data Factory, Databricks, Matillion ETL, Microsoft Azure, Microsoft Azure Databricks, Microsoft Azure SQL Database, Microsoft SQL Server, MySQL, PostgreSQL, Python (Programming Language), Python for Data Analysis, Python Software Development, RA IT| FastAPI, Relational Database Management System (RDBMS), SQL</t>
  </si>
  <si>
    <t xml:space="preserve">2years 3months   </t>
  </si>
  <si>
    <t>Angular, React Js</t>
  </si>
  <si>
    <t>Mukhul Krishna M B</t>
  </si>
  <si>
    <t>Agile Methodology, Apache Cassandra, Apache Kafka, Atlassian JIRA, Azure IoT Hub, Microsoft Azure, NoSQL Databases, Python (Programming Language), RA IT| FastAPI, RA IT| MongoDB, RA IT| PostgreSQL, RA IT| PYTHON, Redis, Software Development, SQL</t>
  </si>
  <si>
    <t xml:space="preserve">Mummasani Divya   </t>
  </si>
  <si>
    <t xml:space="preserve">Naganagouda Kenchanagoudra   </t>
  </si>
  <si>
    <t>5years 5months</t>
  </si>
  <si>
    <t xml:space="preserve">4 years 0months  </t>
  </si>
  <si>
    <t>API Development, C++ Programming Language, MySQL, Object-Oriented Programming (OOP) Concepts, Python (Programming Language), Software Engineering</t>
  </si>
  <si>
    <t xml:space="preserve">Nakul Sharathkumar   </t>
  </si>
  <si>
    <t>Naresh</t>
  </si>
  <si>
    <t>10 years 5 months</t>
  </si>
  <si>
    <t>9 years</t>
  </si>
  <si>
    <t>Agile Methodology, Budget Management, Cost Management, Decision Making, IT Project Planning, Negotiation, Problem Solving, Professional Presentation, Risk Management, Scope Management, Scrum, Stakeholder Management, Time Management</t>
  </si>
  <si>
    <t>Agile, Scrum Master</t>
  </si>
  <si>
    <t xml:space="preserve">Naveen M D  </t>
  </si>
  <si>
    <t>Data ETL, Data Modeling, Data Visualization, DAX Language, Kusto Query Language (KQL), Microsoft Power Business Intelligence (BI), Microsoft Power Business Intelligence (BI) Desktop, MySQL, PostgreSQL, Power BI, Power Query, SQL Database Queries</t>
  </si>
  <si>
    <t>4years 8months</t>
  </si>
  <si>
    <t>AI Agents, AI Systems, Amazon Machine Images (AMI), Amazon S3, Apache Spark, Artificial Intelligence (AI), AWS DynamoDB, AWS Glue, Back-End Development, Data Engineering, Databricks, Databricks Unified Data Analytics Platform, Microsoft Azure, Python (Programming Language), RA Funct| Cloud Development, RA Funct| Project Management, RA Funct| Software Development Lifecycle, RA Funct| Team Leadership, RA IT| Databricks MLflow, RA IT| PYTHON, RA Prod| FT Analytics VisionAI, Snowflake (Platform), Snowflake Data Warehouse, Web APIs</t>
  </si>
  <si>
    <t>Nayana  R</t>
  </si>
  <si>
    <t>4 years 5 months</t>
  </si>
  <si>
    <t>Azure Data Factory, Business Intelligence (BI), Data Lake, Data Management, Data Modeling, Data Processing, Data Quality, Data Warehousing (DW), Microsoft Azure, MySQL, PostgreSQL, Python (Programming Language), RA IT| Apache Airflow, RA IT| Azure Databricks, RA IT| Azure Synapse Analytics, RA IT| ChatGPT, RA IT| Databricks, RA IT| Databricks Lakehouse, RA IT| Delta Lake, RA IT| Jupyter Notebooks, RA IT| Kafka Streams, RA IT| Postgres, RA IT| Snowflake, RA Prod| FT UnifyTwin, Structured Query Language (SQL)</t>
  </si>
  <si>
    <t>Amazon Athena, Amazon S3, Apache Spark, AWS Lambda, AWS Step Functions, Data Engineering, Databricks Platform, Databricks Unity Catalog, Flask (Web Framework), GitHub, MySQL, PySpark</t>
  </si>
  <si>
    <t>Nikhil Holla R</t>
  </si>
  <si>
    <t>Apache Kafka, Azure Kubernetes Service (AKS), DevOps, DNS Configuration, Docker (Software), Git, Grafana, Kubernetes, Linux, Linux File Systems, MongoDB, Monitoring Programs, MQTT (Message Queuing Telemetry Transport), Networking Technologies, PostgreSQL, Prometheus (Software), Redis, Software Engineering</t>
  </si>
  <si>
    <t>10years 1months</t>
  </si>
  <si>
    <t>JavaScript, Angular, React, etc.</t>
  </si>
  <si>
    <t>EPMC, PMMC</t>
  </si>
  <si>
    <t xml:space="preserve">Niyas ali Kallethodi  </t>
  </si>
  <si>
    <t>,Amazon Aurora,Amazon S3,API Development,Docker (Software),Microsoft Azure,MongoDB,MySQL,OPC Communications,PostgreSQL,Python (Programming Language),RSLogix 5000,Software Debugging,Software Enhancement,Structured Query Language (SQL),Test Automation Strategy</t>
  </si>
  <si>
    <t xml:space="preserve">P Charitha   </t>
  </si>
  <si>
    <t xml:space="preserve">P G Kishore  </t>
  </si>
  <si>
    <t>10years 9months</t>
  </si>
  <si>
    <t xml:space="preserve">3years 9months   </t>
  </si>
  <si>
    <t>Agile Methodology, Application Testing, Data Testing, Databricks Platform, Defect Tracking Tools, Functional Testing, Microsoft SQL Server, PostgreSQL, Python (Programming Language), Quality Assurance (QA), Regression Testing, Selenium, Software Quality Assurance (SQA) Testing, Structured Query Language (SQL), Test Analysis, Test Automation, Test Case Creation, Test Case Design, Test Data Management, Test Development, Test Evaluation, Test Execution, Test Planning, Testing Strategies</t>
  </si>
  <si>
    <t xml:space="preserve">Paramasivam S   </t>
  </si>
  <si>
    <t xml:space="preserve">Paresh Mehra   </t>
  </si>
  <si>
    <t>13years 3months</t>
  </si>
  <si>
    <t xml:space="preserve">7years 0months   </t>
  </si>
  <si>
    <t>Azure Data Lake, Consulting, Data Lake, Microsoft Business Intelligence (BI) Testing, Microsoft Power Business Intelligence (BI), Microsoft Power Business Intelligence (BI) Data Visualization, Microsoft Power Business Intelligence (BI) Desktop, Microsoft Power Business Intelligence (BI) Premium, Microsoft Power Business Intelligence (BI) Security, Microsoft SQL Server, Project Management, SQL, SQL Databases, Structured Query Language (SQL), Technical Management</t>
  </si>
  <si>
    <t xml:space="preserve">Paritosh Jayant Sonkusare  </t>
  </si>
  <si>
    <t>4years 1months</t>
  </si>
  <si>
    <t>Amazon S3, AWS Elastic Kubernetes Service (EKS), Azure Kubernetes Service (AKS)</t>
  </si>
  <si>
    <t xml:space="preserve">Pavanendu M   </t>
  </si>
  <si>
    <t>Mobile app</t>
  </si>
  <si>
    <t xml:space="preserve">Pawar Amit Dipak  </t>
  </si>
  <si>
    <t>Amazon S3, AWS Batch, AWS Glue, Azure Machine Learning Studio, Data Analysis, Data Science, Data Visualization, Deep Learning, Generative AI, Kubeflow, Machine Learning (ML), Microsoft Azure, Python (Programming Language), Statistical Models, Structured Query Language (SQL)</t>
  </si>
  <si>
    <t>Peddadevara Noushad Basha</t>
  </si>
  <si>
    <t>Ponnandhakumar  P</t>
  </si>
  <si>
    <t>Prabhakaran.Dhanasekarapandian@rockwellautomation.com</t>
  </si>
  <si>
    <t>7 years 5 months</t>
  </si>
  <si>
    <t>2 years 7 months</t>
  </si>
  <si>
    <t>Bootstrap (Front-End Framework), Git, GitLab, HTML Web Development, Primefaces, RA IT| Angular, RA IT| AngularJS, RA IT| HTML; Java Script; CSS, React.js, Reactive Extensions for JavaScript (RxJS), Responsive Layout, Responsive UI, RESTful Web Services, TypeScript, User Experience (UX), Web Development, Web Services Integration</t>
  </si>
  <si>
    <t xml:space="preserve">Prachi Raj Singh  </t>
  </si>
  <si>
    <t>Cloud Technology, Databricks SQL, Linux, Microsoft Azure Databricks, Python (Programming Language), Structured Query Language (SQL)</t>
  </si>
  <si>
    <t xml:space="preserve">Prapti Buragohain   </t>
  </si>
  <si>
    <t xml:space="preserve">Prashant Arun Badwe  </t>
  </si>
  <si>
    <t>Azure Data Factory, Azure Data Lake, Azure Key Vault, Data Engineering, Microsoft Azure Databricks, Microsoft SQL Server, Python (Programming Language)</t>
  </si>
  <si>
    <t>Prashant Shakya</t>
  </si>
  <si>
    <t>4years 9months</t>
  </si>
  <si>
    <t>AWS, Airflow, Linux, Looker Studio</t>
  </si>
  <si>
    <t>Praveen Kumar J</t>
  </si>
  <si>
    <t>ArangoDB, Microsoft .NET, MongoDB, PostgreSQL, Python (Programming Language), RA IT| Docker, RA IT| Kubernetes, RA IT| Postgres, RA IT| Reidis, Structured Query Language (SQL)</t>
  </si>
  <si>
    <t xml:space="preserve">Prithiviraj    </t>
  </si>
  <si>
    <t xml:space="preserve">Pruthvi Thatavarthi   </t>
  </si>
  <si>
    <t>Delivery Management, Management Consulting, Project Management, RA Funct| Budgeting &amp; Forecasting, RA Funct| Business Development, RA Funct| Change Management, RA Funct| Client Management/Influence, RA Funct| Data Visualization, RA Funct| Process Mapping, RA Funct| Project Management, RA Funct| Proposal Development, RA Funct| Quality Management, RA Funct| Relationship Development, RA Funct| Software Development Lifecycle, RA Funct| Team Leadership, RA IT| Amazon Web Services, RA IT| Apache (Casandra, Hadoop, Hive), RA IT| Apache Kafka, RA IT| Data Modeling, RA IT| Docker, RA IT| FastAPI, RA IT| Flask, RA IT| GitLab, RA IT| Jira, RA IT| JSON, RA IT| Jupyter Notebooks, RA IT| Kubernetes, RA IT| Microsoft Azure IOT Hub, RA IT| MongoDB, RA IT| MQTT, RA IT| MySQL, RA IT| Postgres, RA IT| PostgreSQL, RA IT| PYTHON, RA IT| Reidis, RA IT| REST, RA IT| SQL, RA Prod| Emulate 3D, RA Prod| FT DataMosaix, Strategic Planning, Technical Management</t>
  </si>
  <si>
    <t xml:space="preserve">Punithraj K P  </t>
  </si>
  <si>
    <t xml:space="preserve">R Ramanathan   </t>
  </si>
  <si>
    <t xml:space="preserve">R Vamshi Krishna  </t>
  </si>
  <si>
    <t>7years 0months</t>
  </si>
  <si>
    <t xml:space="preserve">Raghavendra Prasanna M  </t>
  </si>
  <si>
    <t>Automotives, Controller Area Network (CAN), Data Acquisition (DAQ), JavaScript Open Notation (JSON) Scripting, Microsoft Excel, Modbus, Modbus Protocol, Modbus RTU, PostgreSQL, Postman (Software), PyCharm, RS 485, Structured Query Language (SQL)</t>
  </si>
  <si>
    <t xml:space="preserve">Rahul Kumar Hotta  </t>
  </si>
  <si>
    <t>Angular, Atlassian JIRA, Cascading Style Sheets (CSS), Hyper Text Markup Language (HTML), JavaScript, JSON, MongoDB, MySQL, Python (Programming Language), React.js, Software Development, SQL, Web Development</t>
  </si>
  <si>
    <t>6years 9months</t>
  </si>
  <si>
    <t>Data Engineering, AWS, Azure, Python, Snowflake, Databricks, SQL</t>
  </si>
  <si>
    <t>Amazon S3, Apache Spark, Consulting, Data Analysis Tools, Data Engineering, Data Query, Databricks, Databricks Platform, DevOps, Microservices Architecture, Project Management, Software Development, Software Enhancement, Solution Implementation, Solutions Design, Technical Consulting</t>
  </si>
  <si>
    <t xml:space="preserve">Rakesh P V  </t>
  </si>
  <si>
    <t>API Calls, API Design, API Development, API Documentation, API Programming, API Testing, Jupyter Notebook, Open API, RA Funct| Complex Problem Solving, RA Funct| Conflict Resolution, RA Funct| Data Migration, RA Funct| Data Science Tools Knowledge / Usage, RA Funct| Data Visualization, RA Funct| Mentoring &amp; Coaching, RA Funct| Process Improvement, RA Funct| Software Source Code Control, RA Funct| Stakeholder Management, RA Funct| Team Leadership, RA Funct| Time Management, RA Ind| Chemicals - General Knowledge, RA IT| Apache Kafka, RA IT| C/C++, RA IT| C# (C Sharp), RA IT| ChatGPT, RA IT| Claude (Anthropic), RA IT| Cognite, RA IT| Data Modeling, RA IT| Docker, RA IT| Docker Compose, RA IT| FastAPI, RA IT| Figma, RA IT| Flask, RA IT| GitLab, RA IT| JSON, RA IT| Kafka Streams, RA IT| KubeFlow, RA IT| Kubernetes, RA IT| Linux, RA IT| Linux / Unix, RA IT| Mac OS / OSX, RA IT| MongoDB, RA IT| MQTT, RA IT| MS PowerApps, RA IT| MS PowerBI Reporting, RA IT| MS SQL, RA IT| MySQL, RA IT| NLTK, RA IT| Object Oriented Programming, RA IT| OS Installations and Configuration, RA IT| Podman, RA IT| Postgres, RA IT| PostgreSQL, RA IT| PYTHON, RA IT| ReactJS, RA IT| Reidis, RA IT| REST, RA IT| scikit-learn, RA IT| spaCy, RA IT| SQL, RA IT| Streamlit, RA IT| UNIX, RA IT| Windows Server (Legacy), RA IT| Windows Server 2016+, RA IT| YAML, RA Prod| FT DataMosaix, RA Prod| FT Hub</t>
  </si>
  <si>
    <t xml:space="preserve">Rakesh S   </t>
  </si>
  <si>
    <t>Rakshitha  Hiremath</t>
  </si>
  <si>
    <t>Computer Science, Java, Python (Programming Language), Selenium, Software Development Life Cycle (SDLC), Software Testing, Structured Query Language (SQL)</t>
  </si>
  <si>
    <t xml:space="preserve">Ramesh G L  </t>
  </si>
  <si>
    <t>12years 1months</t>
  </si>
  <si>
    <t>RA IT| Azure Databricks, RA IT| Azure OpenAI Service, RA IT| ChatGPT, RA IT| Databricks, RA IT| Docker, RA IT| FastAPI, RA IT| Flask, RA IT| Jupyter Notebooks, RA IT| Kafka Streams, RA IT| Kubernetes, RA IT| matplotlib, RA IT| NLTK, RA IT| Postgres, RA IT| Reidis, RA IT| Tableau</t>
  </si>
  <si>
    <t>Ramya  Rajagopal</t>
  </si>
  <si>
    <t>9years 8months</t>
  </si>
  <si>
    <t>Functional Testing, Software Quality Assurance (SQA)</t>
  </si>
  <si>
    <t>Ramya R</t>
  </si>
  <si>
    <t>MySQL, RA IT| HTML; Java Script; CSS, RA IT| PYTHON</t>
  </si>
  <si>
    <t>Rashmi  GR</t>
  </si>
  <si>
    <t>Atlassian JIRA, Data Validation, Enterprise Software as a Service (SaaS), Intuit QuickBooks, IoT Applications, Modbus Protocol, MQTT (Message Queuing Telemetry Transport), MySQL, OPC Communications, QuickBooks Online, Salesforce (Software), Salesforce Configuration, Salesforce DevOps, Salesforce Integration, Salesforce Platform, Software as a Service (SaaS), Structured Query Language (SQL)</t>
  </si>
  <si>
    <t>Rashmi  Reddy M R</t>
  </si>
  <si>
    <t>Cypress.io Testing Framework, Functional Testing, Quality Assurance (QA), Regression Testing, Software Application Testing, Software Testing, Test Automation, Test Case Creation, Test Case Design, Test Case Development, Test Development, Test Execution, Test Planning, Test Scenarios, Test Script Execution, UI Test Automation</t>
  </si>
  <si>
    <t>Rashmitha B</t>
  </si>
  <si>
    <t>2years 6months</t>
  </si>
  <si>
    <t xml:space="preserve">2    </t>
  </si>
  <si>
    <t>Automation Testing, Document Object Model (DOM), Functional Automation Testing, Manual Testing, Manual Testing Tools, Microsoft Azure DevOps Boards, Microsoft Azure DevOps Test Plans, Page Object Model, Pytest, Python (Programming Language), RA IT| ChatGPT, RA IT| GitLab, RA IT| Jira, RA IT| RAG (Retrieval-Augmented Generation), RESTful APIs, Selenium Webdriver, Structured Query Language (SQL), Test Automation Framework</t>
  </si>
  <si>
    <t>Reshmanth   Voona</t>
  </si>
  <si>
    <t>AI Agents, Artificial Intelligence (AI), Azure Devops, Computer Vision, Data Science, Deep Learning, Docker (Software), Generative AI, Git, GitLab, Kubernetes, Machine Learning (ML), MongoDB, Neural Networks, PostgreSQL, Python (Programming Language), RA IT| FastAPI, RA IT| LangChain, RA IT| MCP, RA IT| RAG (Retrieval-Augmented Generation), RESTful APIs, Structured Query Language (SQL)</t>
  </si>
  <si>
    <t xml:space="preserve">Riya Srivastava   </t>
  </si>
  <si>
    <t>Data Science, Machine Learning, Computer vision, python, fastapi, powerbi, sql, mongodb, excel, powerpoint</t>
  </si>
  <si>
    <t>Rohith Shridhar Shelke</t>
  </si>
  <si>
    <t>Gen Ai</t>
  </si>
  <si>
    <t>Data Analysis, Data Science, Database Management Systems (DBMS), DAX Language, Generative AI, Large Language Models (LLMs), Machine Assembly, Machine Learning (ML), Microsoft Azure, Microsoft Power Business Intelligence (BI), Python (Programming Language), RA IT| RAG (Retrieval-Augmented Generation), Structured Query Language (SQL)</t>
  </si>
  <si>
    <t>Roopalakshmi Anil</t>
  </si>
  <si>
    <t xml:space="preserve">S Shashank   </t>
  </si>
  <si>
    <t>5years 1months</t>
  </si>
  <si>
    <t>RA Funct| Fine Tuning Large Language Models, RA Funct| Prompt Engineering, RA IT| Azure OpenAI Service, RA IT| ChatGPT, RA IT| Databricks, RA IT| FastAPI, RA IT| Flask, RA IT| Jupyter Notebooks, RA IT| KubeFlow, RA IT| LangChain, RA IT| matplotlib, RA IT| MCP, RA IT| OpenAI API, RA IT| OpenAI GPT-4, RA IT| Postgres, RA IT| RAG (Retrieval-Augmented Generation), RA IT| Streamlit, RA IT| Vector Databases (e.g., FAISS, Milvus, Pinecone)</t>
  </si>
  <si>
    <t>SAHANA  REDDY R</t>
  </si>
  <si>
    <t>Manual Testing, Python (Programming Language), Selenium</t>
  </si>
  <si>
    <t>AI Agents, Angular, Angular UI, Communication, Front-End Design, Front-End Development, HTML Web Development, IT Leadership, JavaScript, Leadership, Python (Programming Language), RA IT| Angular, React.js, Web Application Development, Web Development</t>
  </si>
  <si>
    <t xml:space="preserve">Salla Dasharatha Sai Varun </t>
  </si>
  <si>
    <t>Angular, JavaScript, React.js</t>
  </si>
  <si>
    <t>Salva Mol   K M</t>
  </si>
  <si>
    <t>RA Funct| Prompt Engineering, RA IT| Azure Cognitive Services, RA IT| Azure OpenAI Service, RA IT| BERT / GPT models, RA IT| FastAPI, RA IT| Jupyter Notebooks, RA IT| LangChain, RA IT| Postgres, RA IT| Reidis, RA IT| Streamlit, RA IT| Vector Databases (e.g., FAISS, Milvus, Pinecone)</t>
  </si>
  <si>
    <t xml:space="preserve">Samala Preethi   </t>
  </si>
  <si>
    <t>Agile Methodology, Angular, Angular UI, Cascading Style Sheets (CSS), Git, Hyper Text Markup Language (HTML), JavaScript, Node.js, Python (Programming Language), React.js, SCSS (Sassy CSS), Software Development, Web Application Development</t>
  </si>
  <si>
    <t xml:space="preserve">Samineni Jayanth Kumar  </t>
  </si>
  <si>
    <t>Amazon API Gateway, Amazon S3, Apache Kafka, API Development, ArangoDB, AWS Devops, Big Data, C#.NET, Data Analysis, Data Analysis in R, Data Analytics, Data Engineering, Data Processing, Data Science, Data Visualization, ElasticSearch, Flask (Web Framework), InfluxDB, Java, Java Spring, Jupyter Notebook, Linux, Machine Learning (ML), Microsoft Azure, MongoDB, MySQL, Pandas Python Library, PostgreSQL, PySpark, Python (Programming Language), Python Automation, Python for Data Analysis, R Programming, R Shiny, R-Studio, RA Prod| FT Optix, REST API Development, RESTful API Design, RESTful APIs, RESTful Web API, Statistics, Structured Query Language (SQL), Web Services</t>
  </si>
  <si>
    <t>Linux, AWS, Databricks, Kubernetes, Databricks Unity Catalog</t>
  </si>
  <si>
    <t xml:space="preserve">Sandeep Hebbar   </t>
  </si>
  <si>
    <t>17 years 4 months</t>
  </si>
  <si>
    <t xml:space="preserve">12years 6months   </t>
  </si>
  <si>
    <t>RA Funct| Project Management, RA IT| FastAPI, RA IT| Kubernetes, RA Prod| FT UnifyTwin</t>
  </si>
  <si>
    <t xml:space="preserve">Sandeep S Nair  </t>
  </si>
  <si>
    <t>RA IT| Angular, RA IT| DCOM, RA IT| GraphQL, RA IT| JSON, RA IT| Linux, RA IT| MySQL, RA IT| OS Installations and Configuration, RA IT| PYTHON</t>
  </si>
  <si>
    <t>Cognite, FTDM SaaS, FTOptix</t>
  </si>
  <si>
    <t xml:space="preserve">Sangram Keshari Dhal Samanta </t>
  </si>
  <si>
    <t xml:space="preserve">6years 3months   </t>
  </si>
  <si>
    <t>RA Funct| Custom Safety Training, RA Funct| Internet of Things (IoT) Design, RA Funct| LOTO 50/50 Delivery, RA Funct| Safety On-Site Validation, RA Ind| Metals - General Knowledge, RA Ind| Metals Casting, RA Ind| Metals Finished Product Material Handling, RA Ind| Metals Melt Shop (Steel Making and Refining), RA Ind| Metals Shaping, RA Ind| Metals Treating Finishing, RA Ind| Renewable Energy - General Knowledge, RA Ind| Solar</t>
  </si>
  <si>
    <t>10 years 4 months</t>
  </si>
  <si>
    <t>9 years 9 months</t>
  </si>
  <si>
    <t>Agile Methodology, Angular, Application Programming Interface (API), Cascading Style Sheets (CSS), Dashboard Reporting, ElasticSearch, GraphQL (Query Language), Hyper Text Markup Language (HTML), JavaScript, Microsoft Azure, PostgreSQL, Project Management, RA Funct| Prompt Engineering, RA IT| AngularJS, RA IT| Charts.js, RA IT| ChatGPT, RA IT| D3.js, React Redux, React.js, RESTful APIs, Software Development, Team Leadership, User Interfaces (UI)</t>
  </si>
  <si>
    <t xml:space="preserve">Sanjay Hiremath   </t>
  </si>
  <si>
    <t>Sanjeevani  Sanjeevani</t>
  </si>
  <si>
    <t>AngularJS, Cascading Style Sheets (CSS), Hyper Text Markup Language (HTML), Python (Programming Language), RA IT| FastAPI, React Redux, React.js, Unit Testing</t>
  </si>
  <si>
    <t>Sanket Mahesh Shetty</t>
  </si>
  <si>
    <t>Angular, Cascading Style Sheets (CSS), Git, Hyper Text Markup Language (HTML), JavaScript, RA IT| GitLab, React.js, Software Development, TypeScript</t>
  </si>
  <si>
    <t>Python (Training)</t>
  </si>
  <si>
    <t xml:space="preserve">Santhosh Nethaji   </t>
  </si>
  <si>
    <t>DevOps, RA IT| Apache Airflow, RA IT| Containerd, RA IT| Databricks, RA IT| Docker, RA IT| Helm, RA IT| K3s, RA IT| Kubernetes, RA IT| Postgres, RA IT| Redshift, RA Prod| FT UnifyTwin</t>
  </si>
  <si>
    <t>11years 3months</t>
  </si>
  <si>
    <t>Amazon Elastic Compute Cloud (Amazon EC2), Amazon S3, Angular, API Development, API Standards, AWS Elastic Kubernetes Service (EKS), Azure Kubernetes Service (AKS), Consulting, Databricks, Front End Architecture, MySQL, PostgreSQL, Project Management, Python (Programming Language), React.js, RESTful APIs, Solution Architecture, Web Application Development</t>
  </si>
  <si>
    <t xml:space="preserve">Serin S Varghese  </t>
  </si>
  <si>
    <t>Generative AI &amp; LLMs: LangGraph, LangChain, RAG, Prompt Engineering Machine Learning: Supervised &amp; Unsupervised Learning, Deep Learning, Computer Vision Programming: Python, C, Advanced SQL Frameworks &amp; Tools: Scikit-Learn, NumPy, Pandas, OpenCV, FastAPI, Flask, Docker, Airflow, Kubeflow, PySpark, Databricks Visualization: Matplotlib, Seaborn Cloud &amp; Databases: AWS, GCP, Azure ML, SQL Server, MySQL, PostgreSQL, MongoDB, Kairos Version Control: Git, GitHub, GitLab, Bitbucket, Azure DevOps ML/DL Algorithms: Linear &amp; Logistic Regression, XGBoost, GBM, Random Forest, AdaBoost, KNN, Naive Bayes, K-Means, SVM, Decision Tree, ANN, CNN, RNN, R-CNN, YOLO, VGG-16</t>
  </si>
  <si>
    <t>Shabarish  V</t>
  </si>
  <si>
    <t>Artificial Intelligence (AI), Automated Testing, Automation Frameworks, Generative AI, Java, Page Object Model, Page Objects, Pytest, Python (Programming Language), Regression Testing, Selenium, Selenium Webdriver, Software Testing Process, Structured Query Language (SQL), Test Automation, Test Automation Framework, Test Case Design, Test Scripts</t>
  </si>
  <si>
    <t xml:space="preserve">Shaheem Ali   </t>
  </si>
  <si>
    <t>Agile Methodology, Agile Project Management, Agile Project Management, Delivery Management, Operational Excellence, Project Management, RA IT| Apache Airflow, RA IT| Azure Databricks, RA IT| Databricks, RA IT| Databricks Lakehouse, RA IT| Delta Lake, RA IT| FastAPI, RA IT| Flask, RA IT| jsPlumb, RA IT| Jupyter Notebooks, RA IT| Kafka Streams, RA IT| Postgres, RA Prod| FT UnifyTwin, Strategic Planning, Technical Management</t>
  </si>
  <si>
    <t>6years 3months</t>
  </si>
  <si>
    <t>Backend Development, Python, MYSQL, Datadog, Grafana, Selenium, Snowflake</t>
  </si>
  <si>
    <t>Shakthi  P</t>
  </si>
  <si>
    <t>3 years 4 months</t>
  </si>
  <si>
    <t>Amazon Athena, AWS Cloud Computing, AWS Glue, Big Data, Data Lake, Data Modeling, Data Pipelines, Data Warehousing (DW), Databricks Platform, Docker Container, ETL Pipelines, Java, Kubernetes, MySQL, PySpark, Python (Programming Language), RA IT| Amazon DynamoDB, RA IT| Amazon EMR, RA IT| Apache Airflow, RA IT| Azure Databricks, RA IT| Databricks, RA IT| Databricks Lakehouse, RA IT| Delta Lake, RA IT| FastAPI, RESTful APIs, Structured Query Language (SQL)</t>
  </si>
  <si>
    <t>Shalwin  A S</t>
  </si>
  <si>
    <t>Deep Learning, Generative AI, Image Processing, Integral Calculus, Machine Learning (ML), Microsoft Azure, Natural Language Processing (NLP), Playwright (Software), PostgreSQL, Pytest, Python (Programming Language), RA IT| RAG (Retrieval-Augmented Generation), Structured Query Language (SQL)</t>
  </si>
  <si>
    <t>Shangeetha J</t>
  </si>
  <si>
    <t>Microsoft Azure, MySQL, RA IT| Azure Databricks, RA IT| Jupyter Notebooks, RA IT| Microsoft Azure IOT Hub, RA IT| MongoDB, RA IT| PostgreSQL, RA IT| Redshift, RA IT| Reidis, Software Development, Software Enhancement, Structured Query Language (SQL)</t>
  </si>
  <si>
    <t>Shanmuga Sruthi</t>
  </si>
  <si>
    <t>10years 0months</t>
  </si>
  <si>
    <t xml:space="preserve">6years 0months   </t>
  </si>
  <si>
    <t>Agile Business Analysis, Agile Methodology, Agile Product Ownership, Agile Scrum Development, Atlassian Jira Query Language, B2B Product Management, Business, Business Analysis, Business English, Business Management, Business Strategy Analysis, Change Management, Customer Experience Strategy, Customer Success, Customer Success Enablement, Customer Success Management (CSM), Customer Success Strategies, Daily Scrum, Dashboard Management, Dashboard Reporting, Database Management, Database Management Systems (DBMS), Distributed Scrum, General Management, JIRA Bug Tracking, JIRA Tool, Microsoft Power Business Intelligence (BI), Microsoft Power Business Intelligence (BI) Data Visualization, Microsoft Power Business Intelligence (BI) Desktop, MySQL, Product Flow Management, Product Management, Product Ownership, Product Scope, Python (Programming Language), Python IDLE, Relational Database Management System (RDBMS), Scrum, Scrum (Agile), Scrum Ceremonies, Scrum Coaching, Scrum Development Process, Scrum Methodology, Scrum of Scrums, Scrumban, Sprint Planning, SQL DBMS, Statistical Analysis, Tableau (Software), Technical Business Analysis, Technology Product Management</t>
  </si>
  <si>
    <t xml:space="preserve">Shanmugapriya K   </t>
  </si>
  <si>
    <t>Application Testing, ETL (Informatica), Informatica Cloud, Informatica PowerCenter, Informatica Test Data Management, Microsoft SQL Server, Power BI, RA IT| Azure Databricks, RA IT| Databricks, Selenium Automation, SQL Databases, SQL Query Writing, Structured Query Language (SQL)</t>
  </si>
  <si>
    <t>Data Engineering, Amazon Web Services (AWS), SQL, PySpark, Python, Git</t>
  </si>
  <si>
    <t>Shubham Arunrao Kothale</t>
  </si>
  <si>
    <t>Amazon Web Services (AWS), API Development, AWS DynamoDB, AWS Lambda, AWS Step Functions, Azure Repos, Bitbucket, Communication, Data Engineering, Data Lake, Data Pipelines, Data Warehousing (DW), Kubernetes, Microsoft Azure, MySQL, Project Management, PySpark, Python (Programming Language), RA IT| Amazon DynamoDB, RA IT| Amazon EMR, RA IT| Amazon Web Services, RA IT| Apache Airflow, RA IT| Apache Spark, RA IT| AWS SageMaker, RA IT| Azure Databricks, RA IT| Azure Synapse Analytics, RA IT| Databricks, RA IT| Databricks Lakehouse, RA IT| Docker, RA IT| GitLab, RA IT| Jenkins, RA IT| MS Azure Cloud, RA IT| Postgres, RA IT| Redshift, RA IT| Snowflake, Spark SQL, Strategic Thinking, Structured Query Language (SQL), Technical Leadership</t>
  </si>
  <si>
    <t xml:space="preserve">Shubham Jamwal   </t>
  </si>
  <si>
    <t>9years 7months</t>
  </si>
  <si>
    <t>Shubham K Kathare</t>
  </si>
  <si>
    <t>Shubham Kumar Sahu</t>
  </si>
  <si>
    <t>1years 8months</t>
  </si>
  <si>
    <t xml:space="preserve">Shubham Rajendra Kurane  </t>
  </si>
  <si>
    <t>MySQL, RA Prod| FT UnifyTwin, Structured Query Language (SQL)</t>
  </si>
  <si>
    <t xml:space="preserve">Shubham Sourav   </t>
  </si>
  <si>
    <t>Microservices Architecture, RA IT| MongoDB, RA IT| PostgreSQL, Software Code Quality, Software Engineering, Version Control</t>
  </si>
  <si>
    <t xml:space="preserve">Sibi Sam   </t>
  </si>
  <si>
    <t>Automation Technology, Budgeting, Change Management, Client Relationship Building, Client Service, Codes of Conduct, Collaborates, Collaboration, Communicates effectively, Communication, Conflicts of Interests, Continuous Improvement, Customer focus, Data-Driven Decision Making, Delivery Management, Disciplined Execution, Drives results, Ensures accountability, Industry Knowledge, Management Reporting, Manufacturing, Operations Management, People Management, Project Completions, Project Deliverables, Project Delivery, Project Handling, Project Management, Project Management Practices, Project Management Training, RA IT| .Net Framework, RA IT| Amazon Web Services, RA IT| Angular, RA IT| Apache (Casandra, Hadoop, Hive), RA IT| Apache Kafka, RA IT| Apache Spark, RA IT| Apache SparkML, RA IT| Apache Tomcat, RA IT| ASP, RA IT| ASP .Net, RA IT| Azure Machine Learning, RA IT| C/C++, RA IT| C# (C Sharp), RA IT| Data Modeling, RA IT| Eclipse, RA IT| ElasticSearch, RA IT| Figma, RA IT| GitLab, RA IT| Google Cloud Platform, RA IT| HTML; Java Script; CSS, RA IT| HTML5, RA IT| IBM Cloud, RA IT| Java/JSP, RA IT| Jenkins, RA IT| Jira, RA IT| JSON, RA IT| Linux, RA IT| Linux / Unix, RA IT| Microsoft - Desktop, RA IT| Microsoft Azure IOT Hub, RA IT| Microsoft Visio, RA IT| Middleware, RA IT| MongoDB, RA IT| MQTT, RA IT| MS Access, RA IT| MS Azure Cloud, RA IT| MS PowerBI Reporting, RA IT| MS Reporting Services, RA IT| MS SQL, RA IT| MySQL, RA IT| Node.js, RA IT| Object Oriented Programming, RA IT| Oracle Cloud, RA IT| Oracle dB, RA IT| OS Installations and Configuration, RA IT| PostgreSQL, RA IT| PYTHON, RA IT| Remote Desktop Protocol, RA IT| Selenium IDE, RA IT| SonarQube, RA IT| SQL, RA IT| SQL Server Administration, RA IT| Tele-communication between Networks, RA IT| UNIX, RA IT| VMWare vCloud, RA IT| VMware VSphere, RA IT| Web Services, RA IT| WebSockets, RA IT| Windows Active Directory, RA IT| Windows Server (Legacy), RA IT| Wireshark, Relationship Management, Resource Allocation, Stakeholder Engagement, Stakeholder Management, Team Leadership, Waterfall Model</t>
  </si>
  <si>
    <t xml:space="preserve">Simran Kumari Sahu  </t>
  </si>
  <si>
    <t xml:space="preserve">Smitha N   </t>
  </si>
  <si>
    <t>Sneha Manjunath Hegde</t>
  </si>
  <si>
    <t>Atlassian JIRA, Azure Blob Storage, Flask (Web Framework), Generative AI, Git, GitHub, Large Language Model (LLM) Fine-Tuning, Microsoft Azure, MongoDB, MySQL, Pandas Python Library, Postman (Platform), Prompt Engineering, Python (Programming Language), Python Datetime Module, Python Frameworks, Python Matplotlib, Python Numpy, Python Requests, Python Software Development, Redis, Software Development</t>
  </si>
  <si>
    <t xml:space="preserve">Somappa S   </t>
  </si>
  <si>
    <t>Dataiku, Devops, Kubernetes, AWS, Linux Administration, Jenkins, Git</t>
  </si>
  <si>
    <t>Somnath Paul</t>
  </si>
  <si>
    <t>Big Data Engineering, Data Engineering</t>
  </si>
  <si>
    <t xml:space="preserve">Sonali Sahu   </t>
  </si>
  <si>
    <t xml:space="preserve">Sreejith Joseph   </t>
  </si>
  <si>
    <t xml:space="preserve">Sreelekshmi Sunish   </t>
  </si>
  <si>
    <t>Angular, Cascading Style Sheets (CSS), Figma, Hyper Text Markup Language (HTML), MySQL, Node.js, React.js</t>
  </si>
  <si>
    <t xml:space="preserve">Srinivasula Krishna Chaitanya  </t>
  </si>
  <si>
    <t>KrishnaChaitanya.Srinivasula@rockwellautomation.com</t>
  </si>
  <si>
    <t>6years 5months</t>
  </si>
  <si>
    <t>Amazon Athena, Analytics Dashboards, Automation Technology, Azure Devops, Dashboard Development, Dashboard Reporting, Data Analysis, Data ETL, Data Query, Data Testing, Data Warehousing (DW), Databricks Platform, ETL (Extract Transform Load) Testing, Extract Transform Load (ETL), Internet of Things (IoT), KPI Dashboards, Microsoft Power Business Intelligence (BI), Quality Assurance (QA), SQL Data Analysis, SQL Server Integration Services (SSIS), Structured Query Language (SQL), Supervisory Control and Data Acquisition (SCADA), Test Case Design, Test Planning</t>
  </si>
  <si>
    <t xml:space="preserve">Sruthilakshmi K G  </t>
  </si>
  <si>
    <t>ETL (Informatica), Manual Testing, Microsoft Power Business Intelligence (BI), Microsoft Power Business Intelligence (BI) Data Visualization, MySQL, Structured Query Language (SQL)</t>
  </si>
  <si>
    <t xml:space="preserve">Subash Soundarapandian   </t>
  </si>
  <si>
    <t>Angular, Code Reviews, Debugging, JavaScript, MySQL, Node.js, Quality Assurance (QA), React.js, Software Development, Structured Query Language (SQL), Svelte (Framework), TypeScript</t>
  </si>
  <si>
    <t xml:space="preserve">Sudhakar Srinivasan   </t>
  </si>
  <si>
    <t>8years 9months</t>
  </si>
  <si>
    <t xml:space="preserve">4years 0months   </t>
  </si>
  <si>
    <t xml:space="preserve">Sudhi Prasad   </t>
  </si>
  <si>
    <t>Agile Methodology, API Development, Debugging, ElasticSearch, Flask (Web Framework), Flask-RESTful, Linux, MongoDB, MySQL, PostgreSQL, Python (Programming Language), RA IT| FastAPI, RA IT| Flask, RESTful APIs, Software Debugging, Software Engineering, Structured Query Language (SQL)</t>
  </si>
  <si>
    <t>Spark, AWS, Python, SQL, Datawarehouse</t>
  </si>
  <si>
    <t>Sumit Pradip Kurkure</t>
  </si>
  <si>
    <t xml:space="preserve">Suneel Rathod   </t>
  </si>
  <si>
    <t>Amazon Redshift, Amazon S3, Apache Kafka, AWS Batch, AWS CloudFormation, AWS DynamoDB, AWS Glue, AWS Identity And Access Management (IAM), AWS Lambda, AWS Step Functions, Azure Data Factory, Microsoft Azure Databricks, Microsoft Azure SQL Database, Pandas Python Library, Power BI, Python (Programming Language), RA IT| Amazon DynamoDB, RA IT| Azure Databricks, RA IT| Azure Synapse Analytics, RA IT| BigQuery, RA IT| Data Modeling, RA IT| Databricks Lakehouse, RA IT| Delta Lake, RA IT| Jupyter Notebooks, RA IT| MongoDB, RA IT| MS SQL, RA IT| MySQL, RA IT| OLAP, RA IT| Postgres, RA IT| PostgreSQL, RA IT| Redshift, RA IT| SQL, RA IT| SQL Server Administration</t>
  </si>
  <si>
    <t>1years 11months</t>
  </si>
  <si>
    <t>API Testing, Bug Tracking Systems, ETL (Extract Transform Load) Testing, Functional Testing, Manual Testing, qTest, Technical Test Execution, Test Case Design, Test Documentation</t>
  </si>
  <si>
    <t xml:space="preserve">Surya Kumar Gupta  </t>
  </si>
  <si>
    <t>11years 6months</t>
  </si>
  <si>
    <t xml:space="preserve">4years 3months   </t>
  </si>
  <si>
    <t>Suryakant Soni</t>
  </si>
  <si>
    <t xml:space="preserve">2years 5months   </t>
  </si>
  <si>
    <t>Agile Methodology, Amazon Athena, Amazon Elastic Compute Cloud (Amazon EC2), Amazon Redshift, Amazon Relational Database Service (RDS), Amazon S3, Amazon Web Services (AWS), Apache Airflow, API Development, Azure Blob Storage, Azure Data Factory, Azure IoT Edge, Azure IoT Hub, Azure Pipelines, CI/CD, Data Lake, Data Modeling, Data Pipelines, Data Warehousing (DW), Databricks, Docker Container, ElasticSearch, Flask-RESTful, GitHub, GitLab, GlobalSCAPE, GraphQL (Query Language), HashiCorp Vault, Knowledge Graph, Kubeflow, Kubernetes, Microsoft Azure, Microsoft Azure Data Explorer, Microsoft Azure SQL Database, Microsoft SQL Server, MongoDB, MySQL, PostgreSQL, PySpark, Python (Programming Language), Python Automation, RA IT| FastAPI, System Designs</t>
  </si>
  <si>
    <t>RA IT| Amazon Web Services, RA IT| C/C++, RA IT| ChatGPT, RA IT| Databricks, RA IT| Databricks Lakehouse, RA IT| Databricks MLflow, RA IT| FastAPI, RA IT| GitLab, RA IT| Hugging Face Transformers, RA IT| Jenkins, RA IT| Jira, RA IT| JSON, RA IT| Linux, RA IT| Linux / Unix, RA IT| MLflow, RA IT| NLTK, RA IT| Object Oriented Programming, RA IT| Postgres, RA IT| PostgreSQL, RA IT| PYTHON, RA IT| PyTorch, RA IT| R Language, RA IT| REST, RA IT| scikit-learn, RA IT| TensorFlow, RA IT| Transformers (Hugging Face)</t>
  </si>
  <si>
    <t>Susmitha Putta</t>
  </si>
  <si>
    <t xml:space="preserve">3 years   </t>
  </si>
  <si>
    <t>Application Programming Interface (API), MySQL, PostgreSQL, Python (Programming Language), Structured Query Language (SQL)</t>
  </si>
  <si>
    <t>Application Testing, Informatica Intelligent Cloud Services, Microsoft Power Business Intelligence (BI), Microsoft Power Business Intelligence (BI) Desktop, Python (Programming Language), Quality Assurance (QA), RA IT| Databricks, RA IT| Postgres, RA IT| Snowflake, RA IT| Tableau, Structured Query Language (SQL), Test Automation</t>
  </si>
  <si>
    <t>Swapnasudhir  Sahoo</t>
  </si>
  <si>
    <t xml:space="preserve">0years 5months   </t>
  </si>
  <si>
    <t>Angular, Angular UI, Cascading Style Sheets (CSS), Hyper Text Markup Language (HTML), JavaScript, JavaScript MVC, Material UI, Microsoft Front End Development (FED) Angular, Next.js, React Redux, React.js, Software Engineering, Software Program, Web Application Development</t>
  </si>
  <si>
    <t>Swaroop Kishan</t>
  </si>
  <si>
    <t>GCC Sr.Engineer</t>
  </si>
  <si>
    <t>9 years 6 months</t>
  </si>
  <si>
    <t xml:space="preserve">Swathy S   </t>
  </si>
  <si>
    <t>Agile Methodology, Agile Thinking, Business Requirements, Business Requirements Analysis, Business Requirements Documentation (BRD), Client Management, Create User Stories, Cross-Functional Team Leadership, Customer Engagement, Data Visualization, Executive Communications, Manage Execution, Project Coordination, Project Delivery, Project Delivery Methods, Project Lifecycle, Project Management Tools, Project Planning, Risk Management, Risk Mitigation, Scrum (Agile), Stakeholder Engagement, Team-Building, Timeline Management</t>
  </si>
  <si>
    <t>Amazon Elastic Compute Cloud (Amazon EC2), Amazon Redshift, Amazon S3, Apache Airflow, Apache Kafka, Databricks, ETL Pipelines, GitLab, JIRA Tool, Microsoft Azure Databricks, PostgreSQL, PySpark, Python (Programming Language), Relational Database Management System (RDBMS), SQL, Tableau (Software), TIBCO Spotfire</t>
  </si>
  <si>
    <t>Python, PySpark, SQL, AZURE, AWS, SSMS, SNOWFLAKE, GRAFANA, Databricks, postgres, kairosdb, Git</t>
  </si>
  <si>
    <t xml:space="preserve">T Uday kumar  </t>
  </si>
  <si>
    <t>Tanweer Karzai</t>
  </si>
  <si>
    <t>RA IT| MS SQL, RA IT| MySQL, RA IT| Postgres, RA IT| PYTHON, Structured Query Language (SQL)</t>
  </si>
  <si>
    <t>7years 8months</t>
  </si>
  <si>
    <t>Agile Methodology, Application Testing, Automated Test Scripts, Automation Frameworks, Data Testing, Defect Tracking Tools, Manual Testing, Prioritization, Project Management, RA IT| Amazon Web Services, RA IT| Apache Spark, RA IT| ElasticSearch, RA IT| GitLab, RA IT| Jenkins, RA IT| Jira, RA IT| Microsoft - Desktop, RA IT| MongoDB, RA IT| MS SQL, RA IT| MySQL, RA IT| PostgreSQL, RA IT| PYTHON, RA IT| SQL, Selenium, Software Testing, Software Testing Process, Test Analysis, Test Automation, Test Case Design, Test Development, Test Execution, Test Procedure Development</t>
  </si>
  <si>
    <t>Uma MD</t>
  </si>
  <si>
    <t>Agile Methodology, Application Performance, Automated Testing, Codes of Conduct, Manual Testing, Performance Testing, Software Testing, Structured Query Language (SQL), User Interfaces (UI)</t>
  </si>
  <si>
    <t>7years 2months</t>
  </si>
  <si>
    <t xml:space="preserve">Vaishnavi    </t>
  </si>
  <si>
    <t xml:space="preserve">Varsha K S  </t>
  </si>
  <si>
    <t>Agile Methodology, Bug Tracking Systems, Debugging, ETL (Extract Transform Load) Testing, Functional Testing, Quality Assurance (QA), Release Testing, Software Application Testing, Software Quality Assurance (SQA), Software Testing, Test Automation, Test Automation Framework, Test Case Design, Test Case Development, Test Data Management, Test Environments, Test Execution, Test Plan Design, Test Planning, Test Scenarios</t>
  </si>
  <si>
    <t xml:space="preserve">Varun Sahebrao sontakke  </t>
  </si>
  <si>
    <t xml:space="preserve">2years 2months   </t>
  </si>
  <si>
    <t>RA IT| AWS SageMaker, RA IT| Azure Databricks, RA IT| Containerd, RA IT| Docker, RA IT| Docker Compose, RA IT| FastAPI, RA IT| Flask, RA IT| Helm, RA IT| Hugging Face Transformers, RA IT| Jupyter Notebooks, RA IT| K3s, RA IT| Kafka Streams, RA IT| KubeFlow, RA IT| Kubernetes, RA IT| OpenShift, RA IT| Postgres, RA IT| Reidis, RA IT| Snowflake, RA IT| Transformers (Hugging Face), RA Prod| FT UnifyTwin</t>
  </si>
  <si>
    <t>Venkata Satya Sitaram  Saladi</t>
  </si>
  <si>
    <t>3 years 8 months</t>
  </si>
  <si>
    <t>Venkatesh R S</t>
  </si>
  <si>
    <t>0years 6months</t>
  </si>
  <si>
    <t>3years 0months</t>
  </si>
  <si>
    <t>JavaScript, MongoDB, MySQL, Node.js, RA IT| Angular, RA IT| GitLab, RA IT| HTML; Java Script; CSS, RA IT| HTML5, RA IT| JSON, RA IT| Object Oriented Programming, RA IT| PYTHON, RA IT| ReactJS, RA IT| REST, Software Development, Structured Query Language (SQL)</t>
  </si>
  <si>
    <t>Vetrivel  B</t>
  </si>
  <si>
    <t>Application Programming Interface (API), Back-End Development, Bug Fix, Collaborating, Computer Engineering, Computer Science, Creative Thinking, Decision Making, Feature Driven Development (FDD), Information Technology (IT), Information Technology (IT) Projects, Java, Problem Solving, Project Timelines, Python (Programming Language)</t>
  </si>
  <si>
    <t>Vidushi Goyal</t>
  </si>
  <si>
    <t>12years 3months</t>
  </si>
  <si>
    <t xml:space="preserve">9years 0months   </t>
  </si>
  <si>
    <t>Client Service, Object Oriented ABAP, Project Management, RA IT| Azure Databricks, RA IT| Azure Synapse Analytics, RA IT| Cognite, RA IT| Data Modeling, RA IT| Databricks Lakehouse, RA IT| MySQL, RA Prod| FT UnifyTwin, SAP ABAP (Advanced Business Application Programming), SAP BusinessObjects, SAP for Banking, SAP Sales, SAP Sales and Distribution (SD), Scrum, Structured Query Language (SQL)</t>
  </si>
  <si>
    <t xml:space="preserve">Vidya M   </t>
  </si>
  <si>
    <t>Vidyashree Vidyashree</t>
  </si>
  <si>
    <t>Angular, React, HTML, CSS, Javascript and Typescript.</t>
  </si>
  <si>
    <t>Vidyasree C</t>
  </si>
  <si>
    <t>8 years 3 months</t>
  </si>
  <si>
    <t xml:space="preserve">1years 1months   </t>
  </si>
  <si>
    <t>Informatica B2B Products consultant and administration - PWC, IDC, MDM, ILM,TDM,DDM, Axon and SatS, AWS and Azure DevOps,  AWS Bedrock agent and agentcore with AI gen, Snowflake, Databricks consultant and other third party tools like Privacera for Data governance, Attacama, Montecarlo and Databricks Lakehouse for DQG, and other dashboard basic skills</t>
  </si>
  <si>
    <t>Vignesh Raj M S K</t>
  </si>
  <si>
    <t xml:space="preserve">Vignesh S   </t>
  </si>
  <si>
    <t>9years 1months</t>
  </si>
  <si>
    <t>Agile Methodology, API Testing, Application Testing, Functional Testing, JIRA Ticketing, Manual QA Testing, Manual Test Execution, Manual Testing, Microsoft SQL Server, PostgreSQL, Quality Assurance (QA), Regression Testing, Selenium, Software Quality Assurance (SQA), Software Testing, SQL, SQL Query Writing, Test Analysis, Test Automation, Test Case Design, Test Data Management, Test Evaluation, Test Execution, Test Planning, User Interface Testing</t>
  </si>
  <si>
    <t xml:space="preserve">Vinod Krishnan   </t>
  </si>
  <si>
    <t>12years 8months</t>
  </si>
  <si>
    <t>Action-Oriented, Agile Framework, Business insight, Consulting, Consulting Services Management, Cultivates innovation, Customer focus, DevOps, Digital Strategy, Growth Development, Management Consulting, Operational Excellence, Project Management, RA Cust| PepsiCo, RA Funct| Agile DevOps Practices, RA Funct| Business Development, RA Funct| Change Management, RA Funct| Client Management/Influence, RA Funct| Cloud Architecture &amp; Deployment, RA Funct| Cloud Development, RA Funct| Communication (Written &amp; Verbal), RA Funct| Complex Problem Solving, RA Funct| Conflict Resolution, RA Funct| Data Management Practices, RA Funct| Data Migration, RA Funct| Database Implementation, RA Funct| Manufacturing Fundamentals, RA Funct| Mentoring &amp; Coaching, RA Funct| Model Compression &amp; Quantization, RA Funct| Process Engineering General Principles, RA Funct| Process Mapping, RA Funct| Project Management, RA Funct| Prompt Engineering, RA Funct| Proposal Development, RA Funct| Quality Management, RA Funct| Software Code Review, RA Funct| Software Performance Tuning, RA Funct| Stakeholder Management, RA Funct| System Requirement Gathering, RA Funct| Team Leadership, RA Ind| Glass Batch Processing, RA Ind| Pharmaceuticals - Primary (API), RA IT| Amazon EMR, RA IT| Amazon Web Services, RA IT| Apache (Casandra, Hadoop, Hive), RA IT| Apache Airflow, RA IT| Apache Kafka, RA IT| Azure Databricks, RA IT| Azure OpenAI Service, RA IT| BERT / GPT models, RA IT| ChatGPT, RA IT| Claude (Anthropic), RA IT| Containerd, RA IT| Data Modeling, RA IT| Databricks, RA IT| Databricks Lakehouse, RA IT| Delta Lake, RA IT| Docker, RA IT| Docker Compose, RA IT| Docker Swarm, RA IT| ElasticSearch, RA IT| FastAPI, RA IT| Flask, RA IT| Gemini (Google DeepMind), RA IT| Google Cloud Platform, RA IT| Java/JSP, RA IT| JSON, RA IT| Kafka Streams, RA IT| LangChain, RA IT| Microsoft Azure IOT Hub, RA IT| MongoDB, RA IT| MQTT, RA IT| MS Azure Cloud, RA IT| MS SQL, RA IT| MySQL, RA IT| Object Oriented Programming, RA IT| OpenAI API, RA IT| OpenAI GPT-4, RA IT| Postgres, RA IT| PostgreSQL, RA IT| PYTHON, RA IT| REST, RA IT| Snowflake, RA IT| SQL, RA IT| Transformers (Hugging Face), RA IT| Vector Databases (e.g., FAISS, Milvus, Pinecone), RA IT| Web Services, RA IT| WebSockets, RA Prod| FT UnifyTwin, Self-development, Strategic mindset, Tech savvy, Technical Management, Values Differences</t>
  </si>
  <si>
    <t>Business Intelligence Testing, Data Testing, Functional Testing, Software Quality Assurance (SQA) Testing, Test Case Design, Test Data Management, Test Execution, Test Planning, Web Testing</t>
  </si>
  <si>
    <t xml:space="preserve">Vishal Srivastava   </t>
  </si>
  <si>
    <t xml:space="preserve">1years 7months   </t>
  </si>
  <si>
    <t>Vishnu Vardhan  Thokala</t>
  </si>
  <si>
    <t>Data Engineering, Data Science, Deep Learning, Extract Transform Load (ETL), Machine Learning (ML), Microsoft Azure, PySpark, Python (Programming Language), RA IT| Azure Databricks, RA IT| Databricks, RA IT| Delta Lake, SQL</t>
  </si>
  <si>
    <t>8years 10months</t>
  </si>
  <si>
    <t xml:space="preserve">3years 6months   </t>
  </si>
  <si>
    <t>Android Software Development, Code Reviews, ETL Automation, ETL Tools, Java, JavaScript, MySQL, Quality Assurance (QA), Scrum, Software Testing Best Practices, Software Testing Process, Structured Query Language (SQL), Test Automation Strategy, Test Execution, Test Management, User Acceptance Testing (UAT)</t>
  </si>
  <si>
    <t xml:space="preserve">Vivek Sharma   </t>
  </si>
  <si>
    <t xml:space="preserve">2years 4months   </t>
  </si>
  <si>
    <t>Yashwanth Reddy P B  Reddy</t>
  </si>
  <si>
    <t>0years 1months</t>
  </si>
  <si>
    <t>Agile Methodology, API Testing, Automated Testing, Automation, Automation Testing</t>
  </si>
  <si>
    <t xml:space="preserve">Yerasu Pravallika   </t>
  </si>
  <si>
    <t>MySQL, PySpark</t>
  </si>
  <si>
    <t>Yeswanth  M</t>
  </si>
  <si>
    <t xml:space="preserve">Yusuff Sheriff I  </t>
  </si>
  <si>
    <t>Python, .NET , SQL,FastApi, MongoDB ,Azure ,Linux Basics</t>
  </si>
  <si>
    <t>Employee ID</t>
  </si>
  <si>
    <t>DOJ</t>
  </si>
  <si>
    <t>Prior Experience</t>
  </si>
  <si>
    <t>KL Experience</t>
  </si>
  <si>
    <t>Gopala Krishna Manchukonda</t>
  </si>
  <si>
    <t>Manu  Menon</t>
  </si>
  <si>
    <t>9 years 2 months</t>
  </si>
  <si>
    <t>Sibi  Sam</t>
  </si>
  <si>
    <t>Jobin  Jose</t>
  </si>
  <si>
    <t>Prasanna  K</t>
  </si>
  <si>
    <t>Manoj  Shetty K</t>
  </si>
  <si>
    <t>Sandeep  Hebbar</t>
  </si>
  <si>
    <t>4years 10months</t>
  </si>
  <si>
    <t>Maneesha  Peddireddy</t>
  </si>
  <si>
    <t>Balaji  R</t>
  </si>
  <si>
    <t>10years 4months</t>
  </si>
  <si>
    <t>Vignesh Prabhu V</t>
  </si>
  <si>
    <t>Abhijith  M S</t>
  </si>
  <si>
    <t>Jasir Hussain Areekkan</t>
  </si>
  <si>
    <t>9years 9months</t>
  </si>
  <si>
    <t>Aravind  S</t>
  </si>
  <si>
    <t>Vinod  Krishnan</t>
  </si>
  <si>
    <t>11years 4months</t>
  </si>
  <si>
    <t>Sareesh  Krishnan</t>
  </si>
  <si>
    <t>Ashwin Shambuling Kodgimath</t>
  </si>
  <si>
    <t>9years 4months</t>
  </si>
  <si>
    <t>Pruthvi  Thatavarthi</t>
  </si>
  <si>
    <t>Kishore  P G</t>
  </si>
  <si>
    <t>7years 1months</t>
  </si>
  <si>
    <t>Surya  K</t>
  </si>
  <si>
    <t xml:space="preserve">0years 11months   </t>
  </si>
  <si>
    <t>2years 10months</t>
  </si>
  <si>
    <t>Jayanth Kumar Samineni</t>
  </si>
  <si>
    <t>Jebby  John</t>
  </si>
  <si>
    <t xml:space="preserve">6yr(non-IT)    </t>
  </si>
  <si>
    <t>5years 11months</t>
  </si>
  <si>
    <t>Sruthi  Shanmuga</t>
  </si>
  <si>
    <t>Vidushi  Goyal</t>
  </si>
  <si>
    <t>Paresh  Mehra</t>
  </si>
  <si>
    <t>Satyaram  Adabala</t>
  </si>
  <si>
    <t>Nisfan  Sabith</t>
  </si>
  <si>
    <t>Tushar  Gatkal</t>
  </si>
  <si>
    <t xml:space="preserve">1years 0years   </t>
  </si>
  <si>
    <t>Uday Kumar T</t>
  </si>
  <si>
    <t>Guruprasad  R</t>
  </si>
  <si>
    <t>Ramesh  G L</t>
  </si>
  <si>
    <t>10years 5months</t>
  </si>
  <si>
    <t>Shaheem  Ali</t>
  </si>
  <si>
    <t>Vignesh  S</t>
  </si>
  <si>
    <t>Rahul Ramesh Basani</t>
  </si>
  <si>
    <t>Lakshmi Prasanna  Maddike</t>
  </si>
  <si>
    <t>Somappa  S</t>
  </si>
  <si>
    <t>Ramesh  M</t>
  </si>
  <si>
    <t>Akshaya  P S</t>
  </si>
  <si>
    <t>Somnath  Paul</t>
  </si>
  <si>
    <t>Anjana  Sharma</t>
  </si>
  <si>
    <t>8years 3months</t>
  </si>
  <si>
    <t>Varun Sahebrao Sontakke</t>
  </si>
  <si>
    <t>Punithraj  K P</t>
  </si>
  <si>
    <t>Ankit  Nayak</t>
  </si>
  <si>
    <t>Sandeep Kumar T L</t>
  </si>
  <si>
    <t>Fazulu Rehaman  Peddadevara</t>
  </si>
  <si>
    <t>Gaurav Kumar Singh</t>
  </si>
  <si>
    <t>Manisha  Pedhaguntlapalli</t>
  </si>
  <si>
    <t>Abhishek Suresh Kurup</t>
  </si>
  <si>
    <t>Noushad Basha  Peddadevara</t>
  </si>
  <si>
    <t>Surya Kumar Gupta</t>
  </si>
  <si>
    <t>Shivam Mohan Katkamwar</t>
  </si>
  <si>
    <t>Lishobh  P</t>
  </si>
  <si>
    <t>Litesh Dilip Kolte</t>
  </si>
  <si>
    <t>Pranjay Kumar Singh</t>
  </si>
  <si>
    <t>Arun Singh Kushwaha</t>
  </si>
  <si>
    <t>Abhishek  Uppal</t>
  </si>
  <si>
    <t>Athul  Krishnan R</t>
  </si>
  <si>
    <t xml:space="preserve">2years 9months   </t>
  </si>
  <si>
    <t>Vinod Kumar Reddy  D</t>
  </si>
  <si>
    <t>Habib  Khan</t>
  </si>
  <si>
    <t>Swagato  Das</t>
  </si>
  <si>
    <t>Rahul  Pokharia</t>
  </si>
  <si>
    <t>Sukhwinder  Singh</t>
  </si>
  <si>
    <t>6years 8months</t>
  </si>
  <si>
    <t>Shubham  Jamwal</t>
  </si>
  <si>
    <t>Sushil Chandrakant Gaikwad</t>
  </si>
  <si>
    <t>Suryakant  Soni</t>
  </si>
  <si>
    <t>Shanmugapriya  K</t>
  </si>
  <si>
    <t>Sai Sandeep  S</t>
  </si>
  <si>
    <t>Madhuri  M</t>
  </si>
  <si>
    <t>Niyas Ali  Kallethodi</t>
  </si>
  <si>
    <t>Madhuri  Yarrannagari</t>
  </si>
  <si>
    <t>Don  George</t>
  </si>
  <si>
    <t>Abhay  R</t>
  </si>
  <si>
    <t>Madhu Sudhan  Sreerama</t>
  </si>
  <si>
    <t>Shaik Mohammad  Sahil</t>
  </si>
  <si>
    <t>6years 4months</t>
  </si>
  <si>
    <t>Aayush  Agarwal</t>
  </si>
  <si>
    <t>Vivek  Sharma</t>
  </si>
  <si>
    <t>Ashwini  K V</t>
  </si>
  <si>
    <t>Subramanyam Dora  M</t>
  </si>
  <si>
    <t>Dilna  V</t>
  </si>
  <si>
    <t>Prashant Arun Badwe</t>
  </si>
  <si>
    <t>Mohan  Guntur</t>
  </si>
  <si>
    <t>Himabindu  G</t>
  </si>
  <si>
    <t>Avinash  Kumar</t>
  </si>
  <si>
    <t>Santhosh  Nethaji</t>
  </si>
  <si>
    <t>Naveen Kumar  Kirikari</t>
  </si>
  <si>
    <t>Rupesh Reddy  Veeramreddy</t>
  </si>
  <si>
    <t>Arun Raj  M P</t>
  </si>
  <si>
    <t>Adith  Suresh</t>
  </si>
  <si>
    <t>5years 10months</t>
  </si>
  <si>
    <t>Madhavi  K</t>
  </si>
  <si>
    <t>Doble  N J</t>
  </si>
  <si>
    <t>Mohammad  Taufeeq</t>
  </si>
  <si>
    <t>Divya  Mummasani</t>
  </si>
  <si>
    <t>Bishwadeep  Chaudhary</t>
  </si>
  <si>
    <t>Mithun  V</t>
  </si>
  <si>
    <t>Visnu  K R B</t>
  </si>
  <si>
    <t>Mohan  N</t>
  </si>
  <si>
    <t>Preethi  Samala</t>
  </si>
  <si>
    <t>Vishal Narendra Patil</t>
  </si>
  <si>
    <t>Jithin  S S</t>
  </si>
  <si>
    <t>Ginse  Joy</t>
  </si>
  <si>
    <t>Ashaka  Singh</t>
  </si>
  <si>
    <t>Mohammed Shahid Shariff  M</t>
  </si>
  <si>
    <t>Sai Reethi  Mallela</t>
  </si>
  <si>
    <t>Akhil Devassykutty  K D</t>
  </si>
  <si>
    <t>4years 11months</t>
  </si>
  <si>
    <t>Ashitosh Chandrakant Dhaware</t>
  </si>
  <si>
    <t>Anshul  Kumar</t>
  </si>
  <si>
    <t>Prashant  Shakya</t>
  </si>
  <si>
    <t>Nayan Vilas Nikam</t>
  </si>
  <si>
    <t>Samrudh Advani A M</t>
  </si>
  <si>
    <t>Vamshi Krishna  R</t>
  </si>
  <si>
    <t>Prabhakaran  Dhanasekarapandian</t>
  </si>
  <si>
    <t>Sudhakar  Srinivasan</t>
  </si>
  <si>
    <t>Sri Archana  S</t>
  </si>
  <si>
    <t>Shilpa  R</t>
  </si>
  <si>
    <t>Prapti  Buragohain</t>
  </si>
  <si>
    <t>Amit Dipak Pawar</t>
  </si>
  <si>
    <t>Varshini  K V</t>
  </si>
  <si>
    <t>Kowshik Basha  Netturi</t>
  </si>
  <si>
    <t>Avijit  Bhowmick</t>
  </si>
  <si>
    <t>Paramasivam  S</t>
  </si>
  <si>
    <t>Omesh  Majety</t>
  </si>
  <si>
    <t>Mohammad Sharique  Ali</t>
  </si>
  <si>
    <t>Aswathy  L</t>
  </si>
  <si>
    <t>Shabaz Ali Khan  Lavani</t>
  </si>
  <si>
    <t>Pravallika  Yerasu</t>
  </si>
  <si>
    <t>Paritosh Jayant Sonkusare</t>
  </si>
  <si>
    <t>Jismariya  Jose</t>
  </si>
  <si>
    <t>Swapnil Sanjay Jaware</t>
  </si>
  <si>
    <t>Krithika  V</t>
  </si>
  <si>
    <t>Aswathi G Nair</t>
  </si>
  <si>
    <t>Shebin  Paul</t>
  </si>
  <si>
    <t>Kokila  D</t>
  </si>
  <si>
    <t>Rashmi Reddy M R</t>
  </si>
  <si>
    <t>Rakesh  S</t>
  </si>
  <si>
    <t>Akhil  K R</t>
  </si>
  <si>
    <t>Ramanathan  R</t>
  </si>
  <si>
    <t>Gayathri  Suresh</t>
  </si>
  <si>
    <t>Mahesh  Balikai</t>
  </si>
  <si>
    <t>Sudhi  Prasad</t>
  </si>
  <si>
    <t>Akhilkrishnan  K</t>
  </si>
  <si>
    <t>Lavanya  H Y</t>
  </si>
  <si>
    <t>3years 7months</t>
  </si>
  <si>
    <t>Heena Kouser  S</t>
  </si>
  <si>
    <t>Anuj Kumar Saini</t>
  </si>
  <si>
    <t>Jyothish  K</t>
  </si>
  <si>
    <t>Malavika  Mahendran</t>
  </si>
  <si>
    <t>Ayush Kumar Choudhary</t>
  </si>
  <si>
    <t>Sruthilakshmi  K G</t>
  </si>
  <si>
    <t>Allan  Jose</t>
  </si>
  <si>
    <t>Karishma  Anupuru</t>
  </si>
  <si>
    <t>Vidyashree  C</t>
  </si>
  <si>
    <t>Sreelekshmi  Sunish</t>
  </si>
  <si>
    <t>Sachin G Rao</t>
  </si>
  <si>
    <t>Amrit Nandan Satapathy</t>
  </si>
  <si>
    <t>Charitha  P</t>
  </si>
  <si>
    <t>Swetha  S</t>
  </si>
  <si>
    <t>Swathy  S</t>
  </si>
  <si>
    <t>Shubham Rajendra Kurane</t>
  </si>
  <si>
    <t>Kowsalya  B</t>
  </si>
  <si>
    <t>Krishna Chaitanya  Srinivasula</t>
  </si>
  <si>
    <t>Jhenkar  H G</t>
  </si>
  <si>
    <t>Aishwarya  B N</t>
  </si>
  <si>
    <t>Ramya  R</t>
  </si>
  <si>
    <t>2years 3months</t>
  </si>
  <si>
    <t>Aneesh  K</t>
  </si>
  <si>
    <t>Vidya  M</t>
  </si>
  <si>
    <t>Abhishek Nayak U</t>
  </si>
  <si>
    <t>Smitha  N</t>
  </si>
  <si>
    <t>Amal Bhas  P</t>
  </si>
  <si>
    <t>Athira  Prasannan</t>
  </si>
  <si>
    <t>Jerry  John</t>
  </si>
  <si>
    <t>Sonali  Sahu</t>
  </si>
  <si>
    <t>Aparna  Singh</t>
  </si>
  <si>
    <t>Githu  Varghese</t>
  </si>
  <si>
    <t>Ajmal  Johnson</t>
  </si>
  <si>
    <t>Anikmon  Davis</t>
  </si>
  <si>
    <t>Shangeetha  J</t>
  </si>
  <si>
    <t>Sai Varun  Salla Dasharatha</t>
  </si>
  <si>
    <t>Mohammed Shibili  O</t>
  </si>
  <si>
    <t>Gokkul  R R</t>
  </si>
  <si>
    <t>Arjun  B</t>
  </si>
  <si>
    <t>Rakesh  P V</t>
  </si>
  <si>
    <t>Salva Mol  K M</t>
  </si>
  <si>
    <t>Logesh  N</t>
  </si>
  <si>
    <t>Sandeep S Nair</t>
  </si>
  <si>
    <t>Praveen Kumar  J</t>
  </si>
  <si>
    <t>Naveen  M D</t>
  </si>
  <si>
    <t>Suneel  Rathod</t>
  </si>
  <si>
    <t>Vidyashree  Vidyashree</t>
  </si>
  <si>
    <t>Anzar Ahmad Ganie</t>
  </si>
  <si>
    <t>Syed Faraz Ali  Ali</t>
  </si>
  <si>
    <t>Riya  Srivastava</t>
  </si>
  <si>
    <t>Reshmanth  Voona</t>
  </si>
  <si>
    <t>Rahul Kumar  Hotta</t>
  </si>
  <si>
    <t>Asutosh Dora  Surukati</t>
  </si>
  <si>
    <t>Madhvi  Singh</t>
  </si>
  <si>
    <t>Jeevan Akshay  B</t>
  </si>
  <si>
    <t>Kavini  P</t>
  </si>
  <si>
    <t>Aliva  Mishra</t>
  </si>
  <si>
    <t>Jayashree  S</t>
  </si>
  <si>
    <t>Subash  S</t>
  </si>
  <si>
    <t>Mukhul Krishna  M B</t>
  </si>
  <si>
    <t>N Surendira  Kumar</t>
  </si>
  <si>
    <t>Prithivi Raj  P</t>
  </si>
  <si>
    <t>Akhila  V K</t>
  </si>
  <si>
    <t>Serin S Varghese</t>
  </si>
  <si>
    <t>Fathima Nourin  T R</t>
  </si>
  <si>
    <t>Harshada Rajesh Deshmukh</t>
  </si>
  <si>
    <t>Sangram Keshari Dhal Samanta</t>
  </si>
  <si>
    <t>Brahmaduttan  S</t>
  </si>
  <si>
    <t>Varsha  K S</t>
  </si>
  <si>
    <t>Chandrakanth  Gottam</t>
  </si>
  <si>
    <t>Sreejith  Joseph</t>
  </si>
  <si>
    <t>Harish Kumar  Kota</t>
  </si>
  <si>
    <t>Anirudh  Dasari</t>
  </si>
  <si>
    <t>2years 1months</t>
  </si>
  <si>
    <t>Yusuff Sheriff  I</t>
  </si>
  <si>
    <t>Uma  M D</t>
  </si>
  <si>
    <t>Aswin G  Menon</t>
  </si>
  <si>
    <t>Roopalakshmi  Anil</t>
  </si>
  <si>
    <t>Aayush  Aayush</t>
  </si>
  <si>
    <t>MD Faizan  Alam</t>
  </si>
  <si>
    <t>PRACHI RAJ  SINGH</t>
  </si>
  <si>
    <t>SHUBHAM KUMAR  SAHU </t>
  </si>
  <si>
    <t>SHUBHAM  SOURAV</t>
  </si>
  <si>
    <t>SIMRAN KUMARI  SAHU </t>
  </si>
  <si>
    <t>Suparna  BK</t>
  </si>
  <si>
    <t>Mahammad Shaik Shabhad  Peddadevara</t>
  </si>
  <si>
    <t xml:space="preserve">1.5 Yrs   </t>
  </si>
  <si>
    <t>Megha  D</t>
  </si>
  <si>
    <t xml:space="preserve">10 months   </t>
  </si>
  <si>
    <t>Pavanendu  M</t>
  </si>
  <si>
    <t>Abe  Kuriachan</t>
  </si>
  <si>
    <t>Nikhil Holla  R</t>
  </si>
  <si>
    <t>Anju Krishna  P K</t>
  </si>
  <si>
    <t>Harsha  E</t>
  </si>
  <si>
    <t>Vaishnavi  Vaishnavi</t>
  </si>
  <si>
    <t>Keerthi Vardhan H</t>
  </si>
  <si>
    <t xml:space="preserve">1 year 1months  </t>
  </si>
  <si>
    <t>Shubham K. Kathare</t>
  </si>
  <si>
    <t>Sanjay  Hiremath</t>
  </si>
  <si>
    <t>Keerti N. Ronad</t>
  </si>
  <si>
    <t xml:space="preserve">2 year 1month  </t>
  </si>
  <si>
    <t>S  Shashank</t>
  </si>
  <si>
    <t>Nakul Sharath Kumar</t>
  </si>
  <si>
    <t>Burada Bhanu  Prakash</t>
  </si>
  <si>
    <t>Varalakshmi  K</t>
  </si>
  <si>
    <t xml:space="preserve">4 years   </t>
  </si>
  <si>
    <t>Naganagouda  Kenchanagoudra</t>
  </si>
  <si>
    <t>Karthik Prakash  Hudedamani</t>
  </si>
  <si>
    <t>ANANDHASELVAM  J</t>
  </si>
  <si>
    <t>Rohit Shridhar  Shelke</t>
  </si>
  <si>
    <t>Naresh  Balaraman</t>
  </si>
  <si>
    <t>Vishal  Srivastava</t>
  </si>
  <si>
    <t>Asim  Konar</t>
  </si>
  <si>
    <t>Deepak  M</t>
  </si>
  <si>
    <t>Vignesh Raj  M S K</t>
  </si>
  <si>
    <t>Raghavendra Prasanna  M</t>
  </si>
  <si>
    <t>0years 11months</t>
  </si>
  <si>
    <t>PUTTA  SUSMITHA</t>
  </si>
  <si>
    <t>Zaid Bin  Azeez</t>
  </si>
  <si>
    <t>0years 9months</t>
  </si>
  <si>
    <t>Sanjana  NN</t>
  </si>
  <si>
    <t>0years 8months</t>
  </si>
  <si>
    <t>Charan  Jettappanavar</t>
  </si>
  <si>
    <t>Rashmitha  B</t>
  </si>
  <si>
    <t>Venkatesh  R S</t>
  </si>
  <si>
    <t>Danushri  C</t>
  </si>
  <si>
    <t>Tanweer  Karzai</t>
  </si>
  <si>
    <t>Deepshikha  Deepshikha</t>
  </si>
  <si>
    <t>Ajaykumarreddy  Kummetha</t>
  </si>
  <si>
    <t>0years 4months</t>
  </si>
  <si>
    <t>Aishwarya  B Nair</t>
  </si>
  <si>
    <t>Jagyansenee  Karan</t>
  </si>
  <si>
    <t>Jyothsna  Narra</t>
  </si>
  <si>
    <t>Miruthula  Chandrasekaran</t>
  </si>
  <si>
    <t>Mary Jiny  D</t>
  </si>
  <si>
    <t>Deepika  Manoharan</t>
  </si>
  <si>
    <t>0years 0months</t>
  </si>
  <si>
    <t>User ID</t>
  </si>
  <si>
    <t>User Rockwell ID</t>
  </si>
  <si>
    <t>Aayush.Aayush@rockwellautomation.com</t>
  </si>
  <si>
    <t>Aayush.Agarwal@rockwellautomation.com</t>
  </si>
  <si>
    <t>Abe.Kuriachan@rockwellautomation.com</t>
  </si>
  <si>
    <t>ABHIJEET.ANAND@rockwellautomation.com</t>
  </si>
  <si>
    <t>Abhijith.MS@rockwellautomation.com</t>
  </si>
  <si>
    <t>Abhishek.Kurup@rockwellautomation.com</t>
  </si>
  <si>
    <t>Abhishek.U@rockwellautomation.com</t>
  </si>
  <si>
    <t>Adith.Suresh@rockwellautomation.com</t>
  </si>
  <si>
    <t>Aditi.Alla@rockwellautomation.com</t>
  </si>
  <si>
    <t>Aishwarya.BN@rockwellautomation.com</t>
  </si>
  <si>
    <t>AishwaryaBNair.Sreeshailam@rockwellautomation.com</t>
  </si>
  <si>
    <t>Ajaykumarreddy.Kummetha@rockwellautomation.com</t>
  </si>
  <si>
    <t>Ajmal.Johnson@rockwellautomation.com</t>
  </si>
  <si>
    <t>AJose2@rockwellautomation.com</t>
  </si>
  <si>
    <t>Akash.Borse@rockwellautomation.com</t>
  </si>
  <si>
    <t>Akash.Selvaraj@rockwellautomation.com</t>
  </si>
  <si>
    <t>Akhil.KR@rockwellautomation.com</t>
  </si>
  <si>
    <t>Akhila.VK@rockwellautomation.com</t>
  </si>
  <si>
    <t>Akhilkrishnan.K@rockwellautomation.com</t>
  </si>
  <si>
    <t>Akshaya.PS@rockwellautomation.com</t>
  </si>
  <si>
    <t>Aliva.Mishra@rockwellautomation.com</t>
  </si>
  <si>
    <t>Allan.Jose@rockwellautomation.com</t>
  </si>
  <si>
    <t>Alysha.Couth@rockwellautomation.com</t>
  </si>
  <si>
    <t>Amal.P@rockwellautomation.com</t>
  </si>
  <si>
    <t>Amalraj.Benny@rockwellautomation.com</t>
  </si>
  <si>
    <t>Amit.Pawar@rockwellautomation.com</t>
  </si>
  <si>
    <t>Amrit.Satapathy@rockwellautomation.com</t>
  </si>
  <si>
    <t>Anand.RaoS@rockwellautomation.com</t>
  </si>
  <si>
    <t>anandhaselvam.j@rockwellautomation.com</t>
  </si>
  <si>
    <t>Aneesh.K@rockwellautomation.com</t>
  </si>
  <si>
    <t>Anikmon.Davis@rockwellautomation.com</t>
  </si>
  <si>
    <t>Anirudh.Dasari@rockwellautomation.com</t>
  </si>
  <si>
    <t>Anjali.PV@rockwellautomation.com</t>
  </si>
  <si>
    <t>Anjana.Sharma@rockwellautomation.com</t>
  </si>
  <si>
    <t>ANJANAS.KAIMAL@rockwellautomation.com</t>
  </si>
  <si>
    <t>AnjuKrishna.PK@rockwellautomation.com</t>
  </si>
  <si>
    <t>Ankit.Nayak@rockwellautomation.com</t>
  </si>
  <si>
    <t>Anshul.Kumar@rockwellautomation.com</t>
  </si>
  <si>
    <t>Anuj.Saini@rockwellautomation.com</t>
  </si>
  <si>
    <t>anupama.ds@rockwellautomation.com</t>
  </si>
  <si>
    <t>Anurag.Singh1@rockwellautomation.com</t>
  </si>
  <si>
    <t>Anvesh.MP@rockwellautomation.com</t>
  </si>
  <si>
    <t>Anzar.Ganie@rockwellautomation.com</t>
  </si>
  <si>
    <t>Aparna.Singh@rockwellautomation.com</t>
  </si>
  <si>
    <t>Aravind.S1@rockwellautomation.com</t>
  </si>
  <si>
    <t>Arjun.B@rockwellautomation.com</t>
  </si>
  <si>
    <t>Arun.Kushwaha@rockwellautomation.com</t>
  </si>
  <si>
    <t>ArunKumarReddy.Dindu@rockwellautomation.com</t>
  </si>
  <si>
    <t>ArunRaj.MP@rockwellautomation.com</t>
  </si>
  <si>
    <t>Ashaka.Singh@rockwellautomation.com</t>
  </si>
  <si>
    <t>Ashitosh.Dhaware@rockwellautomation.com</t>
  </si>
  <si>
    <t>Ashwin.Kodgimath@rockwellautomation.com</t>
  </si>
  <si>
    <t>Ashwini.KV@rockwellautomation.com</t>
  </si>
  <si>
    <t>asim.konar@rockwellautomation.com</t>
  </si>
  <si>
    <t>AsutoshDora.Surukati@rockwellautomation.com</t>
  </si>
  <si>
    <t>Aswathi.Nair@rockwellautomation.com</t>
  </si>
  <si>
    <t>Aswathy.L@rockwellautomation.com</t>
  </si>
  <si>
    <t>AswinG.Menon@rockwellautomation.com</t>
  </si>
  <si>
    <t>Athira.Prasannan@rockwellautomation.com</t>
  </si>
  <si>
    <t>Athul.R@rockwellautomation.com</t>
  </si>
  <si>
    <t>Avijit.Bhowmick@rockwellautomation.com</t>
  </si>
  <si>
    <t>Avinash.Kumar1@rockwellautomation.com</t>
  </si>
  <si>
    <t>Ayush.Choudhary@rockwellautomation.com</t>
  </si>
  <si>
    <t>Balaji.R@rockwellautomation.com</t>
  </si>
  <si>
    <t>Bhushan.Jadhav@rockwellautomation.com</t>
  </si>
  <si>
    <t>Binoy.Antony@rockwellautomation.com</t>
  </si>
  <si>
    <t>BirenKumar.Pradhan@rockwellautomation.com</t>
  </si>
  <si>
    <t>Bishwadeep.Chaudhary@rockwellautomation.com</t>
  </si>
  <si>
    <t>Brahmaduttan.S@rockwellautomation.com</t>
  </si>
  <si>
    <t>buradabhanu.prakash@rockwellautomation.com</t>
  </si>
  <si>
    <t>Chandrakanth.Gottam@rockwellautomation.com</t>
  </si>
  <si>
    <t>Charan.Jettappanavar@rockwellautomation.com</t>
  </si>
  <si>
    <t>Charitha.P@rockwellautomation.com</t>
  </si>
  <si>
    <t>Chinmoy.Khadgaray@rockwellautomation.com</t>
  </si>
  <si>
    <t>Danushri.C@rockwellautomation.com</t>
  </si>
  <si>
    <t>deepak.m@rockwellautomation.com</t>
  </si>
  <si>
    <t>DEEPIKA.Manoharan@rockwellautomation.com</t>
  </si>
  <si>
    <t>Deepthi.Naik@rockwellautomation.com</t>
  </si>
  <si>
    <t>Dhananjay.PS@rockwellautomation.com</t>
  </si>
  <si>
    <t>Dharshan.KumarC@rockwellautomation.com</t>
  </si>
  <si>
    <t>Dilna.V@rockwellautomation.com</t>
  </si>
  <si>
    <t>DIVYA.K@rockwellautomation.com</t>
  </si>
  <si>
    <t>Divya.Mummasani@rockwellautomation.com</t>
  </si>
  <si>
    <t>Diya.Biju@rockwellautomation.com</t>
  </si>
  <si>
    <t>Doble.NJ@rockwellautomation.com</t>
  </si>
  <si>
    <t>Don.George@rockwellautomation.com</t>
  </si>
  <si>
    <t>FathimaNourin.TR@rockwellautomation.com</t>
  </si>
  <si>
    <t>FazuluRehaman.Peddadevara@rockwellautomation.com</t>
  </si>
  <si>
    <t>Gambhir.Singh@rockwellautomation.com</t>
  </si>
  <si>
    <t>Gaurav.K.Singh@rockwellautomation.com</t>
  </si>
  <si>
    <t>Gaurav.Upreti@rockwellautomation.com</t>
  </si>
  <si>
    <t>Gayathri.Suresh@rockwellautomation.com</t>
  </si>
  <si>
    <t>Georgekutty.Sebastian@rockwellautomation.com</t>
  </si>
  <si>
    <t>Ginse.Joy@rockwellautomation.com</t>
  </si>
  <si>
    <t>Githu.Varghese@rockwellautomation.com</t>
  </si>
  <si>
    <t>GKrishn3@rockwellautomation.com</t>
  </si>
  <si>
    <t>glasteena.jose@rockwellautomation.com</t>
  </si>
  <si>
    <t>Gokkul.RR@rockwellautomation.com</t>
  </si>
  <si>
    <t>Guruprasad.R@rockwellautomation.com</t>
  </si>
  <si>
    <t>Habib.Khan@rockwellautomation.com</t>
  </si>
  <si>
    <t>Haripriya.Maddela@rockwellautomation.com</t>
  </si>
  <si>
    <t>Harish.Kota@rockwellautomation.com</t>
  </si>
  <si>
    <t>HarmandeepSingh.Pall@rockwellautomation.com</t>
  </si>
  <si>
    <t>Harsha.E@rockwellautomation.com</t>
  </si>
  <si>
    <t>Harshada.Deshmukh@rockwellautomation.com</t>
  </si>
  <si>
    <t>Harshitha.KM@rockwellautomation.com</t>
  </si>
  <si>
    <t>HeenaKouser.S@rockwellautomation.com</t>
  </si>
  <si>
    <t>Hemalatha.Sekar@rockwellautomation.com</t>
  </si>
  <si>
    <t>Himabindu.G@rockwellautomation.com</t>
  </si>
  <si>
    <t>Imran.Pattan@rockwellautomation.com</t>
  </si>
  <si>
    <t>Irfanuddin.Ahmed@rockwellautomation.com</t>
  </si>
  <si>
    <t>JAGYANSENEE.KARAN@rockwellautomation.com</t>
  </si>
  <si>
    <t>Jasir.A@rockwellautomation.com</t>
  </si>
  <si>
    <t>JawadHussainKowsar.Basha@rockwellautomation.com</t>
  </si>
  <si>
    <t>Jayanth.Samineni@rockwellautomation.com</t>
  </si>
  <si>
    <t>Jayashree.S1@rockwellautomation.com</t>
  </si>
  <si>
    <t>Jebby.John@rockwellautomation.com</t>
  </si>
  <si>
    <t>JeevanAkshay.B@rockwellautomation.com</t>
  </si>
  <si>
    <t>Jerry.John@rockwellautomation.com</t>
  </si>
  <si>
    <t>JHANVI.SONDHI@rockwellautomation.com</t>
  </si>
  <si>
    <t>Jhenkar.HG@rockwellautomation.com</t>
  </si>
  <si>
    <t>Jismariya.Jose@rockwellautomation.com</t>
  </si>
  <si>
    <t>Jithin.SS@rockwellautomation.com</t>
  </si>
  <si>
    <t>Jobin.Jose@rockwellautomation.com</t>
  </si>
  <si>
    <t>Joshna.J@rockwellautomation.com</t>
  </si>
  <si>
    <t>Jyothi.Orekanti@rockwellautomation.com</t>
  </si>
  <si>
    <t>Jyothish.K@rockwellautomation.com</t>
  </si>
  <si>
    <t>Jyothsna.Narra@rockwellautomation.com</t>
  </si>
  <si>
    <t>Kannan.Surendran@rockwellautomation.com</t>
  </si>
  <si>
    <t>Karishma.Anupuru@rockwellautomation.com</t>
  </si>
  <si>
    <t>karthikprakash.hudedamani@rockwellautomation.com</t>
  </si>
  <si>
    <t>Kavini.P@rockwellautomation.com</t>
  </si>
  <si>
    <t>Keerthi.H@rockwellautomation.com</t>
  </si>
  <si>
    <t>Keerti.Ronad@rockwellautomation.com</t>
  </si>
  <si>
    <t>Kishore.PG@rockwellautomation.com</t>
  </si>
  <si>
    <t>KK1@rockwellautomation.com</t>
  </si>
  <si>
    <t>klcontractorin</t>
  </si>
  <si>
    <t>klcontractorus</t>
  </si>
  <si>
    <t>Kokila.D@rockwellautomation.com</t>
  </si>
  <si>
    <t>Kowsalya.B@rockwellautomation.com</t>
  </si>
  <si>
    <t>KowshikBasha.Netturi@rockwellautomation.com</t>
  </si>
  <si>
    <t>Krithika.V@rockwellautomation.com</t>
  </si>
  <si>
    <t>KSrinivasula</t>
  </si>
  <si>
    <t>LakshmiDevi.Mudimela@rockwellautomation.com</t>
  </si>
  <si>
    <t>LakshmiPrasanna.Maddike@rockwellautomation.com</t>
  </si>
  <si>
    <t>Lavanya.HY@rockwellautomation.com</t>
  </si>
  <si>
    <t>Lishobh.P@rockwellautomation.com</t>
  </si>
  <si>
    <t>Litesh.Kolte@rockwellautomation.com</t>
  </si>
  <si>
    <t>Logesh.N@rockwellautomation.com</t>
  </si>
  <si>
    <t>Madhuri.M@rockwellautomation.com</t>
  </si>
  <si>
    <t>Madhuri.Yarrannagari@rockwellautomation.com</t>
  </si>
  <si>
    <t>MadhuSudhan.Sreerama@rockwellautomation.com</t>
  </si>
  <si>
    <t>Madhvi.Singh@rockwellautomation.com</t>
  </si>
  <si>
    <t>Mageswari.S@rockwellautomation.com</t>
  </si>
  <si>
    <t>Mahesh.Balikai@rockwellautomation.com</t>
  </si>
  <si>
    <t>Malavika.Mahendran@rockwellautomation.com</t>
  </si>
  <si>
    <t>Maneesha.Peddireddy@rockwellautomation.com</t>
  </si>
  <si>
    <t>Manisha.Pedhaguntlapalli@rockwellautomation.com</t>
  </si>
  <si>
    <t>Manmay.Sahu@rockwellautomation.com</t>
  </si>
  <si>
    <t>MaryJiny.D@rockwellautomation.com</t>
  </si>
  <si>
    <t>MBhagatRaj.Singh@rockwellautomation.com</t>
  </si>
  <si>
    <t>MDFaizan.Alam@rockwellautomation.com</t>
  </si>
  <si>
    <t>Megha.D@rockwellautomation.com</t>
  </si>
  <si>
    <t>Miruthula.Chandrasekaran@rockwellautomation.com</t>
  </si>
  <si>
    <t>Mithun.V@rockwellautomation.com</t>
  </si>
  <si>
    <t>MMenon@rockwellautomation.com</t>
  </si>
  <si>
    <t>Mohamed.Yousuf@rockwellautomation.com</t>
  </si>
  <si>
    <t>Mohammad.Taufeeq@rockwellautomation.com</t>
  </si>
  <si>
    <t>MohammadSharique.Ali@rockwellautomation.com</t>
  </si>
  <si>
    <t>MohammedSaqib.Baig@rockwellautomation.com</t>
  </si>
  <si>
    <t>MohammedShahidShariff.M@rockwellautomation.com</t>
  </si>
  <si>
    <t>MohammedShibili.O@rockwellautomation.com</t>
  </si>
  <si>
    <t>Mohan.Guntur@rockwellautomation.com</t>
  </si>
  <si>
    <t>Mohan.N@rockwellautomation.com</t>
  </si>
  <si>
    <t>Mounika.Rentala@rockwellautomation.com</t>
  </si>
  <si>
    <t>MPeddadevara</t>
  </si>
  <si>
    <t>MukhulKrishna.MB@rockwellautomation.com</t>
  </si>
  <si>
    <t>MVenkata.Poojitha@rockwellautomation.com</t>
  </si>
  <si>
    <t>naganagouda.kenchanagoudra@rockwellautomation.com</t>
  </si>
  <si>
    <t>Nagesha.BS@rockwellautomation.com</t>
  </si>
  <si>
    <t>Nakul.Kumar@rockwellautomation.com</t>
  </si>
  <si>
    <t>Nandish.SH@rockwellautomation.com</t>
  </si>
  <si>
    <t>naresh.naresh@rockwellautomation.com</t>
  </si>
  <si>
    <t>Naveen.ChandreGowda@rockwellautomation.com</t>
  </si>
  <si>
    <t>Naveen.MD@rockwellautomation.com</t>
  </si>
  <si>
    <t>Naveen.S@rockwellautomation.com</t>
  </si>
  <si>
    <t>NaveenKumar.Kirikari@rockwellautomation.com</t>
  </si>
  <si>
    <t>Nayan.Nikam@rockwellautomation.com</t>
  </si>
  <si>
    <t>Nayana.R@rockwellautomation.com</t>
  </si>
  <si>
    <t>NikhilHolla.R@rockwellautomation.com</t>
  </si>
  <si>
    <t>Nisfan.Sabith@rockwellautomation.com</t>
  </si>
  <si>
    <t>Nisharani.Singasani@rockwellautomation.com</t>
  </si>
  <si>
    <t>NithishKumar.S@rockwellautomation.com</t>
  </si>
  <si>
    <t>Niyas.Ali@rockwellautomation.com</t>
  </si>
  <si>
    <t>NoushadBasha.Peddadevara@rockwellautomation.com</t>
  </si>
  <si>
    <t>Omesh.Majety@rockwellautomation.com</t>
  </si>
  <si>
    <t>Paramasivam.S@rockwellautomation.com</t>
  </si>
  <si>
    <t>Paresh.Mehra@rockwellautomation.com</t>
  </si>
  <si>
    <t>Paritosh.Sonkusare@rockwellautomation.com</t>
  </si>
  <si>
    <t>Pavanendu.M@rockwellautomation.com</t>
  </si>
  <si>
    <t>PDhanasekarapandian</t>
  </si>
  <si>
    <t>Perumal.S@rockwellautomation.com</t>
  </si>
  <si>
    <t>PONNANDHAKUMAR.P@rockwellautomation.com</t>
  </si>
  <si>
    <t>PRACHIRAJ.SINGH@rockwellautomation.com</t>
  </si>
  <si>
    <t>Pranjay.Singh@rockwellautomation.com</t>
  </si>
  <si>
    <t>Prapti.Buragohain@rockwellautomation.com</t>
  </si>
  <si>
    <t>Prasanna.Kamasani@rockwellautomation.com</t>
  </si>
  <si>
    <t>Prashant.Badwe@rockwellautomation.com</t>
  </si>
  <si>
    <t>Prashant.Shakya@rockwellautomation.com</t>
  </si>
  <si>
    <t>Pravallika.Yerasu@rockwellautomation.com</t>
  </si>
  <si>
    <t>PraveenKumar.J@rockwellautomation.com</t>
  </si>
  <si>
    <t>Preethi.Samala@rockwellautomation.com</t>
  </si>
  <si>
    <t>PrithiviRaj.P@rockwellautomation.com</t>
  </si>
  <si>
    <t>Priyanka.Pratihari@rockwellautomation.com</t>
  </si>
  <si>
    <t>Pruthvi.Thatavarthi@rockwellautomation.com</t>
  </si>
  <si>
    <t>PunithRaj.KP@rockwellautomation.com</t>
  </si>
  <si>
    <t>PUTTA.SUSMITHA@rockwellautomation.com</t>
  </si>
  <si>
    <t>RaghavendraPrasanna.M@rockwellautomation.com</t>
  </si>
  <si>
    <t>Rahul.Basani@rockwellautomation.com</t>
  </si>
  <si>
    <t>Rahul.Jain2@rockwellautomation.com</t>
  </si>
  <si>
    <t>Rahul.Pokharia@rockwellautomation.com</t>
  </si>
  <si>
    <t>RahulKumar.Hotta@rockwellautomation.com</t>
  </si>
  <si>
    <t>Rajasekar.R@rockwellautomation.com</t>
  </si>
  <si>
    <t>Rajni.Rajni@rockwellautomation.com</t>
  </si>
  <si>
    <t>Rakesh.PV@rockwellautomation.com</t>
  </si>
  <si>
    <t>Rakesh.S@rockwellautomation.com</t>
  </si>
  <si>
    <t>Rakshitha.MHiremath@rockwellautomation.com</t>
  </si>
  <si>
    <t>Ramanathan.R@rockwellautomation.com</t>
  </si>
  <si>
    <t>Ramesh.GL@rockwellautomation.com</t>
  </si>
  <si>
    <t>Ramesh.M@rockwellautomation.com</t>
  </si>
  <si>
    <t>Ramya.R@rockwellautomation.com</t>
  </si>
  <si>
    <t>Ramya.Rajagopal@rockwellautomation.com</t>
  </si>
  <si>
    <t>rashmi.gr@rockwellautomation.com</t>
  </si>
  <si>
    <t>Rashmi.MR@rockwellautomation.com</t>
  </si>
  <si>
    <t>Rashmitha.B@rockwellautomation.com</t>
  </si>
  <si>
    <t>Reshmanth.Voona@rockwellautomation.com</t>
  </si>
  <si>
    <t>Riya.Srivastava@rockwellautomation.com</t>
  </si>
  <si>
    <t>RohitShridhar.Shelke@rockwellautomation.com</t>
  </si>
  <si>
    <t>Roopalakshmi.Anil@rockwellautomation.com</t>
  </si>
  <si>
    <t>RSharma</t>
  </si>
  <si>
    <t>S.Shashank@rockwellautomation.com</t>
  </si>
  <si>
    <t>SAHANA.REDDYR@rockwellautomation.com</t>
  </si>
  <si>
    <t>SaiReethi.Mallela@rockwellautomation.com</t>
  </si>
  <si>
    <t>SaiSandeep.S@rockwellautomation.com</t>
  </si>
  <si>
    <t>SaiVarun.SallaDasharatha@rockwellautomation.com</t>
  </si>
  <si>
    <t>SalvaMol.KM@rockwellautomation.com</t>
  </si>
  <si>
    <t>sampath.shetty@rockwellautomation.com</t>
  </si>
  <si>
    <t>Samrudh.AM@rockwellautomation.com</t>
  </si>
  <si>
    <t>Sandeep.Hebbar@rockwellautomation.com</t>
  </si>
  <si>
    <t>Sandeep.Nair@rockwellautomation.com</t>
  </si>
  <si>
    <t>Sangram.Samanta@rockwellautomation.com</t>
  </si>
  <si>
    <t>Sanjana.NN@rockwellautomation.com</t>
  </si>
  <si>
    <t>Sanjay.Hiremath@rockwellautomation.com</t>
  </si>
  <si>
    <t>SANJEEVANI.SANJEEVANI@rockwellautomation.com</t>
  </si>
  <si>
    <t>Sanket.Shetty@rockwellautomation.com</t>
  </si>
  <si>
    <t>Santhosh.Nethaji@rockwellautomation.com</t>
  </si>
  <si>
    <t>Santosh.Jambagi@rockwellautomation.com</t>
  </si>
  <si>
    <t>Sareesh.Krishnan@rockwellautomation.com</t>
  </si>
  <si>
    <t>Satya.Mohapatra@rockwellautomation.com</t>
  </si>
  <si>
    <t>Satyaram.Adabala@rockwellautomation.com</t>
  </si>
  <si>
    <t>Sayantan.Ray@rockwellautomation.com</t>
  </si>
  <si>
    <t>Serin.Varghese@rockwellautomation.com</t>
  </si>
  <si>
    <t>Shabarish.V@rockwellautomation.com</t>
  </si>
  <si>
    <t>ShabazAliKhan.Lavani@rockwellautomation.com</t>
  </si>
  <si>
    <t>Shaheem.KV@rockwellautomation.com</t>
  </si>
  <si>
    <t>ShaikMohammad.Sahil@rockwellautomation.com</t>
  </si>
  <si>
    <t>Shakthi.P@rockwellautomation.com</t>
  </si>
  <si>
    <t>Shalwin.AS@rockwellautomation.com</t>
  </si>
  <si>
    <t>Shangeetha.J@rockwellautomation.com</t>
  </si>
  <si>
    <t>Shanmugapriya.K@rockwellautomation.com</t>
  </si>
  <si>
    <t>ShanmugaSruthi.Sruthi@rockwellautomation.com</t>
  </si>
  <si>
    <t>Shilpa.R@rockwellautomation.com</t>
  </si>
  <si>
    <t>Shivam.Katkamwar@rockwellautomation.com</t>
  </si>
  <si>
    <t>Shubham.Jamwal@rockwellautomation.com</t>
  </si>
  <si>
    <t>Shubham.Kathare@rockwellautomation.com</t>
  </si>
  <si>
    <t>Shubham.Kothale@rockwellautomation.com</t>
  </si>
  <si>
    <t>Shubham.Kurane@rockwellautomation.com</t>
  </si>
  <si>
    <t>SHUBHAM.SOURAV@rockwellautomation.com</t>
  </si>
  <si>
    <t>SHUBHAMKUMAR.SAHU@rockwellautomation.com</t>
  </si>
  <si>
    <t>Sibi.Sam@rockwellautomation.com</t>
  </si>
  <si>
    <t>SIMRANKUMARI.SAHU@rockwellautomation.com</t>
  </si>
  <si>
    <t>Smita.Bhadury@rockwellautomation.com</t>
  </si>
  <si>
    <t>Smitha.N@rockwellautomation.com</t>
  </si>
  <si>
    <t>Sneha.Hegde@rockwellautomation.com</t>
  </si>
  <si>
    <t>Somappa.S@rockwellautomation.com</t>
  </si>
  <si>
    <t>Somnath.Paul@rockwellautomation.com</t>
  </si>
  <si>
    <t>Sonali.Sahu@rockwellautomation.com</t>
  </si>
  <si>
    <t>Sreejith.Joseph@rockwellautomation.com</t>
  </si>
  <si>
    <t>Sreelekshmi.Sunish@rockwellautomation.com</t>
  </si>
  <si>
    <t>SriArchana.S@rockwellautomation.com</t>
  </si>
  <si>
    <t>Sruthilakshmi.KG@rockwellautomation.com</t>
  </si>
  <si>
    <t>Subash.S@rockwellautomation.com</t>
  </si>
  <si>
    <t>Subhasri.Sahoo@rockwellautomation.com</t>
  </si>
  <si>
    <t>SubramanyamDora.M@rockwellautomation.com</t>
  </si>
  <si>
    <t>Sudhakar.Srinivasan@rockwellautomation.com</t>
  </si>
  <si>
    <t>Sudhi.Prasad@rockwellautomation.com</t>
  </si>
  <si>
    <t>Sukhwinder.Singh@rockwellautomation.com</t>
  </si>
  <si>
    <t>Sumanta.Kisan@rockwellautomation.com</t>
  </si>
  <si>
    <t>Sumit.Kurkure@rockwellautomation.com</t>
  </si>
  <si>
    <t>Suneel.Rathod@rockwellautomation.com</t>
  </si>
  <si>
    <t>Suparna.BK@rockwellautomation.com</t>
  </si>
  <si>
    <t>Suraj.C.Pawar@rockwellautomation.com</t>
  </si>
  <si>
    <t>Surya.Gupta@rockwellautomation.com</t>
  </si>
  <si>
    <t>Surya.Kathiravan@rockwellautomation.com</t>
  </si>
  <si>
    <t>Suryakant.Soni1@rockwellautomation.com</t>
  </si>
  <si>
    <t>Sushil.Gaikwad@rockwellautomation.com</t>
  </si>
  <si>
    <t>Swagato.Das@rockwellautomation.com</t>
  </si>
  <si>
    <t>Swapnasudhir.Sahoo@rockwellautomation.com</t>
  </si>
  <si>
    <t>Swapnil.Jaware@rockwellautomation.com</t>
  </si>
  <si>
    <t>Swaroop.Kishan@rockwellautomation.com</t>
  </si>
  <si>
    <t>Swathy.S@rockwellautomation.com</t>
  </si>
  <si>
    <t>Swayamsiddha.Das@rockwellautomation.com</t>
  </si>
  <si>
    <t>Swetha.S@rockwellautomation.com</t>
  </si>
  <si>
    <t>Syed.Ali@rockwellautomation.com</t>
  </si>
  <si>
    <t>Tanweer.Karzai1@rockwellautomation.com</t>
  </si>
  <si>
    <t>Tulasiram.Burri@rockwellautomation.com</t>
  </si>
  <si>
    <t>Tushar.Gatkal@rockwellautomation.com</t>
  </si>
  <si>
    <t>Uday.T@rockwellautomation.com</t>
  </si>
  <si>
    <t>uma.md@rockwellautomation.com</t>
  </si>
  <si>
    <t>vaishnavi.vaishnavi@rockwellautomation.com</t>
  </si>
  <si>
    <t>VamshiKrishna.R@rockwellautomation.com</t>
  </si>
  <si>
    <t>varalakshmi.k@rockwellautomation.com</t>
  </si>
  <si>
    <t>Varsha.KS@rockwellautomation.com</t>
  </si>
  <si>
    <t>Varshini.KV@rockwellautomation.com</t>
  </si>
  <si>
    <t>Varun.Sontakke@rockwellautomation.com</t>
  </si>
  <si>
    <t>Veeramreddy.Reddy@rockwellautomation.com</t>
  </si>
  <si>
    <t>VenkataSatyaSitaram.Saladi@rockwellautomation.com</t>
  </si>
  <si>
    <t>Venkatesh.RS@rockwellautomation.com</t>
  </si>
  <si>
    <t>Vetrivel.Baskaran@rockwellautomation.com</t>
  </si>
  <si>
    <t>Vidushi.Goyal@rockwellautomation.com</t>
  </si>
  <si>
    <t>Vidya.M@rockwellautomation.com</t>
  </si>
  <si>
    <t>Vidyashree.Vidyashree@rockwellautomation.com</t>
  </si>
  <si>
    <t>Vidyasree.C@rockwellautomation.com</t>
  </si>
  <si>
    <t>Vignesh.P.V@rockwellautomation.com</t>
  </si>
  <si>
    <t>Vignesh.S@rockwellautomation.com</t>
  </si>
  <si>
    <t>VigneshRaj.MSK@rockwellautomation.com</t>
  </si>
  <si>
    <t>Vinay.Pattan@rockwellautomation.com</t>
  </si>
  <si>
    <t>Vineeth.KP@rockwellautomation.com</t>
  </si>
  <si>
    <t>Vinod.Krishnan@rockwellautomation.com</t>
  </si>
  <si>
    <t>VinodKumarReddy.D@rockwellautomation.com</t>
  </si>
  <si>
    <t>Viresh.Belhe@rockwellautomation.com</t>
  </si>
  <si>
    <t>Visakh.Vijayakumar@rockwellautomation.com</t>
  </si>
  <si>
    <t>Vishal.N.Patil@rockwellautomation.com</t>
  </si>
  <si>
    <t>vishal.srivastava@rockwellautomation.com</t>
  </si>
  <si>
    <t>VishnuVardhan.Thokala@rockwellautomation.com</t>
  </si>
  <si>
    <t>Visnu.KRB@rockwellautomation.com</t>
  </si>
  <si>
    <t>Vivek.Sharma1@rockwellautomation.com</t>
  </si>
  <si>
    <t>Yashkumar.Patel@rockwellautomation.com</t>
  </si>
  <si>
    <t>YashwanthReddyPB.Reddy@rockwellautomation.com</t>
  </si>
  <si>
    <t>Yeswanth.M@rockwellautomation.com</t>
  </si>
  <si>
    <t>Yusuff.SheriffI@rockwellautomation.com</t>
  </si>
  <si>
    <t>Yuvraj.Nemade@rockwellautomation.com</t>
  </si>
  <si>
    <t>ZaidBin.Azeez@rockwellautomation.com</t>
  </si>
  <si>
    <t>OpenAir Project ID</t>
  </si>
  <si>
    <t>19th Sep 2025</t>
  </si>
  <si>
    <t>10th Feb 2025</t>
  </si>
  <si>
    <t>Takeda EDA Initiative  July - Sep 2025</t>
  </si>
  <si>
    <t>Amgen R&amp;D</t>
  </si>
  <si>
    <t>30th Dec 2024</t>
  </si>
  <si>
    <t>No SOW</t>
  </si>
  <si>
    <t>31st Dec 2025</t>
  </si>
  <si>
    <t>1st Jan 2025</t>
  </si>
  <si>
    <t>Trial Analytics COMPASS Build and LOS July - Sep 2025</t>
  </si>
  <si>
    <t>30th Jun 2025</t>
  </si>
  <si>
    <t>30th Apr 2025</t>
  </si>
  <si>
    <t>31st May 2025</t>
  </si>
  <si>
    <t>19th Mar 2025</t>
  </si>
  <si>
    <t>30th Dec 2025</t>
  </si>
  <si>
    <t>Next Gen Data  Analytics Platform Jul- Dec 2025</t>
  </si>
  <si>
    <t xml:space="preserve">
ZSUS0287 - Next Gen Data &amp; Analytics Platform July- Dec 2025</t>
  </si>
  <si>
    <t>Takeda EDA Initiatives July- Dec 2025 - CR1</t>
  </si>
  <si>
    <t xml:space="preserve">
ZSUS0290 - Takeda EDA Initiatives Jul- Sep 2025</t>
  </si>
  <si>
    <t>26th May 2025</t>
  </si>
  <si>
    <t>Takeda EDA Initiatives FY25 - React Application Development Core team -CR3</t>
  </si>
  <si>
    <t xml:space="preserve">
ZSUS0284 - Takeda EDA Initiatives FY25 – React Application Development Core team May- Dec 2025</t>
  </si>
  <si>
    <t>31st Oct 2025</t>
  </si>
  <si>
    <t>2nd Jun 2025</t>
  </si>
  <si>
    <t>7th Jul 2025</t>
  </si>
  <si>
    <t>2nd Jul 2025</t>
  </si>
  <si>
    <t>30th Sep 2025</t>
  </si>
  <si>
    <t>1st Jul 2025</t>
  </si>
  <si>
    <t>3rd Sep 2025</t>
  </si>
  <si>
    <t>Resource Requirement by Client</t>
  </si>
  <si>
    <t xml:space="preserve">Resource Allocation </t>
  </si>
  <si>
    <t xml:space="preserve">Resource Onboarding </t>
  </si>
  <si>
    <t>Account</t>
  </si>
  <si>
    <t xml:space="preserve">Project </t>
  </si>
  <si>
    <t>Type</t>
  </si>
  <si>
    <t xml:space="preserve">ZS P/AP </t>
  </si>
  <si>
    <t>ZS Manager</t>
  </si>
  <si>
    <t>ZS Leads</t>
  </si>
  <si>
    <t xml:space="preserve">Number of resources required </t>
  </si>
  <si>
    <t xml:space="preserve"> Resource Level</t>
  </si>
  <si>
    <t>Skiils</t>
  </si>
  <si>
    <t xml:space="preserve">Expected Duration on the enagegement </t>
  </si>
  <si>
    <t>Required 
working model</t>
  </si>
  <si>
    <t xml:space="preserve">Starting from </t>
  </si>
  <si>
    <t xml:space="preserve">Resource </t>
  </si>
  <si>
    <t xml:space="preserve">Start Date </t>
  </si>
  <si>
    <t xml:space="preserve">Next Step Date </t>
  </si>
  <si>
    <t xml:space="preserve">End Date </t>
  </si>
  <si>
    <t xml:space="preserve">Status  </t>
  </si>
  <si>
    <t xml:space="preserve">Handled by </t>
  </si>
  <si>
    <t>Comment</t>
  </si>
  <si>
    <t>Mckesson</t>
  </si>
  <si>
    <t>FP</t>
  </si>
  <si>
    <t xml:space="preserve">Jinit shah </t>
  </si>
  <si>
    <t xml:space="preserve">Lakhan Prajapati </t>
  </si>
  <si>
    <t xml:space="preserve">Shivam Ratthee </t>
  </si>
  <si>
    <t>Mid to Senior</t>
  </si>
  <si>
    <t xml:space="preserve">~3 months </t>
  </si>
  <si>
    <t xml:space="preserve">Immediately </t>
  </si>
  <si>
    <t>Neetesh Srivastava</t>
  </si>
  <si>
    <t>In Progress</t>
  </si>
  <si>
    <t xml:space="preserve">Anjana , Sampath </t>
  </si>
  <si>
    <t xml:space="preserve">Neetesh will work remotely </t>
  </si>
  <si>
    <t>Not Started</t>
  </si>
  <si>
    <t>Sage</t>
  </si>
  <si>
    <t>Jinit Shah</t>
  </si>
  <si>
    <t>Piyush S Agrawal</t>
  </si>
  <si>
    <t xml:space="preserve">Sachin lala (US Manager)
Gagan Bhatara (US P) </t>
  </si>
  <si>
    <t xml:space="preserve">
* ETL &amp; data warehousing concepts.
* SQL
* Experience in Databricks 
* Experience in Snowflake</t>
  </si>
  <si>
    <t xml:space="preserve">~5-6 months
very high potential of extending to more than a year long depending on our performance </t>
  </si>
  <si>
    <t>Pune</t>
  </si>
  <si>
    <t>* Work independetly with Client 
* Will have Interview process</t>
  </si>
  <si>
    <t>Somanath Paul</t>
  </si>
  <si>
    <t>Vinod</t>
  </si>
  <si>
    <t>Ashitosh Dhaware</t>
  </si>
  <si>
    <t xml:space="preserve">Takeda </t>
  </si>
  <si>
    <t>Shiv Singh</t>
  </si>
  <si>
    <t>Anrunanshu Pandey</t>
  </si>
  <si>
    <t xml:space="preserve">~ 5 </t>
  </si>
  <si>
    <t>Senior</t>
  </si>
  <si>
    <t xml:space="preserve">ETL Data Engineers 
• Databricks  - Sparksql , no pyspark
• AWS 
• Python 
• SQL 
* Redshift 
* Open to Learn new Things </t>
  </si>
  <si>
    <t xml:space="preserve">Long Term </t>
  </si>
  <si>
    <t xml:space="preserve">NA
Pune  
Delhi 
Banglore
Remote </t>
  </si>
  <si>
    <t>Immediately</t>
  </si>
  <si>
    <t xml:space="preserve">* For mulitple Mini/VC Projects 
* Cluster of folks ranging from Senior to Junior engineers - In Batches
* No interviews required
* Onboard Gopal for architect , already working in tango (takeda project) 
* Follow agile process (hours will be accounted) 
* Start with 2-3 folks 
* ZS and Takeda onborading will take around 1-2 weeks 
* Mature Highly skilled Mentor/Consultant role 
* Figure out the  SOW Process , in case if folks allocation is scattered 
* Try to staff at the start of the month and avoid end dates 
* Next week is ZS PI planning - ZS team will be in banglore 
* To communicate some concreate number of folks by Monday </t>
  </si>
  <si>
    <t xml:space="preserve">Enterprise </t>
  </si>
  <si>
    <t xml:space="preserve">Used in Zs </t>
  </si>
  <si>
    <t>User</t>
  </si>
  <si>
    <t>First name</t>
  </si>
  <si>
    <t>Last name</t>
  </si>
  <si>
    <t>Role</t>
  </si>
  <si>
    <t>Aayush, Aayush</t>
  </si>
  <si>
    <t>Aayush</t>
  </si>
  <si>
    <t>Engineer</t>
  </si>
  <si>
    <t>Kuriachan, Abe</t>
  </si>
  <si>
    <t>Abe</t>
  </si>
  <si>
    <t>Kuriachan</t>
  </si>
  <si>
    <t>Abhinav.Singh@rockwellautomation.com</t>
  </si>
  <si>
    <t>Singh, Abhinav</t>
  </si>
  <si>
    <t>Abhinav</t>
  </si>
  <si>
    <t>Singh</t>
  </si>
  <si>
    <t>Nayak U, Abhishek</t>
  </si>
  <si>
    <t>Abhishek</t>
  </si>
  <si>
    <t>Nayak U</t>
  </si>
  <si>
    <t>Alla, Aditi</t>
  </si>
  <si>
    <t>Aditi</t>
  </si>
  <si>
    <t>Alla</t>
  </si>
  <si>
    <t>B N, Aishwarya</t>
  </si>
  <si>
    <t>Aishwarya</t>
  </si>
  <si>
    <t>B N</t>
  </si>
  <si>
    <t>Aiswarya.S@rockwellautomation.com</t>
  </si>
  <si>
    <t>S, Aiswarya</t>
  </si>
  <si>
    <t>Aiswarya</t>
  </si>
  <si>
    <t>S</t>
  </si>
  <si>
    <t>Johnson, Ajmal</t>
  </si>
  <si>
    <t>Ajmal</t>
  </si>
  <si>
    <t>Johnson</t>
  </si>
  <si>
    <t>Parshuram Borse, Akash</t>
  </si>
  <si>
    <t>Akash</t>
  </si>
  <si>
    <t>Parshuram Borse</t>
  </si>
  <si>
    <t>akash.patil@rockwellautomation.com</t>
  </si>
  <si>
    <t>Patil, Akash</t>
  </si>
  <si>
    <t>Patil</t>
  </si>
  <si>
    <t>Selvaraj, Akash</t>
  </si>
  <si>
    <t>Selvaraj</t>
  </si>
  <si>
    <t>K R, Akhil</t>
  </si>
  <si>
    <t>Akhil</t>
  </si>
  <si>
    <t>K R</t>
  </si>
  <si>
    <t>V K, Akhila</t>
  </si>
  <si>
    <t>Akhila</t>
  </si>
  <si>
    <t>V K</t>
  </si>
  <si>
    <t>K, Akhilkrishnan</t>
  </si>
  <si>
    <t>Akhilkrishnan</t>
  </si>
  <si>
    <t>K</t>
  </si>
  <si>
    <t>AkhilKumar.C@rockwellautomation.com</t>
  </si>
  <si>
    <t>C, Akhil</t>
  </si>
  <si>
    <t>C</t>
  </si>
  <si>
    <t>Akshay.Aravind@rockwellautomation.com</t>
  </si>
  <si>
    <t>Aravind, Akshay</t>
  </si>
  <si>
    <t>Akshay</t>
  </si>
  <si>
    <t>Aravind</t>
  </si>
  <si>
    <t>Mishra, Aliva</t>
  </si>
  <si>
    <t>Aliva</t>
  </si>
  <si>
    <t>Mishra</t>
  </si>
  <si>
    <t>D Couth, Alysha</t>
  </si>
  <si>
    <t>Alysha</t>
  </si>
  <si>
    <t>D Couth</t>
  </si>
  <si>
    <t>Bhas P, Amal</t>
  </si>
  <si>
    <t>Amal</t>
  </si>
  <si>
    <t>Bhas P</t>
  </si>
  <si>
    <t>Aman.Khan@rockwellautomation.com</t>
  </si>
  <si>
    <t>Khan, Aman</t>
  </si>
  <si>
    <t>Aman</t>
  </si>
  <si>
    <t>Khan</t>
  </si>
  <si>
    <t>Nandan Satapathy, Amrit</t>
  </si>
  <si>
    <t>Amrit</t>
  </si>
  <si>
    <t>Nandan Satapathy</t>
  </si>
  <si>
    <t>Anandhaselvam, J</t>
  </si>
  <si>
    <t>J</t>
  </si>
  <si>
    <t>Anandhaselvam</t>
  </si>
  <si>
    <t>K, Aneesh</t>
  </si>
  <si>
    <t>Aneesh</t>
  </si>
  <si>
    <t>Aniket.Dhale@rockwellautomation.com</t>
  </si>
  <si>
    <t>Kishore Dhale, Aniket</t>
  </si>
  <si>
    <t>Aniket</t>
  </si>
  <si>
    <t>Kishore Dhale</t>
  </si>
  <si>
    <t>Davis, Anikmon</t>
  </si>
  <si>
    <t>Anikmon</t>
  </si>
  <si>
    <t>Davis</t>
  </si>
  <si>
    <t>Dasari, Anirudh</t>
  </si>
  <si>
    <t>Anirudh</t>
  </si>
  <si>
    <t>Dasari</t>
  </si>
  <si>
    <t>S KAIMAL, ANJANA</t>
  </si>
  <si>
    <t>ANJANA</t>
  </si>
  <si>
    <t>S KAIMAL</t>
  </si>
  <si>
    <t>Krishna P K, Anju</t>
  </si>
  <si>
    <t>Anju</t>
  </si>
  <si>
    <t>Krishna P K</t>
  </si>
  <si>
    <t>Kumar, Anshul</t>
  </si>
  <si>
    <t>Anshul</t>
  </si>
  <si>
    <t>Kumar</t>
  </si>
  <si>
    <t>Ahmad Ganie, Anzar</t>
  </si>
  <si>
    <t>Anzar</t>
  </si>
  <si>
    <t>Ahmad Ganie</t>
  </si>
  <si>
    <t>Singh, Aparna</t>
  </si>
  <si>
    <t>Aparna</t>
  </si>
  <si>
    <t>B, Arjun</t>
  </si>
  <si>
    <t>Arjun</t>
  </si>
  <si>
    <t>B</t>
  </si>
  <si>
    <t>Dindu, Arun</t>
  </si>
  <si>
    <t>Arun</t>
  </si>
  <si>
    <t>Dindu</t>
  </si>
  <si>
    <t>Chandrakant Dhaware, Ashitosh</t>
  </si>
  <si>
    <t>Ashitosh</t>
  </si>
  <si>
    <t>Chandrakant Dhaware</t>
  </si>
  <si>
    <t>Konar, Asim</t>
  </si>
  <si>
    <t>Asim</t>
  </si>
  <si>
    <t>Konar</t>
  </si>
  <si>
    <t>Surukati, Asutosh</t>
  </si>
  <si>
    <t>Asutosh</t>
  </si>
  <si>
    <t>Surukati</t>
  </si>
  <si>
    <t>G Nair, Aswathi</t>
  </si>
  <si>
    <t>Aswathi</t>
  </si>
  <si>
    <t>G Nair</t>
  </si>
  <si>
    <t>L, Aswathy</t>
  </si>
  <si>
    <t>Aswathy</t>
  </si>
  <si>
    <t>L</t>
  </si>
  <si>
    <t>G Menon, Aswin</t>
  </si>
  <si>
    <t>Aswin</t>
  </si>
  <si>
    <t>G Menon</t>
  </si>
  <si>
    <t>Prasannan, Athira</t>
  </si>
  <si>
    <t>Athira</t>
  </si>
  <si>
    <t>Prasannan</t>
  </si>
  <si>
    <t>Kumar Choudhary, Ayush</t>
  </si>
  <si>
    <t>Ayush</t>
  </si>
  <si>
    <t>Kumar Choudhary</t>
  </si>
  <si>
    <t>Bindushree.R@rockwellautomation.com</t>
  </si>
  <si>
    <t>R, Bindushree</t>
  </si>
  <si>
    <t>Bindushree</t>
  </si>
  <si>
    <t>R</t>
  </si>
  <si>
    <t>Chaudhary, Bishwadeep</t>
  </si>
  <si>
    <t>Bishwadeep</t>
  </si>
  <si>
    <t>Chaudhary</t>
  </si>
  <si>
    <t>S, Brahmaduttan</t>
  </si>
  <si>
    <t>Brahmaduttan</t>
  </si>
  <si>
    <t>Brunda.DS@rockwellautomation.com</t>
  </si>
  <si>
    <t>D S, Brunda</t>
  </si>
  <si>
    <t>Brunda</t>
  </si>
  <si>
    <t>D S</t>
  </si>
  <si>
    <t>Bhanu Prakash, Burada</t>
  </si>
  <si>
    <t>Burada</t>
  </si>
  <si>
    <t>Bhanu Prakash</t>
  </si>
  <si>
    <t>Chanjal.NC@rockwellautomation.com</t>
  </si>
  <si>
    <t>N C, Chanjal</t>
  </si>
  <si>
    <t>Chanjal</t>
  </si>
  <si>
    <t>N C</t>
  </si>
  <si>
    <t>M Jettappanavar, Charan</t>
  </si>
  <si>
    <t>Charan</t>
  </si>
  <si>
    <t>M Jettappanavar</t>
  </si>
  <si>
    <t>P, Charitha</t>
  </si>
  <si>
    <t>Charitha</t>
  </si>
  <si>
    <t>P</t>
  </si>
  <si>
    <t>Ranjan Khadgaray, Chinmoy</t>
  </si>
  <si>
    <t>Chinmoy</t>
  </si>
  <si>
    <t>Ranjan Khadgaray</t>
  </si>
  <si>
    <t>Dayal.Dev@rockwellautomation.com</t>
  </si>
  <si>
    <t>Dev, Dayal</t>
  </si>
  <si>
    <t>Dayal</t>
  </si>
  <si>
    <t>Dev</t>
  </si>
  <si>
    <t>M, Deepak</t>
  </si>
  <si>
    <t>Deepak</t>
  </si>
  <si>
    <t>M</t>
  </si>
  <si>
    <t>Naik, Deepthi</t>
  </si>
  <si>
    <t>Deepthi</t>
  </si>
  <si>
    <t>Naik</t>
  </si>
  <si>
    <t>Kumar P S, Dhananjay</t>
  </si>
  <si>
    <t>Dhananjay</t>
  </si>
  <si>
    <t>Kumar P S</t>
  </si>
  <si>
    <t>Mummasani, Divya</t>
  </si>
  <si>
    <t>Divya</t>
  </si>
  <si>
    <t>Mummasani</t>
  </si>
  <si>
    <t>T R, Fathima</t>
  </si>
  <si>
    <t>Fathima</t>
  </si>
  <si>
    <t>T R</t>
  </si>
  <si>
    <t>Suresh, Gayathri</t>
  </si>
  <si>
    <t>Gayathri</t>
  </si>
  <si>
    <t>Suresh</t>
  </si>
  <si>
    <t>Joy, Ginse</t>
  </si>
  <si>
    <t>Ginse</t>
  </si>
  <si>
    <t>Joy</t>
  </si>
  <si>
    <t>Varghese, Githu</t>
  </si>
  <si>
    <t>Githu</t>
  </si>
  <si>
    <t>Varghese</t>
  </si>
  <si>
    <t>R R, Gokkul</t>
  </si>
  <si>
    <t>Gokkul</t>
  </si>
  <si>
    <t>R R</t>
  </si>
  <si>
    <t>Harinarayanan.Harinarayanan@rockwellautomation.com</t>
  </si>
  <si>
    <t>Harinarayanan, Harinarayanan</t>
  </si>
  <si>
    <t>Harinarayanan</t>
  </si>
  <si>
    <t>E, Harsha</t>
  </si>
  <si>
    <t>Harsha</t>
  </si>
  <si>
    <t>E</t>
  </si>
  <si>
    <t>Rajesh Deshmukh, Harshada</t>
  </si>
  <si>
    <t>Harshada</t>
  </si>
  <si>
    <t>Rajesh Deshmukh</t>
  </si>
  <si>
    <t>S, Heena</t>
  </si>
  <si>
    <t>Heena</t>
  </si>
  <si>
    <t>Suresh, Jayashree</t>
  </si>
  <si>
    <t>Jayashree</t>
  </si>
  <si>
    <t>B, Jeevan</t>
  </si>
  <si>
    <t>Jeevan</t>
  </si>
  <si>
    <t>John, Jerry</t>
  </si>
  <si>
    <t>Jerry</t>
  </si>
  <si>
    <t>John</t>
  </si>
  <si>
    <t>H G, Jhenkar</t>
  </si>
  <si>
    <t>Jhenkar</t>
  </si>
  <si>
    <t>H G</t>
  </si>
  <si>
    <t>J, JOSHNA</t>
  </si>
  <si>
    <t>JOSHNA</t>
  </si>
  <si>
    <t>Orekanti, Jyothi</t>
  </si>
  <si>
    <t>Jyothi</t>
  </si>
  <si>
    <t>Orekanti</t>
  </si>
  <si>
    <t>K, Jyothish</t>
  </si>
  <si>
    <t>Jyothish</t>
  </si>
  <si>
    <t>Anupuru, Karishma</t>
  </si>
  <si>
    <t>Karishma</t>
  </si>
  <si>
    <t>Anupuru</t>
  </si>
  <si>
    <t>Karthik.HB@rockwellautomation.com</t>
  </si>
  <si>
    <t>H B, Karthik</t>
  </si>
  <si>
    <t>Karthik</t>
  </si>
  <si>
    <t>H B</t>
  </si>
  <si>
    <t>Prakash Hudedamani, Karthik</t>
  </si>
  <si>
    <t>Prakash Hudedamani</t>
  </si>
  <si>
    <t>P, Kavini</t>
  </si>
  <si>
    <t>Kavini</t>
  </si>
  <si>
    <t>KBhadrisetty</t>
  </si>
  <si>
    <t>Bhadrisetty, Krishna</t>
  </si>
  <si>
    <t>Krishna</t>
  </si>
  <si>
    <t>Bhadrisetty</t>
  </si>
  <si>
    <t>Vardhan H, Keerthi</t>
  </si>
  <si>
    <t>Keerthi</t>
  </si>
  <si>
    <t>Vardhan H</t>
  </si>
  <si>
    <t>N Ronad, Keerti</t>
  </si>
  <si>
    <t>Keerti</t>
  </si>
  <si>
    <t>N Ronad</t>
  </si>
  <si>
    <t>D, Kokila</t>
  </si>
  <si>
    <t>Kokila</t>
  </si>
  <si>
    <t>D</t>
  </si>
  <si>
    <t>B, Kowsalya</t>
  </si>
  <si>
    <t>Kowsalya</t>
  </si>
  <si>
    <t>Netturi, Kowshik</t>
  </si>
  <si>
    <t>Kowshik</t>
  </si>
  <si>
    <t>Netturi</t>
  </si>
  <si>
    <t>Krishnaveni.Betadur@rockwellautomation.com</t>
  </si>
  <si>
    <t>Ashok Betadur, Krishnaveni</t>
  </si>
  <si>
    <t>Krishnaveni</t>
  </si>
  <si>
    <t>Ashok Betadur</t>
  </si>
  <si>
    <t>Kriti.Senapati@rockwellautomation.com</t>
  </si>
  <si>
    <t>Shankar Senapati, Kriti</t>
  </si>
  <si>
    <t>Kriti</t>
  </si>
  <si>
    <t>Shankar Senapati</t>
  </si>
  <si>
    <t>Kritika.Raj@rockwellautomation.com</t>
  </si>
  <si>
    <t>Raj, Kritika</t>
  </si>
  <si>
    <t>Kritika</t>
  </si>
  <si>
    <t>Raj</t>
  </si>
  <si>
    <t>LakshmikarReddy.Tadipatri@rockwellautomation.com</t>
  </si>
  <si>
    <t>Tadipatri, Lakshmikar</t>
  </si>
  <si>
    <t>Lakshmikar</t>
  </si>
  <si>
    <t>Tadipatri</t>
  </si>
  <si>
    <t>H Y, Lavanya</t>
  </si>
  <si>
    <t>Lavanya</t>
  </si>
  <si>
    <t>H Y</t>
  </si>
  <si>
    <t>N, Logesh</t>
  </si>
  <si>
    <t>Logesh</t>
  </si>
  <si>
    <t>N</t>
  </si>
  <si>
    <t>Madhavi.K@rockwellautomation.com</t>
  </si>
  <si>
    <t>K, Madhavi</t>
  </si>
  <si>
    <t>Madhavi</t>
  </si>
  <si>
    <t>Singh, Madhvi</t>
  </si>
  <si>
    <t>Madhvi</t>
  </si>
  <si>
    <t>S, Mageswari</t>
  </si>
  <si>
    <t>Mageswari</t>
  </si>
  <si>
    <t>Balikai, Mahesh</t>
  </si>
  <si>
    <t>Mahesh</t>
  </si>
  <si>
    <t>Balikai</t>
  </si>
  <si>
    <t>Mahendran, Malavika</t>
  </si>
  <si>
    <t>Malavika</t>
  </si>
  <si>
    <t>Mahendran</t>
  </si>
  <si>
    <t>ManojKumar.Koosi@rockwellautomation.com</t>
  </si>
  <si>
    <t>Koosi, Manoj</t>
  </si>
  <si>
    <t>Manoj</t>
  </si>
  <si>
    <t>Koosi</t>
  </si>
  <si>
    <t>Faizan Alam, MD</t>
  </si>
  <si>
    <t>MD</t>
  </si>
  <si>
    <t>Faizan Alam</t>
  </si>
  <si>
    <t>D, Megha</t>
  </si>
  <si>
    <t>Megha</t>
  </si>
  <si>
    <t>V, Mithun</t>
  </si>
  <si>
    <t>Mithun</t>
  </si>
  <si>
    <t>V</t>
  </si>
  <si>
    <t>Yousuf, Mohamed</t>
  </si>
  <si>
    <t>Mohamed</t>
  </si>
  <si>
    <t>Yousuf</t>
  </si>
  <si>
    <t>Taufeeq, Mohammad</t>
  </si>
  <si>
    <t>Mohammad</t>
  </si>
  <si>
    <t>Taufeeq</t>
  </si>
  <si>
    <t>Ali, Mohammad</t>
  </si>
  <si>
    <t>Ali</t>
  </si>
  <si>
    <t>Saqib Noorahmed Baig, Mohammed</t>
  </si>
  <si>
    <t>Mohammed</t>
  </si>
  <si>
    <t>Saqib Noorahmed Baig</t>
  </si>
  <si>
    <t>O, Mohammed</t>
  </si>
  <si>
    <t>O</t>
  </si>
  <si>
    <t>Mahammad Shaik Shabhad, Peddadevara</t>
  </si>
  <si>
    <t>Peddadevara</t>
  </si>
  <si>
    <t>Mahammad Shaik Shabhad</t>
  </si>
  <si>
    <t>M B, Mukhul</t>
  </si>
  <si>
    <t>Mukhul</t>
  </si>
  <si>
    <t>M B</t>
  </si>
  <si>
    <t>Kenchanagoudra, Naganagouda</t>
  </si>
  <si>
    <t>Naganagouda</t>
  </si>
  <si>
    <t>Kenchanagoudra</t>
  </si>
  <si>
    <t>Sharathkumar, Nakul</t>
  </si>
  <si>
    <t>Nakul</t>
  </si>
  <si>
    <t>Sharathkumar</t>
  </si>
  <si>
    <t>M D, Naveen</t>
  </si>
  <si>
    <t>Naveen</t>
  </si>
  <si>
    <t>M D</t>
  </si>
  <si>
    <t>Vilas Nikam, Nayan</t>
  </si>
  <si>
    <t>Nayan</t>
  </si>
  <si>
    <t>Vilas Nikam</t>
  </si>
  <si>
    <t>Niharika.R@rockwellautomation.com</t>
  </si>
  <si>
    <t>R, Niharika</t>
  </si>
  <si>
    <t>Niharika</t>
  </si>
  <si>
    <t>Holla R, Nikhil</t>
  </si>
  <si>
    <t>Nikhil</t>
  </si>
  <si>
    <t>Holla R</t>
  </si>
  <si>
    <t>S, Nithish</t>
  </si>
  <si>
    <t>Nithish</t>
  </si>
  <si>
    <t>Majety, Omesh</t>
  </si>
  <si>
    <t>Omesh</t>
  </si>
  <si>
    <t>Majety</t>
  </si>
  <si>
    <t>PadmaShree.BS@rockwellautomation.com</t>
  </si>
  <si>
    <t>B S, Padma</t>
  </si>
  <si>
    <t>Padma</t>
  </si>
  <si>
    <t>B S</t>
  </si>
  <si>
    <t>S, Paramasivam</t>
  </si>
  <si>
    <t>Paramasivam</t>
  </si>
  <si>
    <t>Jayant Sonkusare, Paritosh</t>
  </si>
  <si>
    <t>Paritosh</t>
  </si>
  <si>
    <t>Jayant Sonkusare</t>
  </si>
  <si>
    <t>M, Pavanendu</t>
  </si>
  <si>
    <t>Pavanendu</t>
  </si>
  <si>
    <t>Singh, Prachi Raj</t>
  </si>
  <si>
    <t>Prachi Raj</t>
  </si>
  <si>
    <t>Buragohain, Prapti</t>
  </si>
  <si>
    <t>Prapti</t>
  </si>
  <si>
    <t>Buragohain</t>
  </si>
  <si>
    <t>Shakya, Prashant</t>
  </si>
  <si>
    <t>Prashant</t>
  </si>
  <si>
    <t>Shakya</t>
  </si>
  <si>
    <t>Yerasu, Pravallika</t>
  </si>
  <si>
    <t>Pravallika</t>
  </si>
  <si>
    <t>Yerasu</t>
  </si>
  <si>
    <t>J, Praveen</t>
  </si>
  <si>
    <t>Praveen</t>
  </si>
  <si>
    <t>Samala, Preethi</t>
  </si>
  <si>
    <t>Preethi</t>
  </si>
  <si>
    <t>Samala</t>
  </si>
  <si>
    <t>P, Prithivi</t>
  </si>
  <si>
    <t>Prithivi</t>
  </si>
  <si>
    <t>Priyadarshini Pratihari, Priyanka</t>
  </si>
  <si>
    <t>Priyanka</t>
  </si>
  <si>
    <t>Priyadarshini Pratihari</t>
  </si>
  <si>
    <t>Priyanka.Priyanka@rockwellautomation.com</t>
  </si>
  <si>
    <t>Priyanka, Priyanka</t>
  </si>
  <si>
    <t>Susmitha, Putta</t>
  </si>
  <si>
    <t>Putta</t>
  </si>
  <si>
    <t>Susmitha</t>
  </si>
  <si>
    <t>Prasanna M, Raghavendra</t>
  </si>
  <si>
    <t>Raghavendra</t>
  </si>
  <si>
    <t>Prasanna M</t>
  </si>
  <si>
    <t>Rahul.R@rockwellautomation.com</t>
  </si>
  <si>
    <t>R, Rahul</t>
  </si>
  <si>
    <t>Rahul</t>
  </si>
  <si>
    <t>Rahul.Ramakrishnan@rockwellautomation.com</t>
  </si>
  <si>
    <t>Ramakrishnan, Rahul</t>
  </si>
  <si>
    <t>Ramakrishnan</t>
  </si>
  <si>
    <t>Hotta, Rahul</t>
  </si>
  <si>
    <t>Hotta</t>
  </si>
  <si>
    <t>R, Rajasekar</t>
  </si>
  <si>
    <t>Rajasekar</t>
  </si>
  <si>
    <t>P V, Rakesh</t>
  </si>
  <si>
    <t>Rakesh</t>
  </si>
  <si>
    <t>P V</t>
  </si>
  <si>
    <t>S, Rakesh</t>
  </si>
  <si>
    <t>R, Ramanathan</t>
  </si>
  <si>
    <t>Ramanathan</t>
  </si>
  <si>
    <t>R, Ramya</t>
  </si>
  <si>
    <t>Ramya</t>
  </si>
  <si>
    <t>G R, Rashmi</t>
  </si>
  <si>
    <t>Rashmi</t>
  </si>
  <si>
    <t>G R</t>
  </si>
  <si>
    <t>Voona, Reshmanth</t>
  </si>
  <si>
    <t>Reshmanth</t>
  </si>
  <si>
    <t>Voona</t>
  </si>
  <si>
    <t>Srivastava, Riya</t>
  </si>
  <si>
    <t>Riya</t>
  </si>
  <si>
    <t>Srivastava</t>
  </si>
  <si>
    <t>Shridhar Shelke, Rohith</t>
  </si>
  <si>
    <t>Rohith</t>
  </si>
  <si>
    <t>Shridhar Shelke</t>
  </si>
  <si>
    <t>Anil, Roopalakshmi</t>
  </si>
  <si>
    <t>Roopalakshmi</t>
  </si>
  <si>
    <t>Anil</t>
  </si>
  <si>
    <t>Shashank, S</t>
  </si>
  <si>
    <t>Shashank</t>
  </si>
  <si>
    <t>Sachin.Rao@rockwellautomation.com</t>
  </si>
  <si>
    <t>G Rao, Sachin</t>
  </si>
  <si>
    <t>Sachin</t>
  </si>
  <si>
    <t>G Rao</t>
  </si>
  <si>
    <t>SaiChaithanya.Uttaradi@rockwellautomation.com</t>
  </si>
  <si>
    <t>Uttaradi, Sai</t>
  </si>
  <si>
    <t>Sai</t>
  </si>
  <si>
    <t>Uttaradi</t>
  </si>
  <si>
    <t>SaiHarsha.B@rockwellautomation.com</t>
  </si>
  <si>
    <t>B, Sai</t>
  </si>
  <si>
    <t>SaiLikhith.S@rockwellautomation.com</t>
  </si>
  <si>
    <t>Likhith S, Sai</t>
  </si>
  <si>
    <t>Likhith S</t>
  </si>
  <si>
    <t>SaiMukhesh.Yerrannagari@rockwellautomation.com</t>
  </si>
  <si>
    <t>Yerrannagari, Sai</t>
  </si>
  <si>
    <t>Yerrannagari</t>
  </si>
  <si>
    <t>Mallela, Sai</t>
  </si>
  <si>
    <t>Mallela</t>
  </si>
  <si>
    <t>Varun Salla Dasharatha, Sai</t>
  </si>
  <si>
    <t>Varun Salla Dasharatha</t>
  </si>
  <si>
    <t>K M, Salva</t>
  </si>
  <si>
    <t>Salva</t>
  </si>
  <si>
    <t>K M</t>
  </si>
  <si>
    <t>Advani A M, Samrudh</t>
  </si>
  <si>
    <t>Samrudh</t>
  </si>
  <si>
    <t>Advani A M</t>
  </si>
  <si>
    <t>S Nair, Sandeep</t>
  </si>
  <si>
    <t>Sandeep</t>
  </si>
  <si>
    <t>S Nair</t>
  </si>
  <si>
    <t>Saniya.M@rockwellautomation.com</t>
  </si>
  <si>
    <t>Thahseen M, Saniya</t>
  </si>
  <si>
    <t>Saniya</t>
  </si>
  <si>
    <t>Thahseen M</t>
  </si>
  <si>
    <t>Hiremath, Sanjay</t>
  </si>
  <si>
    <t>Sanjay</t>
  </si>
  <si>
    <t>Hiremath</t>
  </si>
  <si>
    <t>Mahesh Shetty, Sanket</t>
  </si>
  <si>
    <t>Sanket</t>
  </si>
  <si>
    <t>Mahesh Shetty</t>
  </si>
  <si>
    <t>Satyam.Dubey@rockwellautomation.com</t>
  </si>
  <si>
    <t>Kumar Dubey, Satyam</t>
  </si>
  <si>
    <t>Satyam</t>
  </si>
  <si>
    <t>Kumar Dubey</t>
  </si>
  <si>
    <t>S Varghese, Serin</t>
  </si>
  <si>
    <t>Serin</t>
  </si>
  <si>
    <t>S Varghese</t>
  </si>
  <si>
    <t>J, Shangeetha</t>
  </si>
  <si>
    <t>Shangeetha</t>
  </si>
  <si>
    <t>Shebin.Paul@rockwellautomation.com</t>
  </si>
  <si>
    <t>Paul, Shebin</t>
  </si>
  <si>
    <t>Shebin</t>
  </si>
  <si>
    <t>Paul</t>
  </si>
  <si>
    <t>Shek.Imran@rockwellautomation.com</t>
  </si>
  <si>
    <t>Mohammad Imran, Shek</t>
  </si>
  <si>
    <t>Shek</t>
  </si>
  <si>
    <t>Mohammad Imran</t>
  </si>
  <si>
    <t>R, Shilpa</t>
  </si>
  <si>
    <t>Shilpa</t>
  </si>
  <si>
    <t>Shivani.Singh@rockwellautomation.com</t>
  </si>
  <si>
    <t>Singh, Shivani</t>
  </si>
  <si>
    <t>Shivani</t>
  </si>
  <si>
    <t>K Kathare, Shubham</t>
  </si>
  <si>
    <t>Shubham</t>
  </si>
  <si>
    <t>K Kathare</t>
  </si>
  <si>
    <t>Sourav, Shubham</t>
  </si>
  <si>
    <t>Sourav</t>
  </si>
  <si>
    <t>Kumar Sahu, Shubham</t>
  </si>
  <si>
    <t>Kumar Sahu</t>
  </si>
  <si>
    <t>Kumari Sahu, Simran</t>
  </si>
  <si>
    <t>Simran</t>
  </si>
  <si>
    <t>Kumari Sahu</t>
  </si>
  <si>
    <t>N, Smitha</t>
  </si>
  <si>
    <t>Smitha</t>
  </si>
  <si>
    <t>Manjunath Hegde, Sneha</t>
  </si>
  <si>
    <t>Sneha</t>
  </si>
  <si>
    <t>Manjunath Hegde</t>
  </si>
  <si>
    <t>Snigda.Suresh@rockwellautomation.com</t>
  </si>
  <si>
    <t>Suresh, Snigda</t>
  </si>
  <si>
    <t>Snigda</t>
  </si>
  <si>
    <t>Sahu, Sonali</t>
  </si>
  <si>
    <t>Sonali</t>
  </si>
  <si>
    <t>Sahu</t>
  </si>
  <si>
    <t>Sunish, Sreelekshmi</t>
  </si>
  <si>
    <t>Sreelekshmi</t>
  </si>
  <si>
    <t>Sunish</t>
  </si>
  <si>
    <t>S, Sri</t>
  </si>
  <si>
    <t>Sri</t>
  </si>
  <si>
    <t>K G, Sruthilakshmi</t>
  </si>
  <si>
    <t>Sruthilakshmi</t>
  </si>
  <si>
    <t>K G</t>
  </si>
  <si>
    <t>S, Subash</t>
  </si>
  <si>
    <t>Subash</t>
  </si>
  <si>
    <t>Prasad, Sudhi</t>
  </si>
  <si>
    <t>Sudhi</t>
  </si>
  <si>
    <t>Prasad</t>
  </si>
  <si>
    <t>Kisan, Sumanta</t>
  </si>
  <si>
    <t>Sumanta</t>
  </si>
  <si>
    <t>Kisan</t>
  </si>
  <si>
    <t>Pradip Kurkure, Sumit</t>
  </si>
  <si>
    <t>Sumit</t>
  </si>
  <si>
    <t>Pradip Kurkure</t>
  </si>
  <si>
    <t>Rathod, Suneel</t>
  </si>
  <si>
    <t>Suneel</t>
  </si>
  <si>
    <t>Rathod</t>
  </si>
  <si>
    <t>B K, Suparna</t>
  </si>
  <si>
    <t>Suparna</t>
  </si>
  <si>
    <t>B K</t>
  </si>
  <si>
    <t>Chandrakat Pawar, Suraj</t>
  </si>
  <si>
    <t>Suraj</t>
  </si>
  <si>
    <t>Chandrakat Pawar</t>
  </si>
  <si>
    <t>SurendiraKumar.N@rockwellautomation.com</t>
  </si>
  <si>
    <t>N, Surendira</t>
  </si>
  <si>
    <t>Surendira</t>
  </si>
  <si>
    <t>S, Swathy</t>
  </si>
  <si>
    <t>Swathy</t>
  </si>
  <si>
    <t>Das, Swayamsiddha</t>
  </si>
  <si>
    <t>Swayamsiddha</t>
  </si>
  <si>
    <t>Das</t>
  </si>
  <si>
    <t>S, Swetha</t>
  </si>
  <si>
    <t>Swetha</t>
  </si>
  <si>
    <t>Faraz Ali, Syed</t>
  </si>
  <si>
    <t>Syed</t>
  </si>
  <si>
    <t>Faraz Ali</t>
  </si>
  <si>
    <t>M D, Uma</t>
  </si>
  <si>
    <t>Uma</t>
  </si>
  <si>
    <t>Vaishnavi, Vaishnavi</t>
  </si>
  <si>
    <t>Vaishnavi</t>
  </si>
  <si>
    <t>K S, Varsha</t>
  </si>
  <si>
    <t>Varsha</t>
  </si>
  <si>
    <t>K S</t>
  </si>
  <si>
    <t>K V, Varshini</t>
  </si>
  <si>
    <t>Varshini</t>
  </si>
  <si>
    <t>K V</t>
  </si>
  <si>
    <t>Venkatakrishnan.K@rockwellautomation.com</t>
  </si>
  <si>
    <t>K, Venkatakrishnan</t>
  </si>
  <si>
    <t>Venkatakrishnan</t>
  </si>
  <si>
    <t>M, Vidya</t>
  </si>
  <si>
    <t>Vidya</t>
  </si>
  <si>
    <t>Vidyashree, Vidyashree</t>
  </si>
  <si>
    <t>Vidyashree</t>
  </si>
  <si>
    <t>C, Vidyasree</t>
  </si>
  <si>
    <t>Vidyasree</t>
  </si>
  <si>
    <t>Vikash.Kumar1@rockwellautomation.com</t>
  </si>
  <si>
    <t>Kumar, Vikash</t>
  </si>
  <si>
    <t>Vikash</t>
  </si>
  <si>
    <t>Vijayakumar, Visakh</t>
  </si>
  <si>
    <t>Visakh</t>
  </si>
  <si>
    <t>Vijayakumar</t>
  </si>
  <si>
    <t>Narendra Patil, Vishal</t>
  </si>
  <si>
    <t>Vishal</t>
  </si>
  <si>
    <t>Narendra Patil</t>
  </si>
  <si>
    <t>Srivastava, Vishal</t>
  </si>
  <si>
    <t>Yashwardhan.kumar@rockwellautomation.com</t>
  </si>
  <si>
    <t>kumar, Yashwardhan</t>
  </si>
  <si>
    <t>Yashwardhan</t>
  </si>
  <si>
    <t>kumar</t>
  </si>
  <si>
    <t>I, Yusuff</t>
  </si>
  <si>
    <t>Yusuff</t>
  </si>
  <si>
    <t>I</t>
  </si>
  <si>
    <t>Prakash Nemade, Yuvraj</t>
  </si>
  <si>
    <t>Yuvraj</t>
  </si>
  <si>
    <t>Prakash Nemade</t>
  </si>
  <si>
    <t>Zaid Bin</t>
  </si>
  <si>
    <t>Azeez</t>
  </si>
  <si>
    <t>Paras.Lagare@rockwellautomation.com</t>
  </si>
  <si>
    <t>Lagare, Paras</t>
  </si>
  <si>
    <t>Paras</t>
  </si>
  <si>
    <t>Lagare</t>
  </si>
  <si>
    <t>Engineer - India</t>
  </si>
  <si>
    <t>Agarwal, Aayush</t>
  </si>
  <si>
    <t>Agarwal</t>
  </si>
  <si>
    <t>Sr. Engineer</t>
  </si>
  <si>
    <t>Abhay.R@rockwellautomation.com</t>
  </si>
  <si>
    <t>R, Abhay</t>
  </si>
  <si>
    <t>Abhay</t>
  </si>
  <si>
    <t>Suresh Kurup, Abhishek</t>
  </si>
  <si>
    <t>Suresh Kurup</t>
  </si>
  <si>
    <t>Abhishek.Uppal@rockwellautomation.com</t>
  </si>
  <si>
    <t>Uppal, Abhishek</t>
  </si>
  <si>
    <t>Uppal</t>
  </si>
  <si>
    <t>Suresh, Adith</t>
  </si>
  <si>
    <t>Adith</t>
  </si>
  <si>
    <t>Aditya.Keshri@rockwellautomation.com</t>
  </si>
  <si>
    <t>Kumar Keshri, Aditya</t>
  </si>
  <si>
    <t>Aditya</t>
  </si>
  <si>
    <t>Kumar Keshri</t>
  </si>
  <si>
    <t>Akash.Mahalamani@rockwellautomation.com</t>
  </si>
  <si>
    <t>Mahalamani, Akash</t>
  </si>
  <si>
    <t>Mahalamani</t>
  </si>
  <si>
    <t>Akhil.VG@rockwellautomation.com</t>
  </si>
  <si>
    <t>V G, Akhil</t>
  </si>
  <si>
    <t>V G</t>
  </si>
  <si>
    <t>AkhilDevassykutty.KD@rockwellautomation.com</t>
  </si>
  <si>
    <t>K D, Akhil</t>
  </si>
  <si>
    <t>K D</t>
  </si>
  <si>
    <t>P S, Akshaya</t>
  </si>
  <si>
    <t>Akshaya</t>
  </si>
  <si>
    <t>P S</t>
  </si>
  <si>
    <t>Jose, Allan</t>
  </si>
  <si>
    <t>Allan</t>
  </si>
  <si>
    <t>Jose</t>
  </si>
  <si>
    <t>Dipak Pawar, Amit</t>
  </si>
  <si>
    <t>Amit</t>
  </si>
  <si>
    <t>Dipak Pawar</t>
  </si>
  <si>
    <t>P V, Anjali</t>
  </si>
  <si>
    <t>Anjali</t>
  </si>
  <si>
    <t>Nayak, Ankit</t>
  </si>
  <si>
    <t>Ankit</t>
  </si>
  <si>
    <t>Nayak</t>
  </si>
  <si>
    <t>Singh Kushwaha, Arun</t>
  </si>
  <si>
    <t>Singh Kushwaha</t>
  </si>
  <si>
    <t>M P, Arunraj</t>
  </si>
  <si>
    <t>Arunraj</t>
  </si>
  <si>
    <t>M P</t>
  </si>
  <si>
    <t>Singh, Ashaka</t>
  </si>
  <si>
    <t>Ashaka</t>
  </si>
  <si>
    <t>K V, Ashwini</t>
  </si>
  <si>
    <t>Ashwini</t>
  </si>
  <si>
    <t>Aswinjith.M@rockwellautomation.com</t>
  </si>
  <si>
    <t>M, Aswinjith</t>
  </si>
  <si>
    <t>Aswinjith</t>
  </si>
  <si>
    <t>Bhowmick, Avijit</t>
  </si>
  <si>
    <t>Avijit</t>
  </si>
  <si>
    <t>Bhowmick</t>
  </si>
  <si>
    <t>Avinash.G@rockwellautomation.com</t>
  </si>
  <si>
    <t>G, Avinash</t>
  </si>
  <si>
    <t>Avinash</t>
  </si>
  <si>
    <t>G</t>
  </si>
  <si>
    <t>Bhumika.S@rockwellautomation.com</t>
  </si>
  <si>
    <t>S, Bhumika</t>
  </si>
  <si>
    <t>Bhumika</t>
  </si>
  <si>
    <t>Pradhan, Biren</t>
  </si>
  <si>
    <t>Biren</t>
  </si>
  <si>
    <t>Pradhan</t>
  </si>
  <si>
    <t>Brajnandan.Pachauri@rockwellautomation.com</t>
  </si>
  <si>
    <t>Pachauri, Brajnandan</t>
  </si>
  <si>
    <t>Brajnandan</t>
  </si>
  <si>
    <t>Pachauri</t>
  </si>
  <si>
    <t>V, Dilna</t>
  </si>
  <si>
    <t>Dilna</t>
  </si>
  <si>
    <t>Dipika.Mishra@rockwellautomation.com</t>
  </si>
  <si>
    <t>Mishra, Dipika</t>
  </si>
  <si>
    <t>Dipika</t>
  </si>
  <si>
    <t>N J, Doble</t>
  </si>
  <si>
    <t>Doble</t>
  </si>
  <si>
    <t>N J</t>
  </si>
  <si>
    <t>George, Don</t>
  </si>
  <si>
    <t>Don</t>
  </si>
  <si>
    <t>George</t>
  </si>
  <si>
    <t>Kumar Singh, Gaurav</t>
  </si>
  <si>
    <t>Gaurav</t>
  </si>
  <si>
    <t>Kumar Singh</t>
  </si>
  <si>
    <t>Upreti, Gaurav</t>
  </si>
  <si>
    <t>Upreti</t>
  </si>
  <si>
    <t>Khan, Habib</t>
  </si>
  <si>
    <t>Habib</t>
  </si>
  <si>
    <t>Kota, Harish</t>
  </si>
  <si>
    <t>Harish</t>
  </si>
  <si>
    <t>Kota</t>
  </si>
  <si>
    <t>G, Himabindu</t>
  </si>
  <si>
    <t>Himabindu</t>
  </si>
  <si>
    <t>Pattan, Imran</t>
  </si>
  <si>
    <t>Imran</t>
  </si>
  <si>
    <t>Pattan</t>
  </si>
  <si>
    <t>JasarAlthaf.PK@rockwellautomation.com</t>
  </si>
  <si>
    <t>P K, Jasar</t>
  </si>
  <si>
    <t>Jasar</t>
  </si>
  <si>
    <t>P K</t>
  </si>
  <si>
    <t>Basha, Jawad</t>
  </si>
  <si>
    <t>Jawad</t>
  </si>
  <si>
    <t>Basha</t>
  </si>
  <si>
    <t>JayanthVinay.AK@rockwellautomation.com</t>
  </si>
  <si>
    <t>A K, Jayanth</t>
  </si>
  <si>
    <t>Jayanth</t>
  </si>
  <si>
    <t>A K</t>
  </si>
  <si>
    <t>Jose, Jismariya</t>
  </si>
  <si>
    <t>Jismariya</t>
  </si>
  <si>
    <t>S S, Jithin</t>
  </si>
  <si>
    <t>Jithin</t>
  </si>
  <si>
    <t>S S</t>
  </si>
  <si>
    <t>Kamala.Mishra@rockwellautomation.com</t>
  </si>
  <si>
    <t>Prasad Mishra, Kamala</t>
  </si>
  <si>
    <t>Kamala</t>
  </si>
  <si>
    <t>Prasad Mishra</t>
  </si>
  <si>
    <t>P G, Kishore</t>
  </si>
  <si>
    <t>Kishore</t>
  </si>
  <si>
    <t>P G</t>
  </si>
  <si>
    <t>V, Krithika</t>
  </si>
  <si>
    <t>Krithika</t>
  </si>
  <si>
    <t>Srinivasula, Krishna</t>
  </si>
  <si>
    <t>Srinivasula</t>
  </si>
  <si>
    <t>Maddike, Lakshmi</t>
  </si>
  <si>
    <t>Lakshmi</t>
  </si>
  <si>
    <t>Maddike</t>
  </si>
  <si>
    <t>P, Lishobh</t>
  </si>
  <si>
    <t>Lishobh</t>
  </si>
  <si>
    <t>Dilip Kolte, Litesh</t>
  </si>
  <si>
    <t>Litesh</t>
  </si>
  <si>
    <t>Dilip Kolte</t>
  </si>
  <si>
    <t>M, Madhuri</t>
  </si>
  <si>
    <t>Madhuri</t>
  </si>
  <si>
    <t>Yarrannagari, Madhuri</t>
  </si>
  <si>
    <t>Yarrannagari</t>
  </si>
  <si>
    <t>Peddireddy, Maneesha</t>
  </si>
  <si>
    <t>Maneesha</t>
  </si>
  <si>
    <t>Peddireddy</t>
  </si>
  <si>
    <t>Pedhaguntlapalli, Manisha</t>
  </si>
  <si>
    <t>Manisha</t>
  </si>
  <si>
    <t>Pedhaguntlapalli</t>
  </si>
  <si>
    <t>Kumar Sahu, Manmay</t>
  </si>
  <si>
    <t>Manmay</t>
  </si>
  <si>
    <t>Manoj.Shetty@rockwellautomation.com</t>
  </si>
  <si>
    <t>Shetty K, Manoj</t>
  </si>
  <si>
    <t>Shetty K</t>
  </si>
  <si>
    <t>Mayur.Desai@rockwellautomation.com</t>
  </si>
  <si>
    <t>Vilas Desai, Mayur</t>
  </si>
  <si>
    <t>Mayur</t>
  </si>
  <si>
    <t>Vilas Desai</t>
  </si>
  <si>
    <t>Midhun.Manoj@rockwellautomation.com</t>
  </si>
  <si>
    <t>Manoj, Midhun</t>
  </si>
  <si>
    <t>Midhun</t>
  </si>
  <si>
    <t>M, Mohammed</t>
  </si>
  <si>
    <t>Guntur, Mohan</t>
  </si>
  <si>
    <t>Mohan</t>
  </si>
  <si>
    <t>Guntur</t>
  </si>
  <si>
    <t>N, Mohan</t>
  </si>
  <si>
    <t>Mohanraj.MS@rockwellautomation.com</t>
  </si>
  <si>
    <t>M S, Mohanraj</t>
  </si>
  <si>
    <t>Mohanraj</t>
  </si>
  <si>
    <t>M S</t>
  </si>
  <si>
    <t>Rentala, Mounika</t>
  </si>
  <si>
    <t>Mounika</t>
  </si>
  <si>
    <t>Rentala</t>
  </si>
  <si>
    <t>S H, Nandish</t>
  </si>
  <si>
    <t>Nandish</t>
  </si>
  <si>
    <t>S H</t>
  </si>
  <si>
    <t>Kirikari, Naveen</t>
  </si>
  <si>
    <t>Kirikari</t>
  </si>
  <si>
    <t>Neetesh.Srivastava@rockwellautomation.com</t>
  </si>
  <si>
    <t>Srivastava, Neetesh</t>
  </si>
  <si>
    <t>Neetesh</t>
  </si>
  <si>
    <t>Nikhil.Nikhil1@rockwellautomation.com</t>
  </si>
  <si>
    <t>Nikhil, Nikhil</t>
  </si>
  <si>
    <t>Nilesh.Mishra@rockwellautomation.com</t>
  </si>
  <si>
    <t>Mishra, Nilesh</t>
  </si>
  <si>
    <t>Nilesh</t>
  </si>
  <si>
    <t>Singasani, Nisharani</t>
  </si>
  <si>
    <t>Nisharani</t>
  </si>
  <si>
    <t>Singasani</t>
  </si>
  <si>
    <t>Ali, Niyas</t>
  </si>
  <si>
    <t>Niyas</t>
  </si>
  <si>
    <t>Peddadevara, Noushad</t>
  </si>
  <si>
    <t>Noushad</t>
  </si>
  <si>
    <t>Dhanasekarapandian, Prabhakaran</t>
  </si>
  <si>
    <t>Prabhakaran</t>
  </si>
  <si>
    <t>Dhanasekarapandian</t>
  </si>
  <si>
    <t>PKondaMoorthy</t>
  </si>
  <si>
    <t>Konda Moorthy, Prasanna</t>
  </si>
  <si>
    <t>Prasanna</t>
  </si>
  <si>
    <t>Konda Moorthy</t>
  </si>
  <si>
    <t>Kumar Singh, Pranjay</t>
  </si>
  <si>
    <t>Pranjay</t>
  </si>
  <si>
    <t>K, Prasanna</t>
  </si>
  <si>
    <t>Arun Badwe, Prashant</t>
  </si>
  <si>
    <t>Arun Badwe</t>
  </si>
  <si>
    <t>Priti.Senapati@rockwellautomation.com</t>
  </si>
  <si>
    <t>Shankar Senapati, Priti</t>
  </si>
  <si>
    <t>Priti</t>
  </si>
  <si>
    <t>K P, Punith</t>
  </si>
  <si>
    <t>Punith</t>
  </si>
  <si>
    <t>K P</t>
  </si>
  <si>
    <t>Ramesh Basani, Rahul</t>
  </si>
  <si>
    <t>Ramesh Basani</t>
  </si>
  <si>
    <t>Pokharia, Rahul</t>
  </si>
  <si>
    <t>Pokharia</t>
  </si>
  <si>
    <t>Rajni, Rajni</t>
  </si>
  <si>
    <t>Rajni</t>
  </si>
  <si>
    <t>M, Ramesh</t>
  </si>
  <si>
    <t>Ramesh</t>
  </si>
  <si>
    <t>Rajagopal, Ramya</t>
  </si>
  <si>
    <t>Rajagopal</t>
  </si>
  <si>
    <t>Reddy M R, Rashmi</t>
  </si>
  <si>
    <t>Reddy M R</t>
  </si>
  <si>
    <t>Rupak.Kumar@rockwellautomation.com</t>
  </si>
  <si>
    <t>Kumar, Rupak</t>
  </si>
  <si>
    <t>Rupak</t>
  </si>
  <si>
    <t>Sabina.Yasmin@rockwellautomation.com</t>
  </si>
  <si>
    <t>Yasmin, Sabina</t>
  </si>
  <si>
    <t>Sabina</t>
  </si>
  <si>
    <t>Yasmin</t>
  </si>
  <si>
    <t>Sahil.Chaudhary@rockwellautomation.com</t>
  </si>
  <si>
    <t>Chaudhary, Sahil</t>
  </si>
  <si>
    <t>Sahil</t>
  </si>
  <si>
    <t>Sandeep S, Sai</t>
  </si>
  <si>
    <t>Sandeep S</t>
  </si>
  <si>
    <t>Keshari Dhal Samanta, Sangram</t>
  </si>
  <si>
    <t>Sangram</t>
  </si>
  <si>
    <t>Keshari Dhal Samanta</t>
  </si>
  <si>
    <t>NN, Sanjana</t>
  </si>
  <si>
    <t>Sanjana</t>
  </si>
  <si>
    <t>NN</t>
  </si>
  <si>
    <t>Nethaji, Santhosh</t>
  </si>
  <si>
    <t>Santhosh</t>
  </si>
  <si>
    <t>Nethaji</t>
  </si>
  <si>
    <t>Jambagi, Santosh</t>
  </si>
  <si>
    <t>Santosh</t>
  </si>
  <si>
    <t>Jambagi</t>
  </si>
  <si>
    <t>Sagar Mohapatra, Satya</t>
  </si>
  <si>
    <t>Satya</t>
  </si>
  <si>
    <t>Sagar Mohapatra</t>
  </si>
  <si>
    <t>Lavani, Shabaz</t>
  </si>
  <si>
    <t>Shabaz</t>
  </si>
  <si>
    <t>Lavani</t>
  </si>
  <si>
    <t>Sahil, Shaik</t>
  </si>
  <si>
    <t>Shaik</t>
  </si>
  <si>
    <t>K, Shanmugapriya</t>
  </si>
  <si>
    <t>Shanmugapriya</t>
  </si>
  <si>
    <t>Mohan Katkamwar, Shivam</t>
  </si>
  <si>
    <t>Shivam</t>
  </si>
  <si>
    <t>Mohan Katkamwar</t>
  </si>
  <si>
    <t>Arunrao Kothale, Shubham</t>
  </si>
  <si>
    <t>Arunrao Kothale</t>
  </si>
  <si>
    <t>Rajendra Kurane, Shubham</t>
  </si>
  <si>
    <t>Rajendra Kurane</t>
  </si>
  <si>
    <t>Paul, Somnath</t>
  </si>
  <si>
    <t>Somnath</t>
  </si>
  <si>
    <t>Joseph, Sreejith</t>
  </si>
  <si>
    <t>Sreejith</t>
  </si>
  <si>
    <t>Joseph</t>
  </si>
  <si>
    <t>M, Subramanyam</t>
  </si>
  <si>
    <t>Subramanyam</t>
  </si>
  <si>
    <t>Srinivasan, Sudhakar</t>
  </si>
  <si>
    <t>Sudhakar</t>
  </si>
  <si>
    <t>Srinivasan</t>
  </si>
  <si>
    <t>Sudhir.Yadav@rockwellautomation.com</t>
  </si>
  <si>
    <t>Singh Yadav, Sudhir</t>
  </si>
  <si>
    <t>Sudhir</t>
  </si>
  <si>
    <t>Singh Yadav</t>
  </si>
  <si>
    <t>Singh, Sukhwinder</t>
  </si>
  <si>
    <t>Sukhwinder</t>
  </si>
  <si>
    <t>Soni, Suryakant</t>
  </si>
  <si>
    <t>Suryakant</t>
  </si>
  <si>
    <t>Soni</t>
  </si>
  <si>
    <t>Chandrakant Gaikwad, Sushil</t>
  </si>
  <si>
    <t>Sushil</t>
  </si>
  <si>
    <t>Chandrakant Gaikwad</t>
  </si>
  <si>
    <t>Das, Swagato</t>
  </si>
  <si>
    <t>Swagato</t>
  </si>
  <si>
    <t>Sahoo, Swapnasudhir</t>
  </si>
  <si>
    <t>Swapnasudhir</t>
  </si>
  <si>
    <t>Sahoo</t>
  </si>
  <si>
    <t>Sanjay Jaware, Swapnil</t>
  </si>
  <si>
    <t>Swapnil</t>
  </si>
  <si>
    <t>Sanjay Jaware</t>
  </si>
  <si>
    <t>Syed.Kefayath@rockwellautomation.com</t>
  </si>
  <si>
    <t>Kefayath, Syed</t>
  </si>
  <si>
    <t>Kefayath</t>
  </si>
  <si>
    <t>Burri, Tulasiram</t>
  </si>
  <si>
    <t>Tulasiram</t>
  </si>
  <si>
    <t>Burri</t>
  </si>
  <si>
    <t>Kumar T, Uday</t>
  </si>
  <si>
    <t>Uday</t>
  </si>
  <si>
    <t>Kumar T</t>
  </si>
  <si>
    <t>R, Vamshi</t>
  </si>
  <si>
    <t>Vamshi</t>
  </si>
  <si>
    <t>K, Varalakshmi</t>
  </si>
  <si>
    <t>Varalakshmi</t>
  </si>
  <si>
    <t>Sahebrao Sontakke, Varun</t>
  </si>
  <si>
    <t>Varun</t>
  </si>
  <si>
    <t>Sahebrao Sontakke</t>
  </si>
  <si>
    <t>Veeramreddy, Rupesh</t>
  </si>
  <si>
    <t>Rupesh</t>
  </si>
  <si>
    <t>Veeramreddy</t>
  </si>
  <si>
    <t>Prabhu V, Vignesh</t>
  </si>
  <si>
    <t>Vignesh</t>
  </si>
  <si>
    <t>Prabhu V</t>
  </si>
  <si>
    <t>S, Vignesh</t>
  </si>
  <si>
    <t>Vijaykannan.Sivaraman@rockwellautomation.com</t>
  </si>
  <si>
    <t>Sivaraman, Vijaykannan</t>
  </si>
  <si>
    <t>Vijaykannan</t>
  </si>
  <si>
    <t>Sivaraman</t>
  </si>
  <si>
    <t>Pattan, Vinay</t>
  </si>
  <si>
    <t>Vinay</t>
  </si>
  <si>
    <t>K P, Vineeth</t>
  </si>
  <si>
    <t>Vineeth</t>
  </si>
  <si>
    <t>D, Vinod</t>
  </si>
  <si>
    <t>Deepak Belhe, Viresh</t>
  </si>
  <si>
    <t>Viresh</t>
  </si>
  <si>
    <t>Deepak Belhe</t>
  </si>
  <si>
    <t>K R B, Visnu</t>
  </si>
  <si>
    <t>Visnu</t>
  </si>
  <si>
    <t>K R B</t>
  </si>
  <si>
    <t>Sharma, Vivek</t>
  </si>
  <si>
    <t>Vivek</t>
  </si>
  <si>
    <t>Sharma</t>
  </si>
  <si>
    <t>M S, Abhijith</t>
  </si>
  <si>
    <t>Abhijith</t>
  </si>
  <si>
    <t>SME Engineer</t>
  </si>
  <si>
    <t>Akhil.Sharma@rockwellautomation.com</t>
  </si>
  <si>
    <t>Sharma, Akhil</t>
  </si>
  <si>
    <t>Sharma, Anjana</t>
  </si>
  <si>
    <t>Anjana</t>
  </si>
  <si>
    <t>Kumar Saini, Anuj</t>
  </si>
  <si>
    <t>Anuj</t>
  </si>
  <si>
    <t>Kumar Saini</t>
  </si>
  <si>
    <t>D S, Anupama</t>
  </si>
  <si>
    <t>Anupama</t>
  </si>
  <si>
    <t>Singh, Anurag</t>
  </si>
  <si>
    <t>Anurag</t>
  </si>
  <si>
    <t>S, Aravind</t>
  </si>
  <si>
    <t>Shambuling Kodgimath, Ashwin</t>
  </si>
  <si>
    <t>Ashwin</t>
  </si>
  <si>
    <t>Shambuling Kodgimath</t>
  </si>
  <si>
    <t>Krishnan R, Athul</t>
  </si>
  <si>
    <t>Athul</t>
  </si>
  <si>
    <t>Krishnan R</t>
  </si>
  <si>
    <t>Kumar, Avinash</t>
  </si>
  <si>
    <t>R, Balaji</t>
  </si>
  <si>
    <t>Balaji</t>
  </si>
  <si>
    <t>Bhujangrao Jadhav, Bhushan</t>
  </si>
  <si>
    <t>Bhushan</t>
  </si>
  <si>
    <t>Bhujangrao Jadhav</t>
  </si>
  <si>
    <t>Antony, Binoy</t>
  </si>
  <si>
    <t>Binoy</t>
  </si>
  <si>
    <t>Antony</t>
  </si>
  <si>
    <t>Biswajit.Sahu@rockwellautomation.com</t>
  </si>
  <si>
    <t>Sahu, Biswajit</t>
  </si>
  <si>
    <t>Biswajit</t>
  </si>
  <si>
    <t>Gottam, Chandrakanth</t>
  </si>
  <si>
    <t>Chandrakanth</t>
  </si>
  <si>
    <t>Gottam</t>
  </si>
  <si>
    <t>Peddadevara, Fazulu</t>
  </si>
  <si>
    <t>Fazulu</t>
  </si>
  <si>
    <t>Krishna Manchukonda, Gopala</t>
  </si>
  <si>
    <t>Gopala</t>
  </si>
  <si>
    <t>Krishna Manchukonda</t>
  </si>
  <si>
    <t>R, Guruprasad</t>
  </si>
  <si>
    <t>Guruprasad</t>
  </si>
  <si>
    <t>Hussain A, Jasir</t>
  </si>
  <si>
    <t>Jasir</t>
  </si>
  <si>
    <t>Hussain A</t>
  </si>
  <si>
    <t>Kumar Samineni, Jayanth</t>
  </si>
  <si>
    <t>Kumar Samineni</t>
  </si>
  <si>
    <t>John, Jebby</t>
  </si>
  <si>
    <t>Jebby</t>
  </si>
  <si>
    <t>Jose, Jobin</t>
  </si>
  <si>
    <t>Jobin</t>
  </si>
  <si>
    <t>Sreerama, Madhusudhan</t>
  </si>
  <si>
    <t>Madhusudhan</t>
  </si>
  <si>
    <t>Sreerama</t>
  </si>
  <si>
    <t>Majid.VA@rockwellautomation.com</t>
  </si>
  <si>
    <t>V A, Majid</t>
  </si>
  <si>
    <t>Majid</t>
  </si>
  <si>
    <t>V A</t>
  </si>
  <si>
    <t>Menon, Manu</t>
  </si>
  <si>
    <t>Manu</t>
  </si>
  <si>
    <t>Menon</t>
  </si>
  <si>
    <t>Mohan.Narayanan@rockwellautomation.com</t>
  </si>
  <si>
    <t>Narayanan, Mohan</t>
  </si>
  <si>
    <t>Narayanan</t>
  </si>
  <si>
    <t>Naresh, Naresh</t>
  </si>
  <si>
    <t>Kumar S, Naveen</t>
  </si>
  <si>
    <t>Kumar S</t>
  </si>
  <si>
    <t>Sabith, Nisfan</t>
  </si>
  <si>
    <t>Nisfan</t>
  </si>
  <si>
    <t>Sabith</t>
  </si>
  <si>
    <t>Mehra, Paresh</t>
  </si>
  <si>
    <t>Paresh</t>
  </si>
  <si>
    <t>Mehra</t>
  </si>
  <si>
    <t>Thatavarthi, Pruthvi</t>
  </si>
  <si>
    <t>Pruthvi</t>
  </si>
  <si>
    <t>Thatavarthi</t>
  </si>
  <si>
    <t>G L, Ramesh</t>
  </si>
  <si>
    <t>G L</t>
  </si>
  <si>
    <t>Hebbar, Sandeep</t>
  </si>
  <si>
    <t>Hebbar</t>
  </si>
  <si>
    <t>Sandeep.TL@rockwellautomation.com</t>
  </si>
  <si>
    <t>Kumar T L, Sandeep</t>
  </si>
  <si>
    <t>Kumar T L</t>
  </si>
  <si>
    <t>Krishnan, Sareesh</t>
  </si>
  <si>
    <t>Sareesh</t>
  </si>
  <si>
    <t>Krishnan</t>
  </si>
  <si>
    <t>Sarun.Natarajan@rockwellautomation.com</t>
  </si>
  <si>
    <t>Natarajan, Sarun</t>
  </si>
  <si>
    <t>Sarun</t>
  </si>
  <si>
    <t>Natarajan</t>
  </si>
  <si>
    <t>Adabala, Satyaram</t>
  </si>
  <si>
    <t>Satyaram</t>
  </si>
  <si>
    <t>Adabala</t>
  </si>
  <si>
    <t>Ali K V, Shaheem</t>
  </si>
  <si>
    <t>Shaheem</t>
  </si>
  <si>
    <t>Ali K V</t>
  </si>
  <si>
    <t>Sruthi, Shanmuga</t>
  </si>
  <si>
    <t>Shanmuga</t>
  </si>
  <si>
    <t>Sruthi</t>
  </si>
  <si>
    <t>Jamwal, Shubham</t>
  </si>
  <si>
    <t>Jamwal</t>
  </si>
  <si>
    <t>Sam, Sibi</t>
  </si>
  <si>
    <t>Sibi</t>
  </si>
  <si>
    <t>Sam</t>
  </si>
  <si>
    <t>S, Somappa</t>
  </si>
  <si>
    <t>Somappa</t>
  </si>
  <si>
    <t>Subhasmita Sahoo, Subhasri</t>
  </si>
  <si>
    <t>Subhasri</t>
  </si>
  <si>
    <t>Subhasmita Sahoo</t>
  </si>
  <si>
    <t>Kumar Gupta, Surya</t>
  </si>
  <si>
    <t>Surya</t>
  </si>
  <si>
    <t>Kumar Gupta</t>
  </si>
  <si>
    <t>Kathiravan, Surya</t>
  </si>
  <si>
    <t>Kathiravan</t>
  </si>
  <si>
    <t>Tushar.Dorage@rockwellautomation.com</t>
  </si>
  <si>
    <t>Vilas Dorage, Tushar</t>
  </si>
  <si>
    <t>Tushar</t>
  </si>
  <si>
    <t>Vilas Dorage</t>
  </si>
  <si>
    <t>Gatkal, Tushar</t>
  </si>
  <si>
    <t>Gatkal</t>
  </si>
  <si>
    <t>Vasudeva.Gattu@rockwellautomation.com</t>
  </si>
  <si>
    <t>Rao Gattu, Vasudeva</t>
  </si>
  <si>
    <t>Vasudeva</t>
  </si>
  <si>
    <t>Rao Gattu</t>
  </si>
  <si>
    <t>Goyal, Vidushi</t>
  </si>
  <si>
    <t>Vidushi</t>
  </si>
  <si>
    <t>Goyal</t>
  </si>
  <si>
    <t>Raj M S K, Vignesh</t>
  </si>
  <si>
    <t>Raj M S K</t>
  </si>
  <si>
    <t>Krishnan, Vinod</t>
  </si>
  <si>
    <t>Shafi Ahmed, Irfanuddin</t>
  </si>
  <si>
    <t>Irfanuddin</t>
  </si>
  <si>
    <t>Shafi Ahmed</t>
  </si>
  <si>
    <t>Onshore (UAE)</t>
  </si>
  <si>
    <t>Jose, Amal</t>
  </si>
  <si>
    <t>Onshore (UK)</t>
  </si>
  <si>
    <t>Singh, Harmandeep</t>
  </si>
  <si>
    <t>Harmandeep</t>
  </si>
  <si>
    <t>Onshore (US)</t>
  </si>
  <si>
    <t>Surendran, Kannan S</t>
  </si>
  <si>
    <t>Kannan S</t>
  </si>
  <si>
    <t>Surendran</t>
  </si>
  <si>
    <t>Jain, Rahul</t>
  </si>
  <si>
    <t>Jain</t>
  </si>
  <si>
    <t>Ray, Sayantan</t>
  </si>
  <si>
    <t>Sayantan</t>
  </si>
  <si>
    <t>Ray</t>
  </si>
  <si>
    <t>ROKID</t>
  </si>
  <si>
    <t>Worker</t>
  </si>
  <si>
    <t>Region</t>
  </si>
  <si>
    <t>Practice</t>
  </si>
  <si>
    <t>Subpractice</t>
  </si>
  <si>
    <t>CP</t>
  </si>
  <si>
    <t>New User Role (OA)</t>
  </si>
  <si>
    <t>Old Job Code</t>
  </si>
  <si>
    <t>New Job Code</t>
  </si>
  <si>
    <t>Effective Date</t>
  </si>
  <si>
    <t>N0583339</t>
  </si>
  <si>
    <t>Jebby John</t>
  </si>
  <si>
    <t>APAC</t>
  </si>
  <si>
    <t>Data Science &amp; IoT</t>
  </si>
  <si>
    <t>GCC - Data Science</t>
  </si>
  <si>
    <t>Knowledge_Lens</t>
  </si>
  <si>
    <t>006_</t>
  </si>
  <si>
    <t>N0594878</t>
  </si>
  <si>
    <t>Naresh Balaraman</t>
  </si>
  <si>
    <t>GCC - Project Manager</t>
  </si>
  <si>
    <t>N0583767</t>
  </si>
  <si>
    <t>Lishobh P</t>
  </si>
  <si>
    <t>GCC - Misc</t>
  </si>
  <si>
    <t>N0583798</t>
  </si>
  <si>
    <t>GCC - Backend</t>
  </si>
  <si>
    <t>N0584007</t>
  </si>
  <si>
    <t>Rashmi M R</t>
  </si>
  <si>
    <t>GCC - Quality Engg</t>
  </si>
  <si>
    <t>N0595547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</si>
</sst>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C09]#,##0.00"/>
    <numFmt numFmtId="165" formatCode="[$-409]d\-mmm\-yy;@"/>
    <numFmt numFmtId="166" formatCode="[$-409]d\-mmm\-yyyy;@"/>
    <numFmt numFmtId="167" formatCode="[$-409]dd\-mmm\-yy;@"/>
  </numFmts>
  <fonts count="26" x14ac:knownFonts="1">
    <font>
      <sz val="11"/>
      <color theme="1"/>
      <name val="Calibri"/>
      <family val="2"/>
      <scheme val="minor"/>
    </font>
    <font>
      <b/>
      <sz val="11"/>
      <color theme="1"/>
      <name val="Calibri"/>
      <family val="2"/>
      <scheme val="minor"/>
    </font>
    <font>
      <sz val="10"/>
      <color theme="1"/>
      <name val="Calibri"/>
      <family val="2"/>
    </font>
    <font>
      <b/>
      <sz val="10"/>
      <color theme="1"/>
      <name val="Calibri"/>
      <family val="2"/>
    </font>
    <font>
      <sz val="10"/>
      <name val="Calibri"/>
      <family val="2"/>
    </font>
    <font>
      <b/>
      <sz val="11"/>
      <color theme="0"/>
      <name val="Calibri"/>
      <family val="2"/>
      <scheme val="minor"/>
    </font>
    <font>
      <sz val="11"/>
      <color rgb="FF000000"/>
      <name val="Calibri"/>
      <family val="2"/>
      <scheme val="minor"/>
    </font>
    <font>
      <sz val="11"/>
      <name val="Calibri"/>
      <family val="2"/>
      <scheme val="minor"/>
    </font>
    <font>
      <b/>
      <sz val="10"/>
      <color theme="0"/>
      <name val="Calibri"/>
      <family val="2"/>
    </font>
    <font>
      <sz val="9"/>
      <color indexed="81"/>
      <name val="Tahoma"/>
      <family val="2"/>
    </font>
    <font>
      <b/>
      <sz val="9"/>
      <color indexed="81"/>
      <name val="Tahoma"/>
      <family val="2"/>
    </font>
    <font>
      <sz val="10"/>
      <color theme="1"/>
      <name val="Calibri"/>
      <family val="2"/>
      <scheme val="minor"/>
    </font>
    <font>
      <b/>
      <sz val="10"/>
      <color theme="0"/>
      <name val="Calibri"/>
      <family val="2"/>
      <scheme val="minor"/>
    </font>
    <font>
      <sz val="11"/>
      <color rgb="FF000000"/>
      <name val="Times"/>
      <family val="1"/>
    </font>
    <font>
      <b/>
      <sz val="11"/>
      <color rgb="FFFFFFFF"/>
      <name val="Calibri"/>
      <family val="2"/>
      <scheme val="minor"/>
    </font>
    <font>
      <b/>
      <sz val="10"/>
      <color rgb="FFFF0000"/>
      <name val="Calibri"/>
      <family val="2"/>
      <scheme val="minor"/>
    </font>
    <font>
      <sz val="10"/>
      <color rgb="FF000000"/>
      <name val="Calibri"/>
      <family val="2"/>
      <scheme val="minor"/>
    </font>
    <font>
      <sz val="11"/>
      <color rgb="FF242424"/>
      <name val="Aptos Narrow"/>
      <family val="2"/>
    </font>
    <font>
      <sz val="9"/>
      <name val="Calibri"/>
      <family val="2"/>
    </font>
    <font>
      <b/>
      <sz val="11"/>
      <name val="Aptos Narrow"/>
      <family val="2"/>
    </font>
    <font>
      <u/>
      <sz val="11"/>
      <color theme="10"/>
      <name val="Calibri"/>
      <family val="2"/>
      <scheme val="minor"/>
    </font>
    <font>
      <sz val="11"/>
      <color rgb="FF000000"/>
      <name val="Aptos Narrow"/>
      <family val="2"/>
    </font>
    <font>
      <b/>
      <sz val="11"/>
      <color rgb="FFFFFFFF"/>
      <name val="Calibri"/>
      <family val="2"/>
    </font>
    <font>
      <sz val="11"/>
      <name val="Calibri"/>
      <family val="2"/>
    </font>
    <font>
      <sz val="11"/>
      <color rgb="FF000000"/>
      <name val="Calibri"/>
      <family val="2"/>
    </font>
    <font>
      <sz val="11"/>
      <color rgb="FFFF0000"/>
      <name val="Calibri"/>
      <family val="2"/>
      <scheme val="minor"/>
    </font>
  </fonts>
  <fills count="28">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5" tint="-0.249977111117893"/>
        <bgColor indexed="64"/>
      </patternFill>
    </fill>
    <fill>
      <patternFill patternType="solid">
        <fgColor theme="8" tint="-0.249977111117893"/>
        <bgColor indexed="64"/>
      </patternFill>
    </fill>
    <fill>
      <patternFill patternType="solid">
        <fgColor rgb="FFFFFF00"/>
        <bgColor indexed="64"/>
      </patternFill>
    </fill>
    <fill>
      <patternFill patternType="solid">
        <fgColor theme="2"/>
        <bgColor indexed="64"/>
      </patternFill>
    </fill>
    <fill>
      <patternFill patternType="solid">
        <fgColor rgb="FF92D050"/>
        <bgColor indexed="64"/>
      </patternFill>
    </fill>
    <fill>
      <patternFill patternType="solid">
        <fgColor theme="3" tint="0.749992370372631"/>
        <bgColor indexed="64"/>
      </patternFill>
    </fill>
    <fill>
      <patternFill patternType="solid">
        <fgColor rgb="FF4F81BD"/>
        <bgColor indexed="64"/>
      </patternFill>
    </fill>
    <fill>
      <patternFill patternType="solid">
        <fgColor rgb="FF0070C0"/>
        <bgColor indexed="64"/>
      </patternFill>
    </fill>
    <fill>
      <patternFill patternType="solid">
        <fgColor theme="9" tint="0.79998168889431442"/>
        <bgColor indexed="64"/>
      </patternFill>
    </fill>
    <fill>
      <patternFill patternType="solid">
        <fgColor theme="3" tint="0.499984740745262"/>
        <bgColor indexed="64"/>
      </patternFill>
    </fill>
    <fill>
      <patternFill patternType="solid">
        <fgColor theme="4" tint="-0.499984740745262"/>
        <bgColor rgb="FF000000"/>
      </patternFill>
    </fill>
    <fill>
      <patternFill patternType="solid">
        <fgColor theme="4" tint="-0.499984740745262"/>
        <bgColor indexed="64"/>
      </patternFill>
    </fill>
    <fill>
      <patternFill patternType="solid">
        <fgColor theme="0" tint="-0.249977111117893"/>
        <bgColor indexed="64"/>
      </patternFill>
    </fill>
    <fill>
      <patternFill patternType="solid">
        <fgColor theme="5" tint="-0.499984740745262"/>
        <bgColor indexed="64"/>
      </patternFill>
    </fill>
    <fill>
      <patternFill patternType="solid">
        <fgColor theme="7" tint="-0.499984740745262"/>
        <bgColor indexed="64"/>
      </patternFill>
    </fill>
    <fill>
      <patternFill patternType="solid">
        <fgColor theme="9" tint="-0.499984740745262"/>
        <bgColor indexed="64"/>
      </patternFill>
    </fill>
    <fill>
      <patternFill patternType="solid">
        <fgColor rgb="FF1F4E78"/>
        <bgColor rgb="FF000000"/>
      </patternFill>
    </fill>
  </fills>
  <borders count="45">
    <border>
      <left/>
      <right/>
      <top/>
      <bottom/>
      <diagonal/>
    </border>
    <border>
      <left style="dotted">
        <color indexed="64"/>
      </left>
      <right style="dotted">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dotted">
        <color auto="1"/>
      </right>
      <top style="medium">
        <color indexed="64"/>
      </top>
      <bottom style="dotted">
        <color auto="1"/>
      </bottom>
      <diagonal/>
    </border>
    <border>
      <left style="medium">
        <color indexed="64"/>
      </left>
      <right style="dotted">
        <color auto="1"/>
      </right>
      <top style="dotted">
        <color auto="1"/>
      </top>
      <bottom style="dotted">
        <color auto="1"/>
      </bottom>
      <diagonal/>
    </border>
    <border>
      <left style="dotted">
        <color auto="1"/>
      </left>
      <right style="medium">
        <color indexed="64"/>
      </right>
      <top style="dotted">
        <color auto="1"/>
      </top>
      <bottom style="dotted">
        <color auto="1"/>
      </bottom>
      <diagonal/>
    </border>
    <border>
      <left style="medium">
        <color indexed="64"/>
      </left>
      <right style="dotted">
        <color indexed="64"/>
      </right>
      <top/>
      <bottom style="dotted">
        <color auto="1"/>
      </bottom>
      <diagonal/>
    </border>
    <border>
      <left style="medium">
        <color indexed="64"/>
      </left>
      <right style="dotted">
        <color indexed="64"/>
      </right>
      <top style="dotted">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dotted">
        <color indexed="64"/>
      </right>
      <top/>
      <bottom/>
      <diagonal/>
    </border>
    <border>
      <left style="dotted">
        <color indexed="64"/>
      </left>
      <right style="dotted">
        <color indexed="64"/>
      </right>
      <top style="dotted">
        <color indexed="64"/>
      </top>
      <bottom/>
      <diagonal/>
    </border>
    <border>
      <left style="dashed">
        <color rgb="FF000000"/>
      </left>
      <right style="dashed">
        <color rgb="FF000000"/>
      </right>
      <top style="dashed">
        <color rgb="FF000000"/>
      </top>
      <bottom style="dashed">
        <color rgb="FF000000"/>
      </bottom>
      <diagonal/>
    </border>
    <border>
      <left/>
      <right style="dotted">
        <color indexed="64"/>
      </right>
      <top/>
      <bottom style="dotted">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style="dotted">
        <color indexed="64"/>
      </right>
      <top style="medium">
        <color indexed="64"/>
      </top>
      <bottom style="medium">
        <color indexed="64"/>
      </bottom>
      <diagonal/>
    </border>
    <border>
      <left/>
      <right style="thin">
        <color indexed="64"/>
      </right>
      <top style="thin">
        <color indexed="64"/>
      </top>
      <bottom style="thin">
        <color indexed="64"/>
      </bottom>
      <diagonal/>
    </border>
  </borders>
  <cellStyleXfs count="2">
    <xf numFmtId="0" fontId="0" fillId="0" borderId="0"/>
    <xf numFmtId="0" fontId="20" fillId="0" borderId="0" applyNumberFormat="0" applyFill="0" applyBorder="0" applyAlignment="0" applyProtection="0"/>
  </cellStyleXfs>
  <cellXfs count="234">
    <xf numFmtId="0" fontId="0" fillId="0" borderId="0" xfId="0"/>
    <xf numFmtId="0" fontId="2" fillId="0" borderId="1" xfId="0" applyFont="1" applyBorder="1" applyAlignment="1">
      <alignment horizontal="center" vertical="center"/>
    </xf>
    <xf numFmtId="0" fontId="2" fillId="0" borderId="1" xfId="0" applyFont="1" applyBorder="1" applyAlignment="1">
      <alignment horizontal="left" vertical="center"/>
    </xf>
    <xf numFmtId="164" fontId="2" fillId="0" borderId="1" xfId="0" applyNumberFormat="1"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164" fontId="2" fillId="0" borderId="1" xfId="0" applyNumberFormat="1" applyFont="1" applyBorder="1" applyAlignment="1">
      <alignment vertical="center"/>
    </xf>
    <xf numFmtId="0" fontId="0" fillId="0" borderId="0" xfId="0" applyAlignment="1">
      <alignment horizontal="center"/>
    </xf>
    <xf numFmtId="0" fontId="0" fillId="0" borderId="2" xfId="0" applyBorder="1" applyAlignment="1">
      <alignment horizontal="center" vertical="center"/>
    </xf>
    <xf numFmtId="164" fontId="2" fillId="0" borderId="3" xfId="0" applyNumberFormat="1" applyFont="1" applyBorder="1" applyAlignment="1">
      <alignment vertical="center"/>
    </xf>
    <xf numFmtId="0" fontId="0" fillId="0" borderId="4" xfId="0" applyBorder="1" applyAlignment="1">
      <alignment horizontal="center" vertical="center"/>
    </xf>
    <xf numFmtId="0" fontId="4" fillId="0" borderId="5" xfId="0" applyFont="1" applyBorder="1" applyAlignment="1">
      <alignment horizontal="left" vertical="center"/>
    </xf>
    <xf numFmtId="0" fontId="4" fillId="0" borderId="5" xfId="0" applyFont="1" applyBorder="1" applyAlignment="1">
      <alignment horizontal="center" vertical="center"/>
    </xf>
    <xf numFmtId="164" fontId="2" fillId="0" borderId="5" xfId="0" applyNumberFormat="1" applyFont="1" applyBorder="1" applyAlignment="1">
      <alignment horizontal="center" vertical="center"/>
    </xf>
    <xf numFmtId="0" fontId="3" fillId="0" borderId="5" xfId="0" applyFont="1" applyBorder="1" applyAlignment="1">
      <alignment horizontal="left" vertical="center"/>
    </xf>
    <xf numFmtId="0" fontId="3" fillId="0" borderId="5" xfId="0" applyFont="1" applyBorder="1" applyAlignment="1">
      <alignment horizontal="center" vertical="center"/>
    </xf>
    <xf numFmtId="164" fontId="2" fillId="0" borderId="5" xfId="0" applyNumberFormat="1" applyFont="1" applyBorder="1" applyAlignment="1">
      <alignment vertical="center"/>
    </xf>
    <xf numFmtId="164" fontId="2" fillId="0" borderId="6" xfId="0" applyNumberFormat="1" applyFont="1" applyBorder="1" applyAlignment="1">
      <alignment vertical="center"/>
    </xf>
    <xf numFmtId="0" fontId="0" fillId="0" borderId="9" xfId="0" applyBorder="1" applyAlignment="1">
      <alignment horizontal="center" vertical="center"/>
    </xf>
    <xf numFmtId="0" fontId="2" fillId="2" borderId="10" xfId="0" applyFont="1" applyFill="1" applyBorder="1" applyAlignment="1">
      <alignment horizontal="center" vertical="center"/>
    </xf>
    <xf numFmtId="164" fontId="2" fillId="0" borderId="10" xfId="0" applyNumberFormat="1" applyFont="1" applyBorder="1" applyAlignment="1">
      <alignment horizontal="center" vertical="center"/>
    </xf>
    <xf numFmtId="0" fontId="3" fillId="9" borderId="13" xfId="0" applyFont="1" applyFill="1" applyBorder="1" applyAlignment="1">
      <alignment horizontal="center" vertical="center" wrapText="1"/>
    </xf>
    <xf numFmtId="0" fontId="3" fillId="4" borderId="13"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3" fillId="9" borderId="14" xfId="0" applyFont="1" applyFill="1" applyBorder="1" applyAlignment="1">
      <alignment horizontal="center" vertical="center" wrapText="1"/>
    </xf>
    <xf numFmtId="0" fontId="3" fillId="10" borderId="12" xfId="0" applyFont="1" applyFill="1" applyBorder="1" applyAlignment="1">
      <alignment horizontal="center" vertical="center" wrapText="1"/>
    </xf>
    <xf numFmtId="0" fontId="3" fillId="10" borderId="13" xfId="0" applyFont="1" applyFill="1" applyBorder="1" applyAlignment="1">
      <alignment horizontal="center" vertical="center" wrapText="1"/>
    </xf>
    <xf numFmtId="0" fontId="0" fillId="0" borderId="0" xfId="0" applyAlignment="1">
      <alignment horizontal="left"/>
    </xf>
    <xf numFmtId="0" fontId="2" fillId="2" borderId="10" xfId="0" applyFont="1" applyFill="1" applyBorder="1" applyAlignment="1">
      <alignment horizontal="left" vertical="center"/>
    </xf>
    <xf numFmtId="164" fontId="2" fillId="0" borderId="1" xfId="0" applyNumberFormat="1" applyFont="1" applyBorder="1" applyAlignment="1">
      <alignment horizontal="left" vertical="center"/>
    </xf>
    <xf numFmtId="164" fontId="2" fillId="0" borderId="5" xfId="0" applyNumberFormat="1" applyFont="1" applyBorder="1" applyAlignment="1">
      <alignment horizontal="left" vertical="center"/>
    </xf>
    <xf numFmtId="0" fontId="2" fillId="0" borderId="10" xfId="0" applyFont="1" applyBorder="1" applyAlignment="1">
      <alignment horizontal="left" vertical="center" wrapText="1"/>
    </xf>
    <xf numFmtId="0" fontId="2" fillId="0" borderId="10" xfId="0" applyFont="1" applyBorder="1" applyAlignment="1">
      <alignment horizontal="left" vertical="center"/>
    </xf>
    <xf numFmtId="0" fontId="2" fillId="0" borderId="10" xfId="0" applyFont="1" applyBorder="1" applyAlignment="1">
      <alignment horizontal="center" vertical="center"/>
    </xf>
    <xf numFmtId="164" fontId="2" fillId="0" borderId="10" xfId="0" applyNumberFormat="1" applyFont="1" applyBorder="1" applyAlignment="1">
      <alignment horizontal="left" vertical="center" wrapText="1"/>
    </xf>
    <xf numFmtId="164" fontId="2" fillId="0" borderId="10" xfId="0" applyNumberFormat="1" applyFont="1" applyBorder="1" applyAlignment="1">
      <alignment vertical="center"/>
    </xf>
    <xf numFmtId="164" fontId="2" fillId="0" borderId="11" xfId="0" applyNumberFormat="1" applyFont="1" applyBorder="1" applyAlignment="1">
      <alignment vertical="center"/>
    </xf>
    <xf numFmtId="0" fontId="2" fillId="0" borderId="17" xfId="0" applyFont="1" applyBorder="1" applyAlignment="1">
      <alignment horizontal="left" vertical="center" wrapText="1"/>
    </xf>
    <xf numFmtId="0" fontId="2" fillId="0" borderId="17" xfId="0" applyFont="1" applyBorder="1" applyAlignment="1">
      <alignment horizontal="center" vertical="center"/>
    </xf>
    <xf numFmtId="0" fontId="2" fillId="0" borderId="17" xfId="0" applyFont="1" applyBorder="1" applyAlignment="1">
      <alignment horizontal="left" vertical="center"/>
    </xf>
    <xf numFmtId="164" fontId="2" fillId="0" borderId="17" xfId="0" applyNumberFormat="1" applyFont="1" applyBorder="1" applyAlignment="1">
      <alignment horizontal="center" vertical="center"/>
    </xf>
    <xf numFmtId="164" fontId="2" fillId="0" borderId="17" xfId="0" applyNumberFormat="1" applyFont="1" applyBorder="1" applyAlignment="1">
      <alignment vertical="center"/>
    </xf>
    <xf numFmtId="164" fontId="2" fillId="0" borderId="18" xfId="0" applyNumberFormat="1" applyFont="1" applyBorder="1" applyAlignment="1">
      <alignment vertical="center"/>
    </xf>
    <xf numFmtId="0" fontId="2" fillId="0" borderId="21" xfId="0" applyFont="1" applyBorder="1" applyAlignment="1">
      <alignment horizontal="left" vertical="center" wrapText="1"/>
    </xf>
    <xf numFmtId="0" fontId="2" fillId="0" borderId="21" xfId="0" applyFont="1" applyBorder="1" applyAlignment="1">
      <alignment horizontal="center" vertical="center"/>
    </xf>
    <xf numFmtId="0" fontId="2" fillId="0" borderId="21" xfId="0" applyFont="1" applyBorder="1" applyAlignment="1">
      <alignment horizontal="left" vertical="center"/>
    </xf>
    <xf numFmtId="164" fontId="2" fillId="0" borderId="21" xfId="0" applyNumberFormat="1" applyFont="1" applyBorder="1" applyAlignment="1">
      <alignment horizontal="center" vertical="center"/>
    </xf>
    <xf numFmtId="164" fontId="2" fillId="0" borderId="21" xfId="0" applyNumberFormat="1" applyFont="1" applyBorder="1" applyAlignment="1">
      <alignment vertical="center"/>
    </xf>
    <xf numFmtId="164" fontId="2" fillId="0" borderId="22" xfId="0" applyNumberFormat="1" applyFont="1" applyBorder="1" applyAlignment="1">
      <alignment vertical="center"/>
    </xf>
    <xf numFmtId="0" fontId="0" fillId="0" borderId="23" xfId="0" applyBorder="1" applyAlignment="1">
      <alignment horizontal="center" vertical="center"/>
    </xf>
    <xf numFmtId="0" fontId="2" fillId="0" borderId="24" xfId="0" applyFont="1" applyBorder="1" applyAlignment="1">
      <alignment horizontal="left" vertical="center" wrapText="1"/>
    </xf>
    <xf numFmtId="0" fontId="2" fillId="0" borderId="24" xfId="0" applyFont="1" applyBorder="1" applyAlignment="1">
      <alignment horizontal="left" vertical="center"/>
    </xf>
    <xf numFmtId="0" fontId="2" fillId="0" borderId="24" xfId="0" applyFont="1" applyBorder="1" applyAlignment="1">
      <alignment horizontal="center" vertical="center"/>
    </xf>
    <xf numFmtId="0" fontId="2" fillId="0" borderId="24" xfId="0" applyFont="1" applyBorder="1" applyAlignment="1">
      <alignment horizontal="center" vertical="center" wrapText="1"/>
    </xf>
    <xf numFmtId="0" fontId="2" fillId="2" borderId="24" xfId="0" applyFont="1" applyFill="1" applyBorder="1" applyAlignment="1">
      <alignment horizontal="center" vertical="center"/>
    </xf>
    <xf numFmtId="0" fontId="2" fillId="2" borderId="24" xfId="0" applyFont="1" applyFill="1" applyBorder="1" applyAlignment="1">
      <alignment horizontal="center" vertical="center" wrapText="1"/>
    </xf>
    <xf numFmtId="164" fontId="2" fillId="0" borderId="24" xfId="0" applyNumberFormat="1" applyFont="1" applyBorder="1" applyAlignment="1">
      <alignment horizontal="left" vertical="center" wrapText="1"/>
    </xf>
    <xf numFmtId="0" fontId="2" fillId="2" borderId="24" xfId="0" applyFont="1" applyFill="1" applyBorder="1" applyAlignment="1">
      <alignment horizontal="left" vertical="center"/>
    </xf>
    <xf numFmtId="15" fontId="2" fillId="2" borderId="24" xfId="0" applyNumberFormat="1" applyFont="1" applyFill="1" applyBorder="1" applyAlignment="1">
      <alignment horizontal="center" vertical="center"/>
    </xf>
    <xf numFmtId="165" fontId="2" fillId="2" borderId="24" xfId="0" applyNumberFormat="1" applyFont="1" applyFill="1" applyBorder="1" applyAlignment="1">
      <alignment horizontal="center" vertical="center"/>
    </xf>
    <xf numFmtId="164" fontId="2" fillId="0" borderId="24" xfId="0" applyNumberFormat="1" applyFont="1" applyBorder="1" applyAlignment="1">
      <alignment horizontal="center" vertical="center"/>
    </xf>
    <xf numFmtId="164" fontId="2" fillId="0" borderId="24" xfId="0" applyNumberFormat="1" applyFont="1" applyBorder="1" applyAlignment="1">
      <alignment vertical="center"/>
    </xf>
    <xf numFmtId="164" fontId="2" fillId="0" borderId="25" xfId="0" applyNumberFormat="1" applyFont="1" applyBorder="1" applyAlignment="1">
      <alignment vertical="center"/>
    </xf>
    <xf numFmtId="164" fontId="2" fillId="0" borderId="24" xfId="0" applyNumberFormat="1" applyFont="1" applyBorder="1" applyAlignment="1">
      <alignment horizontal="left" vertical="center"/>
    </xf>
    <xf numFmtId="164" fontId="2" fillId="0" borderId="25" xfId="0" applyNumberFormat="1" applyFont="1" applyBorder="1" applyAlignment="1">
      <alignment horizontal="center" vertical="center"/>
    </xf>
    <xf numFmtId="0" fontId="2" fillId="2" borderId="24" xfId="0" applyFont="1" applyFill="1" applyBorder="1" applyAlignment="1">
      <alignment vertical="center"/>
    </xf>
    <xf numFmtId="0" fontId="2" fillId="0" borderId="24" xfId="0" applyFont="1" applyBorder="1" applyAlignment="1">
      <alignment vertical="center"/>
    </xf>
    <xf numFmtId="0" fontId="2" fillId="0" borderId="10" xfId="0" applyFont="1" applyBorder="1" applyAlignment="1">
      <alignment vertical="center"/>
    </xf>
    <xf numFmtId="0" fontId="2" fillId="0" borderId="1" xfId="0" applyFont="1" applyBorder="1" applyAlignment="1">
      <alignment vertical="center"/>
    </xf>
    <xf numFmtId="0" fontId="4" fillId="0" borderId="5" xfId="0" applyFont="1" applyBorder="1" applyAlignment="1">
      <alignment vertical="center"/>
    </xf>
    <xf numFmtId="0" fontId="3" fillId="10" borderId="13" xfId="0" applyFont="1" applyFill="1" applyBorder="1" applyAlignment="1">
      <alignment vertical="center" wrapText="1"/>
    </xf>
    <xf numFmtId="0" fontId="2" fillId="0" borderId="24" xfId="0" applyFont="1" applyBorder="1" applyAlignment="1">
      <alignment vertical="center" wrapText="1"/>
    </xf>
    <xf numFmtId="0" fontId="2" fillId="0" borderId="10" xfId="0" applyFont="1" applyBorder="1" applyAlignment="1">
      <alignment vertical="center" wrapText="1"/>
    </xf>
    <xf numFmtId="0" fontId="2" fillId="0" borderId="1" xfId="0" applyFont="1" applyBorder="1" applyAlignment="1">
      <alignment vertical="center" wrapText="1"/>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0" fontId="7" fillId="0" borderId="33" xfId="0" applyFont="1" applyBorder="1" applyAlignment="1" applyProtection="1">
      <alignment horizontal="center" vertical="top"/>
      <protection locked="0"/>
    </xf>
    <xf numFmtId="0" fontId="2" fillId="2" borderId="1" xfId="0" applyFont="1" applyFill="1" applyBorder="1" applyAlignment="1">
      <alignment horizontal="left" vertical="center"/>
    </xf>
    <xf numFmtId="0" fontId="11" fillId="0" borderId="0" xfId="0" applyFont="1"/>
    <xf numFmtId="0" fontId="11" fillId="0" borderId="0" xfId="0" applyFont="1" applyAlignment="1">
      <alignment horizontal="center"/>
    </xf>
    <xf numFmtId="0" fontId="11" fillId="0" borderId="0" xfId="0" applyFont="1" applyAlignment="1">
      <alignment horizontal="left"/>
    </xf>
    <xf numFmtId="0" fontId="11" fillId="11" borderId="0" xfId="0" applyFont="1" applyFill="1" applyAlignment="1">
      <alignment horizontal="center"/>
    </xf>
    <xf numFmtId="0" fontId="11" fillId="0" borderId="32" xfId="0" applyFont="1" applyBorder="1" applyProtection="1">
      <protection locked="0"/>
    </xf>
    <xf numFmtId="0" fontId="8" fillId="12" borderId="30" xfId="0" applyFont="1" applyFill="1" applyBorder="1" applyAlignment="1">
      <alignment horizontal="center" vertical="center" wrapText="1"/>
    </xf>
    <xf numFmtId="0" fontId="8" fillId="12" borderId="17" xfId="0" applyFont="1" applyFill="1" applyBorder="1" applyAlignment="1">
      <alignment horizontal="center" vertical="center" wrapText="1"/>
    </xf>
    <xf numFmtId="0" fontId="8" fillId="12" borderId="18" xfId="0" applyFont="1" applyFill="1" applyBorder="1" applyAlignment="1">
      <alignment horizontal="center" vertical="center" wrapText="1"/>
    </xf>
    <xf numFmtId="0" fontId="11" fillId="0" borderId="31" xfId="0" applyFont="1" applyBorder="1" applyAlignment="1">
      <alignment horizontal="center" vertical="center"/>
    </xf>
    <xf numFmtId="0" fontId="11" fillId="0" borderId="1" xfId="0" applyFont="1" applyBorder="1" applyAlignment="1">
      <alignment horizontal="center" vertical="center"/>
    </xf>
    <xf numFmtId="0" fontId="11" fillId="0" borderId="1" xfId="0" applyFont="1" applyBorder="1" applyAlignment="1">
      <alignment horizontal="left" vertical="center"/>
    </xf>
    <xf numFmtId="164" fontId="2" fillId="0" borderId="32" xfId="0" applyNumberFormat="1" applyFont="1" applyBorder="1" applyAlignment="1">
      <alignment horizontal="left" vertical="center" wrapText="1"/>
    </xf>
    <xf numFmtId="0" fontId="11" fillId="0" borderId="31" xfId="0" applyFont="1" applyBorder="1" applyAlignment="1">
      <alignment horizontal="center"/>
    </xf>
    <xf numFmtId="0" fontId="11" fillId="0" borderId="1" xfId="0" applyFont="1" applyBorder="1" applyAlignment="1">
      <alignment horizontal="center"/>
    </xf>
    <xf numFmtId="0" fontId="11" fillId="0" borderId="1" xfId="0" applyFont="1" applyBorder="1" applyAlignment="1">
      <alignment horizontal="left"/>
    </xf>
    <xf numFmtId="0" fontId="11" fillId="0" borderId="32" xfId="0" applyFont="1" applyBorder="1" applyAlignment="1">
      <alignment horizontal="left" wrapText="1"/>
    </xf>
    <xf numFmtId="0" fontId="11" fillId="8" borderId="1" xfId="0" applyFont="1" applyFill="1" applyBorder="1" applyAlignment="1">
      <alignment horizontal="left"/>
    </xf>
    <xf numFmtId="0" fontId="11" fillId="0" borderId="1" xfId="0" applyFont="1" applyBorder="1" applyProtection="1">
      <protection locked="0"/>
    </xf>
    <xf numFmtId="0" fontId="11" fillId="0" borderId="32" xfId="0" applyFont="1" applyBorder="1" applyAlignment="1">
      <alignment horizontal="left"/>
    </xf>
    <xf numFmtId="0" fontId="0" fillId="0" borderId="29" xfId="0" applyBorder="1"/>
    <xf numFmtId="0" fontId="3" fillId="13" borderId="17" xfId="0" applyFont="1" applyFill="1" applyBorder="1" applyAlignment="1">
      <alignment horizontal="center" vertical="center" wrapText="1"/>
    </xf>
    <xf numFmtId="0" fontId="11" fillId="0" borderId="1" xfId="0" applyFont="1" applyBorder="1" applyAlignment="1">
      <alignment horizontal="left" wrapText="1"/>
    </xf>
    <xf numFmtId="0" fontId="11" fillId="0" borderId="0" xfId="0" applyFont="1" applyAlignment="1" applyProtection="1">
      <alignment horizontal="center"/>
      <protection locked="0"/>
    </xf>
    <xf numFmtId="0" fontId="11" fillId="0" borderId="29" xfId="0" applyFont="1" applyBorder="1" applyProtection="1">
      <protection locked="0"/>
    </xf>
    <xf numFmtId="0" fontId="11" fillId="0" borderId="1" xfId="0" applyFont="1" applyBorder="1" applyAlignment="1">
      <alignment horizontal="left" vertical="top" wrapText="1"/>
    </xf>
    <xf numFmtId="0" fontId="7" fillId="0" borderId="10" xfId="0" applyFont="1" applyBorder="1" applyAlignment="1" applyProtection="1">
      <alignment horizontal="left"/>
      <protection locked="0"/>
    </xf>
    <xf numFmtId="0" fontId="7" fillId="0" borderId="36" xfId="0" applyFont="1" applyBorder="1" applyAlignment="1" applyProtection="1">
      <alignment horizontal="center" vertical="top"/>
      <protection locked="0"/>
    </xf>
    <xf numFmtId="0" fontId="6" fillId="14" borderId="10" xfId="0" applyFont="1" applyFill="1" applyBorder="1" applyAlignment="1">
      <alignment horizontal="center" vertical="center" readingOrder="1"/>
    </xf>
    <xf numFmtId="0" fontId="0" fillId="14" borderId="0" xfId="0" applyFill="1" applyAlignment="1">
      <alignment horizontal="center"/>
    </xf>
    <xf numFmtId="0" fontId="0" fillId="16" borderId="29" xfId="0" applyFill="1" applyBorder="1"/>
    <xf numFmtId="0" fontId="11" fillId="0" borderId="31" xfId="0" applyFont="1" applyBorder="1" applyAlignment="1" applyProtection="1">
      <alignment horizontal="center"/>
      <protection locked="0"/>
    </xf>
    <xf numFmtId="0" fontId="11" fillId="0" borderId="1" xfId="0" applyFont="1" applyBorder="1" applyAlignment="1" applyProtection="1">
      <alignment horizontal="center"/>
      <protection locked="0"/>
    </xf>
    <xf numFmtId="0" fontId="11" fillId="0" borderId="1" xfId="0" applyFont="1" applyBorder="1" applyAlignment="1" applyProtection="1">
      <alignment horizontal="left"/>
      <protection locked="0"/>
    </xf>
    <xf numFmtId="0" fontId="11" fillId="0" borderId="32" xfId="0" applyFont="1" applyBorder="1" applyAlignment="1" applyProtection="1">
      <alignment horizontal="left"/>
      <protection locked="0"/>
    </xf>
    <xf numFmtId="0" fontId="11" fillId="0" borderId="0" xfId="0" applyFont="1" applyAlignment="1" applyProtection="1">
      <alignment horizontal="left"/>
      <protection locked="0"/>
    </xf>
    <xf numFmtId="0" fontId="11" fillId="0" borderId="34" xfId="0" applyFont="1" applyBorder="1" applyAlignment="1" applyProtection="1">
      <alignment horizontal="center"/>
      <protection locked="0"/>
    </xf>
    <xf numFmtId="0" fontId="11" fillId="0" borderId="21" xfId="0" applyFont="1" applyBorder="1" applyAlignment="1" applyProtection="1">
      <alignment horizontal="center"/>
      <protection locked="0"/>
    </xf>
    <xf numFmtId="0" fontId="11" fillId="0" borderId="21" xfId="0" applyFont="1" applyBorder="1" applyAlignment="1" applyProtection="1">
      <alignment horizontal="left"/>
      <protection locked="0"/>
    </xf>
    <xf numFmtId="0" fontId="11" fillId="0" borderId="22" xfId="0" applyFont="1" applyBorder="1" applyAlignment="1" applyProtection="1">
      <alignment horizontal="left"/>
      <protection locked="0"/>
    </xf>
    <xf numFmtId="0" fontId="11" fillId="0" borderId="0" xfId="0" applyFont="1" applyAlignment="1" applyProtection="1">
      <alignment horizontal="left" wrapText="1"/>
      <protection locked="0"/>
    </xf>
    <xf numFmtId="0" fontId="0" fillId="0" borderId="29" xfId="0" applyBorder="1" applyAlignment="1">
      <alignment horizontal="center"/>
    </xf>
    <xf numFmtId="0" fontId="0" fillId="0" borderId="29" xfId="0" applyBorder="1" applyProtection="1">
      <protection locked="0"/>
    </xf>
    <xf numFmtId="0" fontId="0" fillId="0" borderId="29" xfId="0" applyBorder="1" applyAlignment="1">
      <alignment horizontal="center" vertical="center"/>
    </xf>
    <xf numFmtId="14" fontId="0" fillId="0" borderId="29" xfId="0" applyNumberFormat="1" applyBorder="1" applyAlignment="1">
      <alignment horizontal="center" vertical="center"/>
    </xf>
    <xf numFmtId="0" fontId="0" fillId="0" borderId="29" xfId="0" applyBorder="1" applyAlignment="1">
      <alignment horizontal="center" vertical="center" wrapText="1"/>
    </xf>
    <xf numFmtId="0" fontId="14" fillId="17" borderId="29" xfId="0" applyFont="1" applyFill="1" applyBorder="1" applyAlignment="1">
      <alignment horizontal="center" vertical="center"/>
    </xf>
    <xf numFmtId="0" fontId="14" fillId="18" borderId="29" xfId="0" applyFont="1" applyFill="1" applyBorder="1" applyAlignment="1">
      <alignment horizontal="center" vertical="center"/>
    </xf>
    <xf numFmtId="0" fontId="15" fillId="4" borderId="29" xfId="0" applyFont="1" applyFill="1" applyBorder="1" applyAlignment="1">
      <alignment horizontal="center" vertical="top" wrapText="1"/>
    </xf>
    <xf numFmtId="0" fontId="15" fillId="4" borderId="29" xfId="0" applyFont="1" applyFill="1" applyBorder="1" applyAlignment="1">
      <alignment vertical="top"/>
    </xf>
    <xf numFmtId="0" fontId="15" fillId="19" borderId="29" xfId="0" applyFont="1" applyFill="1" applyBorder="1" applyAlignment="1">
      <alignment horizontal="center" vertical="top" wrapText="1"/>
    </xf>
    <xf numFmtId="0" fontId="15" fillId="4" borderId="29" xfId="0" applyFont="1" applyFill="1" applyBorder="1" applyAlignment="1">
      <alignment horizontal="center" vertical="top"/>
    </xf>
    <xf numFmtId="0" fontId="16" fillId="0" borderId="29" xfId="0" applyFont="1" applyBorder="1" applyAlignment="1">
      <alignment vertical="top"/>
    </xf>
    <xf numFmtId="0" fontId="0" fillId="15" borderId="29" xfId="0" applyFill="1" applyBorder="1"/>
    <xf numFmtId="0" fontId="0" fillId="0" borderId="29" xfId="0" applyBorder="1" applyAlignment="1">
      <alignment horizontal="left"/>
    </xf>
    <xf numFmtId="14" fontId="0" fillId="0" borderId="29" xfId="0" applyNumberFormat="1" applyBorder="1"/>
    <xf numFmtId="0" fontId="16" fillId="20" borderId="29" xfId="0" applyFont="1" applyFill="1" applyBorder="1" applyAlignment="1">
      <alignment vertical="top"/>
    </xf>
    <xf numFmtId="0" fontId="0" fillId="16" borderId="29" xfId="0" applyFill="1" applyBorder="1" applyProtection="1">
      <protection locked="0"/>
    </xf>
    <xf numFmtId="0" fontId="15" fillId="4" borderId="29" xfId="0" applyFont="1" applyFill="1" applyBorder="1" applyAlignment="1" applyProtection="1">
      <alignment horizontal="center" vertical="top" wrapText="1"/>
      <protection locked="0"/>
    </xf>
    <xf numFmtId="0" fontId="8" fillId="12" borderId="17" xfId="0" applyFont="1" applyFill="1" applyBorder="1" applyAlignment="1">
      <alignment horizontal="left" vertical="center" wrapText="1"/>
    </xf>
    <xf numFmtId="0" fontId="11" fillId="0" borderId="29" xfId="0" applyFont="1" applyBorder="1" applyAlignment="1" applyProtection="1">
      <alignment horizontal="left"/>
      <protection locked="0"/>
    </xf>
    <xf numFmtId="0" fontId="13" fillId="0" borderId="1" xfId="0" applyFont="1" applyBorder="1" applyAlignment="1" applyProtection="1">
      <alignment horizontal="left"/>
      <protection locked="0"/>
    </xf>
    <xf numFmtId="0" fontId="6" fillId="14" borderId="1" xfId="0" applyFont="1" applyFill="1" applyBorder="1" applyAlignment="1">
      <alignment horizontal="left" readingOrder="1"/>
    </xf>
    <xf numFmtId="0" fontId="6" fillId="14" borderId="37" xfId="0" applyFont="1" applyFill="1" applyBorder="1" applyAlignment="1">
      <alignment horizontal="left" readingOrder="1"/>
    </xf>
    <xf numFmtId="0" fontId="0" fillId="14" borderId="0" xfId="0" applyFill="1" applyAlignment="1">
      <alignment horizontal="left"/>
    </xf>
    <xf numFmtId="0" fontId="1" fillId="0" borderId="0" xfId="0" applyFont="1" applyAlignment="1" applyProtection="1">
      <alignment vertical="center"/>
      <protection locked="0"/>
    </xf>
    <xf numFmtId="0" fontId="5" fillId="21" borderId="24" xfId="0" applyFont="1" applyFill="1" applyBorder="1" applyAlignment="1" applyProtection="1">
      <alignment vertical="center"/>
      <protection locked="0"/>
    </xf>
    <xf numFmtId="0" fontId="5" fillId="21" borderId="23" xfId="0" applyFont="1" applyFill="1" applyBorder="1" applyAlignment="1" applyProtection="1">
      <alignment horizontal="center" vertical="center"/>
      <protection locked="0"/>
    </xf>
    <xf numFmtId="0" fontId="5" fillId="22" borderId="38" xfId="0" applyFont="1" applyFill="1" applyBorder="1" applyAlignment="1" applyProtection="1">
      <alignment horizontal="center" vertical="center"/>
      <protection locked="0"/>
    </xf>
    <xf numFmtId="0" fontId="7" fillId="0" borderId="10" xfId="0" applyFont="1" applyBorder="1" applyProtection="1">
      <protection locked="0"/>
    </xf>
    <xf numFmtId="0" fontId="0" fillId="0" borderId="35" xfId="0" applyBorder="1" applyAlignment="1">
      <alignment horizontal="center"/>
    </xf>
    <xf numFmtId="0" fontId="5" fillId="22" borderId="38" xfId="0" applyFont="1" applyFill="1" applyBorder="1" applyAlignment="1" applyProtection="1">
      <alignment horizontal="left" vertical="center"/>
      <protection locked="0"/>
    </xf>
    <xf numFmtId="0" fontId="0" fillId="0" borderId="38" xfId="0" applyBorder="1" applyAlignment="1" applyProtection="1">
      <alignment horizontal="center"/>
      <protection locked="0"/>
    </xf>
    <xf numFmtId="0" fontId="0" fillId="14" borderId="38" xfId="0" applyFill="1" applyBorder="1" applyAlignment="1" applyProtection="1">
      <alignment horizontal="center"/>
      <protection locked="0"/>
    </xf>
    <xf numFmtId="0" fontId="6" fillId="14" borderId="10" xfId="0" applyFont="1" applyFill="1" applyBorder="1" applyAlignment="1">
      <alignment horizontal="left" readingOrder="1"/>
    </xf>
    <xf numFmtId="0" fontId="7" fillId="14" borderId="1" xfId="0" applyFont="1" applyFill="1" applyBorder="1" applyAlignment="1">
      <alignment horizontal="left"/>
    </xf>
    <xf numFmtId="0" fontId="0" fillId="0" borderId="35" xfId="0" applyBorder="1" applyAlignment="1">
      <alignment horizontal="left"/>
    </xf>
    <xf numFmtId="0" fontId="19" fillId="9" borderId="35" xfId="0" applyFont="1" applyFill="1" applyBorder="1" applyAlignment="1">
      <alignment horizontal="left"/>
    </xf>
    <xf numFmtId="14" fontId="19" fillId="9" borderId="35" xfId="0" applyNumberFormat="1" applyFont="1" applyFill="1" applyBorder="1" applyAlignment="1">
      <alignment horizontal="left"/>
    </xf>
    <xf numFmtId="14" fontId="0" fillId="0" borderId="35" xfId="0" applyNumberFormat="1" applyBorder="1" applyAlignment="1">
      <alignment horizontal="left"/>
    </xf>
    <xf numFmtId="0" fontId="0" fillId="13" borderId="35" xfId="0" applyFill="1" applyBorder="1" applyAlignment="1">
      <alignment horizontal="left"/>
    </xf>
    <xf numFmtId="0" fontId="18" fillId="0" borderId="0" xfId="0" applyFont="1" applyAlignment="1">
      <alignment horizontal="left"/>
    </xf>
    <xf numFmtId="167" fontId="0" fillId="0" borderId="38" xfId="0" applyNumberFormat="1" applyBorder="1" applyAlignment="1" applyProtection="1">
      <alignment horizontal="center"/>
      <protection locked="0"/>
    </xf>
    <xf numFmtId="167" fontId="0" fillId="0" borderId="0" xfId="0" applyNumberFormat="1" applyAlignment="1" applyProtection="1">
      <alignment horizontal="center"/>
      <protection locked="0"/>
    </xf>
    <xf numFmtId="49" fontId="0" fillId="0" borderId="38" xfId="0" applyNumberFormat="1" applyBorder="1" applyAlignment="1" applyProtection="1">
      <alignment horizontal="center"/>
      <protection locked="0"/>
    </xf>
    <xf numFmtId="49" fontId="0" fillId="0" borderId="0" xfId="0" applyNumberFormat="1" applyAlignment="1" applyProtection="1">
      <alignment horizontal="center"/>
      <protection locked="0"/>
    </xf>
    <xf numFmtId="0" fontId="0" fillId="23" borderId="38" xfId="0" applyFill="1" applyBorder="1" applyAlignment="1">
      <alignment horizontal="center"/>
    </xf>
    <xf numFmtId="0" fontId="0" fillId="23" borderId="0" xfId="0" applyFill="1" applyAlignment="1">
      <alignment horizontal="center"/>
    </xf>
    <xf numFmtId="0" fontId="0" fillId="10" borderId="38" xfId="0" applyFill="1" applyBorder="1" applyAlignment="1" applyProtection="1">
      <alignment horizontal="center"/>
      <protection locked="0"/>
    </xf>
    <xf numFmtId="0" fontId="0" fillId="10" borderId="0" xfId="0" applyFill="1" applyAlignment="1" applyProtection="1">
      <alignment horizontal="center"/>
      <protection locked="0"/>
    </xf>
    <xf numFmtId="0" fontId="17" fillId="0" borderId="0" xfId="0" applyFont="1"/>
    <xf numFmtId="0" fontId="21" fillId="0" borderId="0" xfId="0" applyFont="1"/>
    <xf numFmtId="0" fontId="6" fillId="14" borderId="10" xfId="0" applyFont="1" applyFill="1" applyBorder="1" applyAlignment="1">
      <alignment horizontal="left" vertical="center" readingOrder="1"/>
    </xf>
    <xf numFmtId="0" fontId="20" fillId="14" borderId="10" xfId="1" applyFill="1" applyBorder="1" applyAlignment="1">
      <alignment horizontal="left" vertical="center" readingOrder="1"/>
    </xf>
    <xf numFmtId="0" fontId="6" fillId="14" borderId="35" xfId="0" applyFont="1" applyFill="1" applyBorder="1" applyAlignment="1">
      <alignment horizontal="left" readingOrder="1"/>
    </xf>
    <xf numFmtId="0" fontId="6" fillId="14" borderId="39" xfId="0" applyFont="1" applyFill="1" applyBorder="1" applyAlignment="1">
      <alignment horizontal="center" vertical="center" readingOrder="1"/>
    </xf>
    <xf numFmtId="0" fontId="0" fillId="0" borderId="42" xfId="0" applyBorder="1" applyAlignment="1">
      <alignment horizontal="left"/>
    </xf>
    <xf numFmtId="0" fontId="0" fillId="0" borderId="1" xfId="0" applyBorder="1" applyAlignment="1">
      <alignment horizontal="left"/>
    </xf>
    <xf numFmtId="0" fontId="6" fillId="14" borderId="41" xfId="0" applyFont="1" applyFill="1" applyBorder="1" applyAlignment="1">
      <alignment horizontal="left" readingOrder="1"/>
    </xf>
    <xf numFmtId="0" fontId="7" fillId="14" borderId="35" xfId="0" applyFont="1" applyFill="1" applyBorder="1" applyAlignment="1">
      <alignment horizontal="left"/>
    </xf>
    <xf numFmtId="0" fontId="17" fillId="0" borderId="1" xfId="0" applyFont="1" applyBorder="1" applyAlignment="1">
      <alignment horizontal="left"/>
    </xf>
    <xf numFmtId="0" fontId="0" fillId="0" borderId="10" xfId="0" applyBorder="1" applyAlignment="1">
      <alignment horizontal="center"/>
    </xf>
    <xf numFmtId="0" fontId="6" fillId="14" borderId="35" xfId="0" applyFont="1" applyFill="1" applyBorder="1" applyAlignment="1">
      <alignment horizontal="center" vertical="center" readingOrder="1"/>
    </xf>
    <xf numFmtId="0" fontId="18" fillId="0" borderId="10" xfId="0" applyFont="1" applyBorder="1" applyAlignment="1">
      <alignment horizontal="center"/>
    </xf>
    <xf numFmtId="0" fontId="6" fillId="14" borderId="0" xfId="0" applyFont="1" applyFill="1" applyAlignment="1">
      <alignment horizontal="left" readingOrder="1"/>
    </xf>
    <xf numFmtId="0" fontId="6" fillId="14" borderId="0" xfId="0" applyFont="1" applyFill="1" applyAlignment="1">
      <alignment horizontal="center" vertical="center" readingOrder="1"/>
    </xf>
    <xf numFmtId="0" fontId="6" fillId="14" borderId="40" xfId="0" applyFont="1" applyFill="1" applyBorder="1" applyAlignment="1">
      <alignment horizontal="center" vertical="center" readingOrder="1"/>
    </xf>
    <xf numFmtId="0" fontId="5" fillId="24" borderId="38" xfId="0" applyFont="1" applyFill="1" applyBorder="1" applyAlignment="1" applyProtection="1">
      <alignment horizontal="center" vertical="center" wrapText="1"/>
      <protection locked="0"/>
    </xf>
    <xf numFmtId="49" fontId="5" fillId="25" borderId="38" xfId="0" applyNumberFormat="1" applyFont="1" applyFill="1" applyBorder="1" applyAlignment="1" applyProtection="1">
      <alignment horizontal="center" vertical="center" wrapText="1"/>
      <protection locked="0"/>
    </xf>
    <xf numFmtId="166" fontId="5" fillId="25" borderId="38" xfId="0" applyNumberFormat="1" applyFont="1" applyFill="1" applyBorder="1" applyAlignment="1" applyProtection="1">
      <alignment horizontal="center" vertical="center" wrapText="1"/>
      <protection locked="0"/>
    </xf>
    <xf numFmtId="0" fontId="5" fillId="26" borderId="38" xfId="0" applyFont="1" applyFill="1" applyBorder="1" applyAlignment="1">
      <alignment horizontal="center" vertical="center" wrapText="1"/>
    </xf>
    <xf numFmtId="0" fontId="22" fillId="27" borderId="24" xfId="0" applyFont="1" applyFill="1" applyBorder="1" applyProtection="1">
      <protection locked="0"/>
    </xf>
    <xf numFmtId="0" fontId="22" fillId="27" borderId="43" xfId="0" applyFont="1" applyFill="1" applyBorder="1" applyProtection="1">
      <protection locked="0"/>
    </xf>
    <xf numFmtId="0" fontId="23" fillId="0" borderId="10" xfId="0" applyFont="1" applyBorder="1" applyProtection="1">
      <protection locked="0"/>
    </xf>
    <xf numFmtId="0" fontId="23" fillId="0" borderId="39" xfId="0" applyFont="1" applyBorder="1" applyProtection="1">
      <protection locked="0"/>
    </xf>
    <xf numFmtId="0" fontId="24" fillId="0" borderId="29" xfId="0" applyFont="1" applyBorder="1" applyProtection="1">
      <protection locked="0"/>
    </xf>
    <xf numFmtId="0" fontId="24" fillId="0" borderId="44" xfId="0" applyFont="1" applyBorder="1" applyProtection="1">
      <protection locked="0"/>
    </xf>
    <xf numFmtId="0" fontId="25" fillId="14" borderId="1" xfId="0" applyFont="1" applyFill="1" applyBorder="1" applyAlignment="1">
      <alignment horizontal="left" readingOrder="1"/>
    </xf>
    <xf numFmtId="0" fontId="25" fillId="14" borderId="1" xfId="0" applyFont="1" applyFill="1" applyBorder="1" applyAlignment="1">
      <alignment horizontal="left"/>
    </xf>
    <xf numFmtId="0" fontId="25" fillId="14" borderId="10" xfId="0" applyFont="1" applyFill="1" applyBorder="1" applyAlignment="1">
      <alignment horizontal="left" readingOrder="1"/>
    </xf>
    <xf numFmtId="0" fontId="25" fillId="14" borderId="37" xfId="0" applyFont="1" applyFill="1" applyBorder="1" applyAlignment="1">
      <alignment horizontal="left"/>
    </xf>
    <xf numFmtId="0" fontId="25" fillId="14" borderId="35" xfId="0" applyFont="1" applyFill="1" applyBorder="1" applyAlignment="1">
      <alignment horizontal="left" readingOrder="1"/>
    </xf>
    <xf numFmtId="0" fontId="6" fillId="13" borderId="1" xfId="0" applyFont="1" applyFill="1" applyBorder="1" applyAlignment="1">
      <alignment horizontal="left" readingOrder="1"/>
    </xf>
    <xf numFmtId="0" fontId="6" fillId="13" borderId="10" xfId="0" applyFont="1" applyFill="1" applyBorder="1" applyAlignment="1">
      <alignment horizontal="left" readingOrder="1"/>
    </xf>
    <xf numFmtId="0" fontId="25" fillId="0" borderId="1" xfId="0" applyFont="1" applyBorder="1" applyAlignment="1">
      <alignment horizontal="left" readingOrder="1"/>
    </xf>
    <xf numFmtId="0" fontId="6" fillId="13" borderId="37" xfId="0" applyFont="1" applyFill="1" applyBorder="1" applyAlignment="1">
      <alignment horizontal="left" readingOrder="1"/>
    </xf>
    <xf numFmtId="0" fontId="0" fillId="13" borderId="1" xfId="0" applyFill="1" applyBorder="1" applyAlignment="1">
      <alignment horizontal="left"/>
    </xf>
    <xf numFmtId="0" fontId="6" fillId="0" borderId="1" xfId="0" applyFont="1" applyBorder="1" applyAlignment="1">
      <alignment horizontal="left" readingOrder="1"/>
    </xf>
    <xf numFmtId="0" fontId="7" fillId="13" borderId="1" xfId="0" applyFont="1" applyFill="1" applyBorder="1" applyAlignment="1">
      <alignment horizontal="left"/>
    </xf>
    <xf numFmtId="0" fontId="7" fillId="0" borderId="0" xfId="0" applyFont="1" applyAlignment="1" applyProtection="1">
      <alignment horizontal="left"/>
      <protection locked="0"/>
    </xf>
    <xf numFmtId="0" fontId="12" fillId="11" borderId="0" xfId="0" applyFont="1" applyFill="1" applyAlignment="1">
      <alignment horizontal="center"/>
    </xf>
    <xf numFmtId="0" fontId="1" fillId="5" borderId="26" xfId="0" applyFont="1" applyFill="1" applyBorder="1" applyAlignment="1">
      <alignment horizontal="center"/>
    </xf>
    <xf numFmtId="0" fontId="1" fillId="5" borderId="27" xfId="0" applyFont="1" applyFill="1" applyBorder="1" applyAlignment="1">
      <alignment horizontal="center"/>
    </xf>
    <xf numFmtId="0" fontId="1" fillId="5" borderId="28" xfId="0" applyFont="1" applyFill="1" applyBorder="1" applyAlignment="1">
      <alignment horizontal="center"/>
    </xf>
    <xf numFmtId="0" fontId="1" fillId="6" borderId="26" xfId="0" applyFont="1" applyFill="1" applyBorder="1" applyAlignment="1">
      <alignment horizontal="center"/>
    </xf>
    <xf numFmtId="0" fontId="1" fillId="6" borderId="27" xfId="0" applyFont="1" applyFill="1" applyBorder="1" applyAlignment="1">
      <alignment horizontal="center"/>
    </xf>
    <xf numFmtId="0" fontId="1" fillId="6" borderId="28" xfId="0" applyFont="1" applyFill="1" applyBorder="1" applyAlignment="1">
      <alignment horizontal="center"/>
    </xf>
    <xf numFmtId="0" fontId="1" fillId="7" borderId="7" xfId="0" applyFont="1" applyFill="1" applyBorder="1" applyAlignment="1">
      <alignment horizontal="center"/>
    </xf>
    <xf numFmtId="0" fontId="1" fillId="7" borderId="8" xfId="0" applyFont="1" applyFill="1" applyBorder="1" applyAlignment="1">
      <alignment horizontal="center"/>
    </xf>
    <xf numFmtId="0" fontId="1" fillId="7" borderId="27" xfId="0" applyFont="1" applyFill="1" applyBorder="1" applyAlignment="1">
      <alignment horizontal="center"/>
    </xf>
    <xf numFmtId="0" fontId="1" fillId="7" borderId="28" xfId="0" applyFont="1" applyFill="1" applyBorder="1" applyAlignment="1">
      <alignment horizontal="center"/>
    </xf>
    <xf numFmtId="0" fontId="0" fillId="0" borderId="15" xfId="0" applyBorder="1" applyAlignment="1">
      <alignment horizontal="center" vertical="center"/>
    </xf>
    <xf numFmtId="0" fontId="0" fillId="0" borderId="19" xfId="0" applyBorder="1" applyAlignment="1">
      <alignment horizontal="center" vertical="center"/>
    </xf>
    <xf numFmtId="0" fontId="2" fillId="0" borderId="16" xfId="0" applyFont="1" applyBorder="1" applyAlignment="1">
      <alignment vertical="center" wrapText="1"/>
    </xf>
    <xf numFmtId="0" fontId="2" fillId="0" borderId="20" xfId="0" applyFont="1" applyBorder="1" applyAlignment="1">
      <alignment vertical="center" wrapText="1"/>
    </xf>
    <xf numFmtId="165" fontId="2" fillId="2" borderId="16" xfId="0" applyNumberFormat="1" applyFont="1" applyFill="1" applyBorder="1" applyAlignment="1">
      <alignment horizontal="center" vertical="center"/>
    </xf>
    <xf numFmtId="165" fontId="2" fillId="2" borderId="20" xfId="0" applyNumberFormat="1" applyFont="1" applyFill="1" applyBorder="1" applyAlignment="1">
      <alignment horizontal="center" vertical="center"/>
    </xf>
    <xf numFmtId="0" fontId="2" fillId="0" borderId="16" xfId="0" applyFont="1" applyBorder="1" applyAlignment="1">
      <alignment horizontal="left" vertical="center" wrapText="1"/>
    </xf>
    <xf numFmtId="0" fontId="2" fillId="0" borderId="20" xfId="0" applyFont="1" applyBorder="1" applyAlignment="1">
      <alignment horizontal="left" vertical="center" wrapText="1"/>
    </xf>
    <xf numFmtId="0" fontId="2" fillId="0" borderId="16" xfId="0" applyFont="1" applyBorder="1" applyAlignment="1">
      <alignment horizontal="center" vertical="center"/>
    </xf>
    <xf numFmtId="0" fontId="2" fillId="0" borderId="20" xfId="0" applyFont="1" applyBorder="1" applyAlignment="1">
      <alignment horizontal="center" vertical="center"/>
    </xf>
    <xf numFmtId="0" fontId="2" fillId="0" borderId="16" xfId="0" applyFont="1" applyBorder="1" applyAlignment="1">
      <alignment horizontal="center" vertical="center" wrapText="1"/>
    </xf>
    <xf numFmtId="0" fontId="2" fillId="0" borderId="20" xfId="0" applyFont="1" applyBorder="1" applyAlignment="1">
      <alignment horizontal="center" vertical="center" wrapText="1"/>
    </xf>
    <xf numFmtId="164" fontId="2" fillId="0" borderId="16" xfId="0" applyNumberFormat="1" applyFont="1" applyBorder="1" applyAlignment="1">
      <alignment horizontal="left" vertical="center" wrapText="1"/>
    </xf>
    <xf numFmtId="164" fontId="2" fillId="0" borderId="20" xfId="0" applyNumberFormat="1" applyFont="1" applyBorder="1" applyAlignment="1">
      <alignment horizontal="left" vertical="center" wrapText="1"/>
    </xf>
  </cellXfs>
  <cellStyles count="2">
    <cellStyle name="Hyperlink" xfId="1" builtinId="8"/>
    <cellStyle name="Normal" xfId="0" builtinId="0"/>
  </cellStyles>
  <dxfs count="10">
    <dxf>
      <font>
        <color rgb="FF9C0006"/>
      </font>
      <fill>
        <patternFill>
          <bgColor rgb="FFFFC7CE"/>
        </patternFill>
      </fill>
    </dxf>
    <dxf>
      <font>
        <color theme="1"/>
      </font>
      <fill>
        <patternFill>
          <bgColor theme="2" tint="-9.9948118533890809E-2"/>
        </patternFill>
      </fill>
    </dxf>
    <dxf>
      <font>
        <color theme="1"/>
      </font>
      <fill>
        <patternFill>
          <bgColor theme="7" tint="0.59996337778862885"/>
        </patternFill>
      </fill>
    </dxf>
    <dxf>
      <font>
        <color theme="1"/>
      </font>
      <fill>
        <patternFill>
          <bgColor theme="9" tint="0.39994506668294322"/>
        </patternFill>
      </fill>
    </dxf>
    <dxf>
      <font>
        <color theme="1"/>
      </font>
      <fill>
        <patternFill>
          <bgColor theme="2" tint="-9.9948118533890809E-2"/>
        </patternFill>
      </fill>
    </dxf>
    <dxf>
      <font>
        <color theme="1"/>
      </font>
      <fill>
        <patternFill>
          <bgColor theme="7" tint="0.59996337778862885"/>
        </patternFill>
      </fill>
    </dxf>
    <dxf>
      <font>
        <color theme="1"/>
      </font>
      <fill>
        <patternFill>
          <bgColor theme="9" tint="0.39994506668294322"/>
        </patternFill>
      </fill>
    </dxf>
    <dxf>
      <font>
        <b/>
        <i val="0"/>
        <color theme="0" tint="-0.499984740745262"/>
      </font>
      <fill>
        <patternFill patternType="none">
          <bgColor auto="1"/>
        </patternFill>
      </fill>
    </dxf>
    <dxf>
      <font>
        <b/>
        <i val="0"/>
        <color theme="7" tint="-0.24994659260841701"/>
      </font>
      <fill>
        <patternFill patternType="none">
          <bgColor auto="1"/>
        </patternFill>
      </fill>
    </dxf>
    <dxf>
      <font>
        <color theme="5" tint="-0.24994659260841701"/>
      </font>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1</xdr:col>
      <xdr:colOff>238125</xdr:colOff>
      <xdr:row>0</xdr:row>
      <xdr:rowOff>85725</xdr:rowOff>
    </xdr:from>
    <xdr:to>
      <xdr:col>2</xdr:col>
      <xdr:colOff>1390650</xdr:colOff>
      <xdr:row>2</xdr:row>
      <xdr:rowOff>28575</xdr:rowOff>
    </xdr:to>
    <xdr:sp macro="[0]!Sheet16.CombineCandidateSOWDetails" textlink="">
      <xdr:nvSpPr>
        <xdr:cNvPr id="2" name="Rectangle: Rounded Corners 1">
          <a:extLst>
            <a:ext uri="{FF2B5EF4-FFF2-40B4-BE49-F238E27FC236}">
              <a16:creationId xmlns:a16="http://schemas.microsoft.com/office/drawing/2014/main" id="{FE23EEF1-9B50-AEC2-A419-8655B96BC82E}"/>
            </a:ext>
          </a:extLst>
        </xdr:cNvPr>
        <xdr:cNvSpPr/>
      </xdr:nvSpPr>
      <xdr:spPr>
        <a:xfrm>
          <a:off x="847725" y="85725"/>
          <a:ext cx="1457325" cy="304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CLICK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406399</xdr:colOff>
      <xdr:row>0</xdr:row>
      <xdr:rowOff>165099</xdr:rowOff>
    </xdr:from>
    <xdr:to>
      <xdr:col>2</xdr:col>
      <xdr:colOff>1091534</xdr:colOff>
      <xdr:row>3</xdr:row>
      <xdr:rowOff>54609</xdr:rowOff>
    </xdr:to>
    <xdr:sp macro="[0]!GetAvailableCandidates" textlink="">
      <xdr:nvSpPr>
        <xdr:cNvPr id="2" name="Rectangle: Rounded Corners 1">
          <a:extLst>
            <a:ext uri="{FF2B5EF4-FFF2-40B4-BE49-F238E27FC236}">
              <a16:creationId xmlns:a16="http://schemas.microsoft.com/office/drawing/2014/main" id="{466DF517-DA3F-B173-6813-EACCE5749597}"/>
            </a:ext>
          </a:extLst>
        </xdr:cNvPr>
        <xdr:cNvSpPr/>
      </xdr:nvSpPr>
      <xdr:spPr>
        <a:xfrm>
          <a:off x="406399" y="165099"/>
          <a:ext cx="1554480" cy="365760"/>
        </a:xfrm>
        <a:prstGeom prst="roundRect">
          <a:avLst/>
        </a:prstGeom>
        <a:solidFill>
          <a:schemeClr val="accent1">
            <a:lumMod val="50000"/>
          </a:schemeClr>
        </a:solidFill>
        <a:ln>
          <a:solidFill>
            <a:schemeClr val="bg1"/>
          </a:solidFill>
        </a:ln>
        <a:effectLst>
          <a:innerShdw blurRad="63500" dist="50800" dir="5400000">
            <a:schemeClr val="bg1">
              <a:alpha val="50000"/>
            </a:scheme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Click REFRESH Button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hyperlink" Target="mailto:KrishnaChaitanya.Srinivasula@rockwellautomation.com" TargetMode="External"/><Relationship Id="rId2" Type="http://schemas.openxmlformats.org/officeDocument/2006/relationships/hyperlink" Target="mailto:Prabhakaran.Dhanasekarapandian@rockwellautomation.com" TargetMode="External"/><Relationship Id="rId1" Type="http://schemas.openxmlformats.org/officeDocument/2006/relationships/hyperlink" Target="mailto:MahammadShaikShabhad.Peddadevara@rockwellautomation.com"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DCED5-A3FD-4E4E-941D-A446123B02B9}">
  <sheetPr codeName="Sheet4"/>
  <dimension ref="A1:H143"/>
  <sheetViews>
    <sheetView showGridLines="0" zoomScale="71" zoomScaleNormal="70" workbookViewId="0">
      <pane ySplit="4" topLeftCell="A5" activePane="bottomLeft" state="frozen"/>
      <selection pane="bottomLeft" activeCell="E13" sqref="E13"/>
    </sheetView>
  </sheetViews>
  <sheetFormatPr defaultColWidth="8.54296875" defaultRowHeight="13" x14ac:dyDescent="0.3"/>
  <cols>
    <col min="1" max="2" width="5" style="80" customWidth="1"/>
    <col min="3" max="3" width="6.1796875" style="81" customWidth="1"/>
    <col min="4" max="4" width="9.1796875" style="81" bestFit="1" customWidth="1"/>
    <col min="5" max="5" width="53.453125" style="82" customWidth="1"/>
    <col min="6" max="6" width="52.81640625" style="82" hidden="1" customWidth="1"/>
    <col min="7" max="7" width="58.453125" style="82" bestFit="1" customWidth="1"/>
    <col min="8" max="8" width="54.81640625" style="82" customWidth="1"/>
    <col min="9" max="16384" width="8.54296875" style="80"/>
  </cols>
  <sheetData>
    <row r="1" spans="1:8" ht="7.5" customHeight="1" x14ac:dyDescent="0.3"/>
    <row r="2" spans="1:8" s="83" customFormat="1" x14ac:dyDescent="0.3">
      <c r="A2" s="209" t="s">
        <v>0</v>
      </c>
      <c r="B2" s="209"/>
      <c r="C2" s="209"/>
      <c r="D2" s="209"/>
      <c r="E2" s="209"/>
      <c r="F2" s="209"/>
      <c r="G2" s="209"/>
      <c r="H2" s="209"/>
    </row>
    <row r="3" spans="1:8" ht="6" customHeight="1" thickBot="1" x14ac:dyDescent="0.35"/>
    <row r="4" spans="1:8" s="81" customFormat="1" x14ac:dyDescent="0.3">
      <c r="C4" s="85" t="s">
        <v>1</v>
      </c>
      <c r="D4" s="100" t="s">
        <v>2</v>
      </c>
      <c r="E4" s="138" t="s">
        <v>3</v>
      </c>
      <c r="F4" s="86" t="s">
        <v>4</v>
      </c>
      <c r="G4" s="86" t="s">
        <v>5</v>
      </c>
      <c r="H4" s="87" t="s">
        <v>6</v>
      </c>
    </row>
    <row r="5" spans="1:8" s="81" customFormat="1" ht="14.5" customHeight="1" x14ac:dyDescent="0.3">
      <c r="C5" s="88">
        <v>1</v>
      </c>
      <c r="D5" s="89">
        <v>1</v>
      </c>
      <c r="E5" s="90" t="s">
        <v>7</v>
      </c>
      <c r="F5" s="90" t="s">
        <v>7</v>
      </c>
      <c r="G5" s="79" t="s">
        <v>8</v>
      </c>
      <c r="H5" s="91" t="s">
        <v>9</v>
      </c>
    </row>
    <row r="6" spans="1:8" ht="12.75" customHeight="1" x14ac:dyDescent="0.3">
      <c r="C6" s="88">
        <v>2</v>
      </c>
      <c r="D6" s="89">
        <v>2</v>
      </c>
      <c r="E6" s="90" t="s">
        <v>10</v>
      </c>
      <c r="F6" s="90" t="s">
        <v>10</v>
      </c>
      <c r="G6" s="4" t="s">
        <v>11</v>
      </c>
      <c r="H6" s="91" t="s">
        <v>12</v>
      </c>
    </row>
    <row r="7" spans="1:8" ht="10.5" customHeight="1" x14ac:dyDescent="0.3">
      <c r="C7" s="88">
        <v>3</v>
      </c>
      <c r="D7" s="89">
        <v>3</v>
      </c>
      <c r="E7" s="101" t="s">
        <v>13</v>
      </c>
      <c r="F7" s="90" t="s">
        <v>14</v>
      </c>
      <c r="G7" s="4" t="s">
        <v>15</v>
      </c>
      <c r="H7" s="91" t="s">
        <v>16</v>
      </c>
    </row>
    <row r="8" spans="1:8" ht="14.5" customHeight="1" x14ac:dyDescent="0.3">
      <c r="C8" s="88">
        <v>4</v>
      </c>
      <c r="D8" s="89">
        <v>4</v>
      </c>
      <c r="E8" s="90" t="s">
        <v>17</v>
      </c>
      <c r="F8" s="90" t="s">
        <v>17</v>
      </c>
      <c r="G8" s="4" t="s">
        <v>18</v>
      </c>
      <c r="H8" s="91" t="s">
        <v>19</v>
      </c>
    </row>
    <row r="9" spans="1:8" ht="14.5" customHeight="1" x14ac:dyDescent="0.3">
      <c r="C9" s="88">
        <v>5</v>
      </c>
      <c r="D9" s="93">
        <v>5</v>
      </c>
      <c r="E9" s="94" t="s">
        <v>20</v>
      </c>
      <c r="F9" s="94" t="s">
        <v>20</v>
      </c>
      <c r="G9" s="4" t="s">
        <v>21</v>
      </c>
      <c r="H9" s="91" t="s">
        <v>22</v>
      </c>
    </row>
    <row r="10" spans="1:8" ht="14.5" customHeight="1" x14ac:dyDescent="0.3">
      <c r="C10" s="88">
        <v>6</v>
      </c>
      <c r="D10" s="93">
        <v>6</v>
      </c>
      <c r="E10" s="94" t="s">
        <v>23</v>
      </c>
      <c r="F10" s="94" t="s">
        <v>23</v>
      </c>
      <c r="G10" s="94" t="s">
        <v>24</v>
      </c>
      <c r="H10" s="95" t="s">
        <v>25</v>
      </c>
    </row>
    <row r="11" spans="1:8" ht="14.5" customHeight="1" x14ac:dyDescent="0.3">
      <c r="C11" s="88">
        <v>7</v>
      </c>
      <c r="D11" s="93">
        <v>7</v>
      </c>
      <c r="E11" s="94" t="s">
        <v>26</v>
      </c>
      <c r="F11" s="94" t="s">
        <v>26</v>
      </c>
      <c r="G11" s="94" t="s">
        <v>27</v>
      </c>
      <c r="H11" s="95" t="s">
        <v>28</v>
      </c>
    </row>
    <row r="12" spans="1:8" ht="14.5" customHeight="1" x14ac:dyDescent="0.3">
      <c r="C12" s="88">
        <v>8</v>
      </c>
      <c r="D12" s="93">
        <v>8</v>
      </c>
      <c r="E12" s="94" t="s">
        <v>29</v>
      </c>
      <c r="F12" s="94" t="s">
        <v>29</v>
      </c>
      <c r="G12" s="94"/>
      <c r="H12" s="95" t="s">
        <v>30</v>
      </c>
    </row>
    <row r="13" spans="1:8" ht="14.5" customHeight="1" x14ac:dyDescent="0.3">
      <c r="C13" s="88">
        <v>9</v>
      </c>
      <c r="D13" s="93">
        <v>9</v>
      </c>
      <c r="E13" s="96" t="s">
        <v>31</v>
      </c>
      <c r="F13" s="96" t="s">
        <v>31</v>
      </c>
      <c r="G13" s="97" t="s">
        <v>32</v>
      </c>
      <c r="H13" s="84" t="s">
        <v>32</v>
      </c>
    </row>
    <row r="14" spans="1:8" ht="14.5" customHeight="1" x14ac:dyDescent="0.3">
      <c r="C14" s="88">
        <v>10</v>
      </c>
      <c r="D14" s="93">
        <v>13</v>
      </c>
      <c r="E14" s="96" t="s">
        <v>33</v>
      </c>
      <c r="F14" s="96" t="s">
        <v>33</v>
      </c>
      <c r="G14" s="97" t="s">
        <v>32</v>
      </c>
      <c r="H14" s="84" t="s">
        <v>32</v>
      </c>
    </row>
    <row r="15" spans="1:8" ht="14.5" customHeight="1" x14ac:dyDescent="0.3">
      <c r="C15" s="88">
        <v>11</v>
      </c>
      <c r="D15" s="93">
        <v>14</v>
      </c>
      <c r="E15" s="96" t="s">
        <v>34</v>
      </c>
      <c r="F15" s="96" t="s">
        <v>34</v>
      </c>
      <c r="G15" s="97" t="s">
        <v>32</v>
      </c>
      <c r="H15" s="84" t="s">
        <v>32</v>
      </c>
    </row>
    <row r="16" spans="1:8" ht="14.5" customHeight="1" x14ac:dyDescent="0.3">
      <c r="C16" s="88">
        <v>12</v>
      </c>
      <c r="D16" s="93">
        <v>15</v>
      </c>
      <c r="E16" s="96" t="s">
        <v>35</v>
      </c>
      <c r="F16" s="96" t="s">
        <v>35</v>
      </c>
      <c r="G16" s="97" t="s">
        <v>32</v>
      </c>
      <c r="H16" s="84" t="s">
        <v>32</v>
      </c>
    </row>
    <row r="17" spans="3:8" ht="14.5" customHeight="1" x14ac:dyDescent="0.3">
      <c r="C17" s="88">
        <v>13</v>
      </c>
      <c r="D17" s="93">
        <v>16</v>
      </c>
      <c r="E17" s="96" t="s">
        <v>36</v>
      </c>
      <c r="F17" s="96" t="s">
        <v>36</v>
      </c>
      <c r="G17" s="97" t="s">
        <v>32</v>
      </c>
      <c r="H17" s="84" t="s">
        <v>32</v>
      </c>
    </row>
    <row r="18" spans="3:8" ht="14.5" customHeight="1" x14ac:dyDescent="0.3">
      <c r="C18" s="88">
        <v>14</v>
      </c>
      <c r="D18" s="93">
        <v>17</v>
      </c>
      <c r="E18" s="96" t="s">
        <v>37</v>
      </c>
      <c r="F18" s="96" t="s">
        <v>37</v>
      </c>
      <c r="G18" s="97" t="s">
        <v>32</v>
      </c>
      <c r="H18" s="84" t="s">
        <v>32</v>
      </c>
    </row>
    <row r="19" spans="3:8" ht="14.5" customHeight="1" x14ac:dyDescent="0.3">
      <c r="C19" s="88">
        <v>15</v>
      </c>
      <c r="D19" s="93">
        <v>19</v>
      </c>
      <c r="E19" s="96" t="s">
        <v>38</v>
      </c>
      <c r="F19" s="96" t="s">
        <v>38</v>
      </c>
      <c r="G19" s="97" t="s">
        <v>32</v>
      </c>
      <c r="H19" s="84" t="s">
        <v>32</v>
      </c>
    </row>
    <row r="20" spans="3:8" ht="14.5" customHeight="1" x14ac:dyDescent="0.3">
      <c r="C20" s="88">
        <v>16</v>
      </c>
      <c r="D20" s="93">
        <v>20</v>
      </c>
      <c r="E20" s="96" t="s">
        <v>39</v>
      </c>
      <c r="F20" s="96" t="s">
        <v>39</v>
      </c>
      <c r="G20" s="97" t="s">
        <v>32</v>
      </c>
      <c r="H20" s="84" t="s">
        <v>32</v>
      </c>
    </row>
    <row r="21" spans="3:8" ht="14.5" customHeight="1" x14ac:dyDescent="0.3">
      <c r="C21" s="88">
        <v>17</v>
      </c>
      <c r="D21" s="93">
        <v>21</v>
      </c>
      <c r="E21" s="96" t="s">
        <v>40</v>
      </c>
      <c r="F21" s="96" t="s">
        <v>40</v>
      </c>
      <c r="G21" s="97" t="s">
        <v>32</v>
      </c>
      <c r="H21" s="84" t="s">
        <v>32</v>
      </c>
    </row>
    <row r="22" spans="3:8" ht="14.5" customHeight="1" x14ac:dyDescent="0.3">
      <c r="C22" s="88">
        <v>18</v>
      </c>
      <c r="D22" s="93">
        <v>22</v>
      </c>
      <c r="E22" s="96" t="s">
        <v>41</v>
      </c>
      <c r="F22" s="96" t="s">
        <v>41</v>
      </c>
      <c r="G22" s="97" t="s">
        <v>32</v>
      </c>
      <c r="H22" s="84" t="s">
        <v>32</v>
      </c>
    </row>
    <row r="23" spans="3:8" ht="14.5" customHeight="1" x14ac:dyDescent="0.3">
      <c r="C23" s="88">
        <v>19</v>
      </c>
      <c r="D23" s="93">
        <v>23</v>
      </c>
      <c r="E23" s="96" t="s">
        <v>42</v>
      </c>
      <c r="F23" s="96" t="s">
        <v>42</v>
      </c>
      <c r="G23" s="97" t="s">
        <v>32</v>
      </c>
      <c r="H23" s="84" t="s">
        <v>32</v>
      </c>
    </row>
    <row r="24" spans="3:8" ht="14.5" customHeight="1" x14ac:dyDescent="0.3">
      <c r="C24" s="88">
        <v>20</v>
      </c>
      <c r="D24" s="93">
        <v>24</v>
      </c>
      <c r="E24" s="96" t="s">
        <v>43</v>
      </c>
      <c r="F24" s="96" t="s">
        <v>43</v>
      </c>
      <c r="G24" s="97" t="s">
        <v>32</v>
      </c>
      <c r="H24" s="84" t="s">
        <v>32</v>
      </c>
    </row>
    <row r="25" spans="3:8" ht="14.5" customHeight="1" x14ac:dyDescent="0.3">
      <c r="C25" s="88">
        <v>21</v>
      </c>
      <c r="D25" s="93">
        <v>25</v>
      </c>
      <c r="E25" s="96" t="s">
        <v>44</v>
      </c>
      <c r="F25" s="96" t="s">
        <v>44</v>
      </c>
      <c r="G25" s="97" t="s">
        <v>32</v>
      </c>
      <c r="H25" s="84" t="s">
        <v>32</v>
      </c>
    </row>
    <row r="26" spans="3:8" ht="14.5" customHeight="1" x14ac:dyDescent="0.3">
      <c r="C26" s="88">
        <v>22</v>
      </c>
      <c r="D26" s="93">
        <v>26</v>
      </c>
      <c r="E26" s="96" t="s">
        <v>45</v>
      </c>
      <c r="F26" s="96" t="s">
        <v>45</v>
      </c>
      <c r="G26" s="97" t="s">
        <v>32</v>
      </c>
      <c r="H26" s="84" t="s">
        <v>32</v>
      </c>
    </row>
    <row r="27" spans="3:8" ht="14.5" customHeight="1" x14ac:dyDescent="0.3">
      <c r="C27" s="88">
        <v>23</v>
      </c>
      <c r="D27" s="93">
        <v>27</v>
      </c>
      <c r="E27" s="96" t="s">
        <v>46</v>
      </c>
      <c r="F27" s="96" t="s">
        <v>46</v>
      </c>
      <c r="G27" s="97" t="s">
        <v>32</v>
      </c>
      <c r="H27" s="84" t="s">
        <v>32</v>
      </c>
    </row>
    <row r="28" spans="3:8" ht="14.5" customHeight="1" x14ac:dyDescent="0.3">
      <c r="C28" s="88">
        <v>24</v>
      </c>
      <c r="D28" s="93">
        <v>28</v>
      </c>
      <c r="E28" s="96" t="s">
        <v>47</v>
      </c>
      <c r="F28" s="96" t="s">
        <v>47</v>
      </c>
      <c r="G28" s="97" t="s">
        <v>32</v>
      </c>
      <c r="H28" s="84" t="s">
        <v>32</v>
      </c>
    </row>
    <row r="29" spans="3:8" ht="14.5" customHeight="1" x14ac:dyDescent="0.3">
      <c r="C29" s="88">
        <v>25</v>
      </c>
      <c r="D29" s="93">
        <v>29</v>
      </c>
      <c r="E29" s="96" t="s">
        <v>48</v>
      </c>
      <c r="F29" s="96" t="s">
        <v>48</v>
      </c>
      <c r="G29" s="97" t="s">
        <v>32</v>
      </c>
      <c r="H29" s="84" t="s">
        <v>32</v>
      </c>
    </row>
    <row r="30" spans="3:8" ht="14.5" customHeight="1" x14ac:dyDescent="0.3">
      <c r="C30" s="88">
        <v>26</v>
      </c>
      <c r="D30" s="93">
        <v>30</v>
      </c>
      <c r="E30" s="96" t="s">
        <v>49</v>
      </c>
      <c r="F30" s="96" t="s">
        <v>49</v>
      </c>
      <c r="G30" s="97" t="s">
        <v>32</v>
      </c>
      <c r="H30" s="84" t="s">
        <v>32</v>
      </c>
    </row>
    <row r="31" spans="3:8" ht="14.5" customHeight="1" x14ac:dyDescent="0.3">
      <c r="C31" s="88">
        <v>27</v>
      </c>
      <c r="D31" s="93">
        <v>31</v>
      </c>
      <c r="E31" s="96" t="s">
        <v>50</v>
      </c>
      <c r="F31" s="96" t="s">
        <v>50</v>
      </c>
      <c r="G31" s="97" t="s">
        <v>32</v>
      </c>
      <c r="H31" s="84" t="s">
        <v>32</v>
      </c>
    </row>
    <row r="32" spans="3:8" ht="14.5" customHeight="1" x14ac:dyDescent="0.3">
      <c r="C32" s="88">
        <v>28</v>
      </c>
      <c r="D32" s="93">
        <v>32</v>
      </c>
      <c r="E32" s="96" t="s">
        <v>51</v>
      </c>
      <c r="F32" s="96" t="s">
        <v>51</v>
      </c>
      <c r="G32" s="97" t="s">
        <v>32</v>
      </c>
      <c r="H32" s="84" t="s">
        <v>32</v>
      </c>
    </row>
    <row r="33" spans="3:8" ht="14.5" customHeight="1" x14ac:dyDescent="0.3">
      <c r="C33" s="88">
        <v>29</v>
      </c>
      <c r="D33" s="93">
        <v>33</v>
      </c>
      <c r="E33" s="96" t="s">
        <v>52</v>
      </c>
      <c r="F33" s="96" t="s">
        <v>52</v>
      </c>
      <c r="G33" s="97" t="s">
        <v>32</v>
      </c>
      <c r="H33" s="84" t="s">
        <v>32</v>
      </c>
    </row>
    <row r="34" spans="3:8" ht="14.5" customHeight="1" x14ac:dyDescent="0.3">
      <c r="C34" s="88">
        <v>30</v>
      </c>
      <c r="D34" s="93">
        <v>34</v>
      </c>
      <c r="E34" s="96" t="s">
        <v>53</v>
      </c>
      <c r="F34" s="96" t="s">
        <v>53</v>
      </c>
      <c r="G34" s="97" t="s">
        <v>32</v>
      </c>
      <c r="H34" s="84" t="s">
        <v>32</v>
      </c>
    </row>
    <row r="35" spans="3:8" ht="14.5" customHeight="1" x14ac:dyDescent="0.3">
      <c r="C35" s="88">
        <v>31</v>
      </c>
      <c r="D35" s="93">
        <v>35</v>
      </c>
      <c r="E35" s="96" t="s">
        <v>54</v>
      </c>
      <c r="F35" s="96" t="s">
        <v>54</v>
      </c>
      <c r="G35" s="97" t="s">
        <v>32</v>
      </c>
      <c r="H35" s="84" t="s">
        <v>32</v>
      </c>
    </row>
    <row r="36" spans="3:8" ht="14.5" customHeight="1" x14ac:dyDescent="0.3">
      <c r="C36" s="88">
        <v>32</v>
      </c>
      <c r="D36" s="93">
        <v>36</v>
      </c>
      <c r="E36" s="94" t="s">
        <v>55</v>
      </c>
      <c r="F36" s="94" t="s">
        <v>55</v>
      </c>
      <c r="G36" s="94" t="s">
        <v>56</v>
      </c>
      <c r="H36" s="98" t="s">
        <v>56</v>
      </c>
    </row>
    <row r="37" spans="3:8" ht="39" x14ac:dyDescent="0.3">
      <c r="C37" s="88">
        <v>33</v>
      </c>
      <c r="D37" s="93">
        <v>37</v>
      </c>
      <c r="E37" s="94" t="s">
        <v>57</v>
      </c>
      <c r="F37" s="94" t="s">
        <v>57</v>
      </c>
      <c r="G37" s="101" t="s">
        <v>58</v>
      </c>
      <c r="H37" s="98" t="s">
        <v>59</v>
      </c>
    </row>
    <row r="38" spans="3:8" ht="26" x14ac:dyDescent="0.3">
      <c r="C38" s="92">
        <v>34</v>
      </c>
      <c r="D38" s="93">
        <v>38</v>
      </c>
      <c r="E38" s="94" t="s">
        <v>60</v>
      </c>
      <c r="F38" s="94" t="s">
        <v>60</v>
      </c>
      <c r="G38" s="101" t="s">
        <v>61</v>
      </c>
      <c r="H38" s="98" t="s">
        <v>62</v>
      </c>
    </row>
    <row r="39" spans="3:8" ht="91" x14ac:dyDescent="0.3">
      <c r="C39" s="92">
        <v>35</v>
      </c>
      <c r="D39" s="93">
        <v>39</v>
      </c>
      <c r="E39" s="94" t="s">
        <v>63</v>
      </c>
      <c r="F39" s="94" t="s">
        <v>63</v>
      </c>
      <c r="G39" s="101" t="s">
        <v>64</v>
      </c>
      <c r="H39" s="98"/>
    </row>
    <row r="40" spans="3:8" ht="52" x14ac:dyDescent="0.3">
      <c r="C40" s="92">
        <v>36</v>
      </c>
      <c r="D40" s="93">
        <v>40</v>
      </c>
      <c r="E40" s="94" t="s">
        <v>65</v>
      </c>
      <c r="F40" s="94" t="s">
        <v>65</v>
      </c>
      <c r="G40" s="101" t="s">
        <v>66</v>
      </c>
      <c r="H40" s="98"/>
    </row>
    <row r="41" spans="3:8" ht="65" x14ac:dyDescent="0.3">
      <c r="C41" s="92">
        <v>37</v>
      </c>
      <c r="D41" s="93">
        <v>41</v>
      </c>
      <c r="E41" s="94" t="s">
        <v>67</v>
      </c>
      <c r="F41" s="94" t="s">
        <v>67</v>
      </c>
      <c r="G41" s="101" t="s">
        <v>68</v>
      </c>
      <c r="H41" s="95" t="s">
        <v>69</v>
      </c>
    </row>
    <row r="42" spans="3:8" ht="14.5" customHeight="1" x14ac:dyDescent="0.3">
      <c r="C42" s="92">
        <v>38</v>
      </c>
      <c r="D42" s="93">
        <v>42</v>
      </c>
      <c r="E42" s="94" t="s">
        <v>70</v>
      </c>
      <c r="F42" s="94" t="s">
        <v>70</v>
      </c>
      <c r="G42" s="94"/>
      <c r="H42" s="98" t="s">
        <v>32</v>
      </c>
    </row>
    <row r="43" spans="3:8" ht="14.5" customHeight="1" x14ac:dyDescent="0.3">
      <c r="C43" s="92">
        <v>39</v>
      </c>
      <c r="D43" s="93">
        <v>43</v>
      </c>
      <c r="E43" s="94" t="s">
        <v>71</v>
      </c>
      <c r="F43" s="94" t="s">
        <v>71</v>
      </c>
      <c r="G43" s="94"/>
      <c r="H43" s="98" t="s">
        <v>32</v>
      </c>
    </row>
    <row r="44" spans="3:8" ht="26" x14ac:dyDescent="0.3">
      <c r="C44" s="92">
        <v>40</v>
      </c>
      <c r="D44" s="93">
        <v>44</v>
      </c>
      <c r="E44" s="94" t="s">
        <v>72</v>
      </c>
      <c r="F44" s="94" t="s">
        <v>72</v>
      </c>
      <c r="G44" s="101" t="s">
        <v>73</v>
      </c>
      <c r="H44" s="98"/>
    </row>
    <row r="45" spans="3:8" ht="14.5" customHeight="1" x14ac:dyDescent="0.3">
      <c r="C45" s="92">
        <v>41</v>
      </c>
      <c r="D45" s="93">
        <v>45</v>
      </c>
      <c r="E45" s="94" t="s">
        <v>74</v>
      </c>
      <c r="F45" s="94" t="s">
        <v>74</v>
      </c>
      <c r="G45" s="101" t="s">
        <v>75</v>
      </c>
      <c r="H45" s="98"/>
    </row>
    <row r="46" spans="3:8" ht="39" x14ac:dyDescent="0.3">
      <c r="C46" s="92">
        <v>41</v>
      </c>
      <c r="D46" s="93">
        <v>46</v>
      </c>
      <c r="E46" s="94" t="s">
        <v>76</v>
      </c>
      <c r="F46" s="94" t="s">
        <v>76</v>
      </c>
      <c r="G46" s="101" t="s">
        <v>77</v>
      </c>
      <c r="H46" s="98"/>
    </row>
    <row r="47" spans="3:8" ht="14.5" customHeight="1" x14ac:dyDescent="0.3">
      <c r="C47" s="92">
        <v>42</v>
      </c>
      <c r="D47" s="93">
        <v>47</v>
      </c>
      <c r="E47" s="139" t="s">
        <v>78</v>
      </c>
      <c r="F47" s="103" t="s">
        <v>78</v>
      </c>
      <c r="G47" s="94" t="s">
        <v>79</v>
      </c>
      <c r="H47" s="98"/>
    </row>
    <row r="48" spans="3:8" ht="73.5" customHeight="1" x14ac:dyDescent="0.3">
      <c r="C48" s="92">
        <v>43</v>
      </c>
      <c r="D48" s="93">
        <v>48</v>
      </c>
      <c r="E48" s="139" t="s">
        <v>80</v>
      </c>
      <c r="F48" s="103" t="s">
        <v>80</v>
      </c>
      <c r="G48" s="104" t="s">
        <v>81</v>
      </c>
      <c r="H48" s="98"/>
    </row>
    <row r="49" spans="3:8" ht="14.5" customHeight="1" x14ac:dyDescent="0.3">
      <c r="C49" s="92">
        <v>44</v>
      </c>
      <c r="D49" s="93">
        <v>49</v>
      </c>
      <c r="E49" s="94" t="s">
        <v>82</v>
      </c>
      <c r="F49" s="94" t="s">
        <v>82</v>
      </c>
      <c r="G49" s="94" t="s">
        <v>83</v>
      </c>
      <c r="H49" s="98"/>
    </row>
    <row r="50" spans="3:8" ht="14.5" customHeight="1" x14ac:dyDescent="0.3">
      <c r="C50" s="92">
        <v>45</v>
      </c>
      <c r="D50" s="93">
        <v>50</v>
      </c>
      <c r="E50" s="94" t="s">
        <v>84</v>
      </c>
      <c r="F50" s="94" t="s">
        <v>84</v>
      </c>
      <c r="G50" s="94" t="s">
        <v>83</v>
      </c>
      <c r="H50" s="98"/>
    </row>
    <row r="51" spans="3:8" ht="14.5" customHeight="1" x14ac:dyDescent="0.3">
      <c r="C51" s="92">
        <v>46</v>
      </c>
      <c r="D51" s="93">
        <v>51</v>
      </c>
      <c r="E51" s="94" t="s">
        <v>82</v>
      </c>
      <c r="F51" s="94" t="s">
        <v>82</v>
      </c>
      <c r="G51" s="94" t="s">
        <v>85</v>
      </c>
      <c r="H51" s="94" t="s">
        <v>86</v>
      </c>
    </row>
    <row r="52" spans="3:8" ht="52" x14ac:dyDescent="0.3">
      <c r="C52" s="92">
        <v>47</v>
      </c>
      <c r="D52" s="93">
        <v>52</v>
      </c>
      <c r="E52" s="101" t="s">
        <v>13</v>
      </c>
      <c r="F52" s="94" t="s">
        <v>87</v>
      </c>
      <c r="G52" s="101" t="s">
        <v>88</v>
      </c>
      <c r="H52" s="95" t="s">
        <v>89</v>
      </c>
    </row>
    <row r="53" spans="3:8" ht="52" x14ac:dyDescent="0.3">
      <c r="C53" s="92">
        <v>48</v>
      </c>
      <c r="D53" s="93">
        <v>53</v>
      </c>
      <c r="E53" s="101" t="s">
        <v>13</v>
      </c>
      <c r="F53" s="94" t="s">
        <v>90</v>
      </c>
      <c r="G53" s="101" t="s">
        <v>91</v>
      </c>
      <c r="H53" s="95" t="s">
        <v>89</v>
      </c>
    </row>
    <row r="54" spans="3:8" ht="52" x14ac:dyDescent="0.3">
      <c r="C54" s="92">
        <v>49</v>
      </c>
      <c r="D54" s="93">
        <v>54</v>
      </c>
      <c r="E54" s="94" t="s">
        <v>92</v>
      </c>
      <c r="F54" s="94" t="s">
        <v>92</v>
      </c>
      <c r="G54" s="101" t="s">
        <v>88</v>
      </c>
      <c r="H54" s="95" t="s">
        <v>89</v>
      </c>
    </row>
    <row r="55" spans="3:8" ht="247" x14ac:dyDescent="0.3">
      <c r="C55" s="92">
        <v>50</v>
      </c>
      <c r="D55" s="93">
        <v>55</v>
      </c>
      <c r="E55" s="94" t="s">
        <v>93</v>
      </c>
      <c r="F55" s="94" t="s">
        <v>93</v>
      </c>
      <c r="G55" s="101" t="s">
        <v>94</v>
      </c>
      <c r="H55" s="95" t="s">
        <v>95</v>
      </c>
    </row>
    <row r="56" spans="3:8" ht="14.5" customHeight="1" x14ac:dyDescent="0.3">
      <c r="C56" s="92">
        <v>51</v>
      </c>
      <c r="D56" s="93">
        <v>56</v>
      </c>
      <c r="E56" s="94" t="s">
        <v>96</v>
      </c>
      <c r="F56" s="94" t="s">
        <v>96</v>
      </c>
      <c r="G56" s="101" t="s">
        <v>97</v>
      </c>
      <c r="H56" s="98"/>
    </row>
    <row r="57" spans="3:8" ht="14.5" customHeight="1" x14ac:dyDescent="0.3">
      <c r="C57" s="92">
        <v>52</v>
      </c>
      <c r="D57" s="93">
        <v>57</v>
      </c>
      <c r="E57" s="94" t="s">
        <v>98</v>
      </c>
      <c r="F57" s="94" t="s">
        <v>98</v>
      </c>
      <c r="G57" s="94" t="s">
        <v>99</v>
      </c>
      <c r="H57" s="98"/>
    </row>
    <row r="58" spans="3:8" ht="14.5" customHeight="1" x14ac:dyDescent="0.3">
      <c r="C58" s="92">
        <v>53</v>
      </c>
      <c r="D58" s="93">
        <v>58</v>
      </c>
      <c r="E58" s="94" t="s">
        <v>100</v>
      </c>
      <c r="F58" s="94" t="s">
        <v>100</v>
      </c>
      <c r="G58" s="94" t="s">
        <v>101</v>
      </c>
      <c r="H58" s="98"/>
    </row>
    <row r="59" spans="3:8" ht="14.5" customHeight="1" x14ac:dyDescent="0.3">
      <c r="C59" s="92">
        <v>54</v>
      </c>
      <c r="D59" s="93">
        <v>59</v>
      </c>
      <c r="E59" s="94" t="s">
        <v>102</v>
      </c>
      <c r="F59" s="94" t="s">
        <v>102</v>
      </c>
      <c r="G59" s="101" t="s">
        <v>103</v>
      </c>
      <c r="H59" s="98"/>
    </row>
    <row r="60" spans="3:8" ht="14.5" customHeight="1" x14ac:dyDescent="0.3">
      <c r="C60" s="92">
        <v>55</v>
      </c>
      <c r="D60" s="93">
        <v>60</v>
      </c>
      <c r="E60" s="94" t="s">
        <v>104</v>
      </c>
      <c r="F60" s="94" t="s">
        <v>104</v>
      </c>
      <c r="G60" s="94" t="s">
        <v>105</v>
      </c>
      <c r="H60" s="98"/>
    </row>
    <row r="61" spans="3:8" ht="14.5" customHeight="1" x14ac:dyDescent="0.3">
      <c r="C61" s="92">
        <v>56</v>
      </c>
      <c r="D61" s="93">
        <v>61</v>
      </c>
      <c r="E61" s="94" t="s">
        <v>106</v>
      </c>
      <c r="F61" s="94" t="s">
        <v>106</v>
      </c>
      <c r="G61" s="94" t="s">
        <v>107</v>
      </c>
      <c r="H61" s="98"/>
    </row>
    <row r="62" spans="3:8" x14ac:dyDescent="0.3">
      <c r="C62" s="92">
        <v>57</v>
      </c>
      <c r="D62" s="93">
        <v>62</v>
      </c>
      <c r="E62" s="101" t="s">
        <v>108</v>
      </c>
      <c r="F62" s="94" t="s">
        <v>90</v>
      </c>
      <c r="G62" s="94" t="s">
        <v>109</v>
      </c>
      <c r="H62" s="98"/>
    </row>
    <row r="63" spans="3:8" ht="14.5" customHeight="1" x14ac:dyDescent="0.3">
      <c r="C63" s="110">
        <v>58</v>
      </c>
      <c r="D63" s="111">
        <v>63</v>
      </c>
      <c r="E63" s="112" t="s">
        <v>110</v>
      </c>
      <c r="F63" s="112"/>
      <c r="G63" s="112" t="s">
        <v>111</v>
      </c>
      <c r="H63" s="113"/>
    </row>
    <row r="64" spans="3:8" ht="14.5" customHeight="1" x14ac:dyDescent="0.3">
      <c r="C64" s="110">
        <v>59</v>
      </c>
      <c r="D64" s="111">
        <v>64</v>
      </c>
      <c r="E64" s="112" t="s">
        <v>112</v>
      </c>
      <c r="F64" s="112" t="s">
        <v>87</v>
      </c>
      <c r="G64" s="119" t="s">
        <v>113</v>
      </c>
      <c r="H64" s="112" t="s">
        <v>114</v>
      </c>
    </row>
    <row r="65" spans="3:8" ht="14.5" customHeight="1" x14ac:dyDescent="0.3">
      <c r="C65" s="110">
        <v>60</v>
      </c>
      <c r="D65" s="111">
        <v>65</v>
      </c>
      <c r="E65" s="140" t="s">
        <v>115</v>
      </c>
      <c r="F65" s="112"/>
      <c r="G65" s="112" t="s">
        <v>116</v>
      </c>
      <c r="H65" s="113"/>
    </row>
    <row r="66" spans="3:8" ht="14.5" customHeight="1" x14ac:dyDescent="0.3">
      <c r="C66" s="110">
        <v>61</v>
      </c>
      <c r="D66" s="111">
        <v>66</v>
      </c>
      <c r="E66" s="112" t="s">
        <v>117</v>
      </c>
      <c r="F66" s="112"/>
      <c r="G66" s="112" t="s">
        <v>118</v>
      </c>
      <c r="H66" s="113"/>
    </row>
    <row r="67" spans="3:8" ht="14.5" customHeight="1" x14ac:dyDescent="0.3">
      <c r="C67" s="110">
        <v>62</v>
      </c>
      <c r="D67" s="111">
        <v>67</v>
      </c>
      <c r="E67" s="112" t="s">
        <v>119</v>
      </c>
      <c r="F67" s="112"/>
      <c r="G67" s="112" t="s">
        <v>120</v>
      </c>
      <c r="H67" s="113"/>
    </row>
    <row r="68" spans="3:8" ht="14.5" customHeight="1" x14ac:dyDescent="0.3">
      <c r="C68" s="110">
        <v>63</v>
      </c>
      <c r="D68" s="111">
        <v>68</v>
      </c>
      <c r="E68" s="112" t="s">
        <v>121</v>
      </c>
      <c r="F68" s="112"/>
      <c r="G68" s="112" t="s">
        <v>122</v>
      </c>
      <c r="H68" s="113"/>
    </row>
    <row r="69" spans="3:8" ht="14.5" customHeight="1" x14ac:dyDescent="0.3">
      <c r="C69" s="110">
        <v>64</v>
      </c>
      <c r="D69" s="111">
        <v>69</v>
      </c>
      <c r="E69" s="112" t="s">
        <v>123</v>
      </c>
      <c r="F69" s="112"/>
      <c r="G69" s="112" t="s">
        <v>124</v>
      </c>
      <c r="H69" s="113"/>
    </row>
    <row r="70" spans="3:8" ht="14.5" customHeight="1" x14ac:dyDescent="0.3">
      <c r="C70" s="110">
        <v>65</v>
      </c>
      <c r="D70" s="111">
        <v>70</v>
      </c>
      <c r="E70" s="112" t="s">
        <v>125</v>
      </c>
      <c r="F70" s="112"/>
      <c r="G70" s="112" t="s">
        <v>126</v>
      </c>
      <c r="H70" s="113"/>
    </row>
    <row r="71" spans="3:8" ht="14.5" customHeight="1" x14ac:dyDescent="0.3">
      <c r="C71" s="110">
        <v>66</v>
      </c>
      <c r="D71" s="111">
        <v>71</v>
      </c>
      <c r="E71" s="112" t="s">
        <v>127</v>
      </c>
      <c r="F71" s="112"/>
      <c r="G71" s="112"/>
      <c r="H71" s="113"/>
    </row>
    <row r="72" spans="3:8" ht="14.5" customHeight="1" x14ac:dyDescent="0.3">
      <c r="C72" s="110">
        <v>67</v>
      </c>
      <c r="D72" s="111">
        <v>72</v>
      </c>
      <c r="E72" s="112" t="s">
        <v>128</v>
      </c>
      <c r="F72" s="112"/>
      <c r="G72" s="112"/>
      <c r="H72" s="113"/>
    </row>
    <row r="73" spans="3:8" x14ac:dyDescent="0.3">
      <c r="C73" s="102">
        <v>68</v>
      </c>
      <c r="D73" s="102">
        <v>73</v>
      </c>
      <c r="E73" s="114" t="s">
        <v>129</v>
      </c>
      <c r="F73" s="114"/>
      <c r="G73" s="114" t="s">
        <v>130</v>
      </c>
      <c r="H73" s="114"/>
    </row>
    <row r="74" spans="3:8" ht="14.5" customHeight="1" x14ac:dyDescent="0.3">
      <c r="C74" s="110"/>
      <c r="D74" s="111"/>
      <c r="E74" s="112"/>
      <c r="F74" s="112"/>
      <c r="G74" s="112"/>
      <c r="H74" s="113"/>
    </row>
    <row r="75" spans="3:8" ht="14.5" customHeight="1" x14ac:dyDescent="0.3">
      <c r="C75" s="110"/>
      <c r="D75" s="111"/>
      <c r="E75" s="112"/>
      <c r="F75" s="112"/>
      <c r="G75" s="112"/>
      <c r="H75" s="113"/>
    </row>
    <row r="76" spans="3:8" ht="14.5" customHeight="1" x14ac:dyDescent="0.3">
      <c r="C76" s="110"/>
      <c r="D76" s="111"/>
      <c r="E76" s="112"/>
      <c r="F76" s="112"/>
      <c r="G76" s="112"/>
      <c r="H76" s="113"/>
    </row>
    <row r="77" spans="3:8" ht="14.5" customHeight="1" x14ac:dyDescent="0.3">
      <c r="C77" s="110"/>
      <c r="D77" s="111"/>
      <c r="E77" s="112"/>
      <c r="F77" s="112"/>
      <c r="G77" s="112"/>
      <c r="H77" s="113"/>
    </row>
    <row r="78" spans="3:8" ht="14.5" customHeight="1" x14ac:dyDescent="0.3">
      <c r="C78" s="110"/>
      <c r="D78" s="111"/>
      <c r="E78" s="112"/>
      <c r="F78" s="112"/>
      <c r="G78" s="112"/>
      <c r="H78" s="113"/>
    </row>
    <row r="79" spans="3:8" ht="14.5" customHeight="1" x14ac:dyDescent="0.3">
      <c r="C79" s="110"/>
      <c r="D79" s="111"/>
      <c r="E79" s="112"/>
      <c r="F79" s="112"/>
      <c r="G79" s="112"/>
      <c r="H79" s="113"/>
    </row>
    <row r="80" spans="3:8" ht="14.5" customHeight="1" x14ac:dyDescent="0.3">
      <c r="C80" s="110"/>
      <c r="D80" s="111"/>
      <c r="E80" s="112"/>
      <c r="F80" s="112"/>
      <c r="G80" s="112"/>
      <c r="H80" s="113"/>
    </row>
    <row r="81" spans="3:8" ht="14.5" customHeight="1" x14ac:dyDescent="0.3">
      <c r="C81" s="110"/>
      <c r="D81" s="111"/>
      <c r="E81" s="112"/>
      <c r="F81" s="112"/>
      <c r="G81" s="112"/>
      <c r="H81" s="113"/>
    </row>
    <row r="82" spans="3:8" ht="14.5" customHeight="1" x14ac:dyDescent="0.3">
      <c r="C82" s="110"/>
      <c r="D82" s="111"/>
      <c r="E82" s="112"/>
      <c r="F82" s="112"/>
      <c r="G82" s="112"/>
      <c r="H82" s="113"/>
    </row>
    <row r="83" spans="3:8" ht="14.5" customHeight="1" x14ac:dyDescent="0.3">
      <c r="C83" s="110"/>
      <c r="D83" s="111"/>
      <c r="E83" s="112"/>
      <c r="F83" s="112"/>
      <c r="G83" s="112"/>
      <c r="H83" s="113"/>
    </row>
    <row r="84" spans="3:8" ht="14.5" customHeight="1" x14ac:dyDescent="0.3">
      <c r="C84" s="110"/>
      <c r="D84" s="111"/>
      <c r="E84" s="112"/>
      <c r="F84" s="112"/>
      <c r="G84" s="112"/>
      <c r="H84" s="113"/>
    </row>
    <row r="85" spans="3:8" ht="14.5" customHeight="1" x14ac:dyDescent="0.3">
      <c r="C85" s="110"/>
      <c r="D85" s="111"/>
      <c r="E85" s="112"/>
      <c r="F85" s="112"/>
      <c r="G85" s="112"/>
      <c r="H85" s="113"/>
    </row>
    <row r="86" spans="3:8" ht="14.5" customHeight="1" x14ac:dyDescent="0.3">
      <c r="C86" s="110"/>
      <c r="D86" s="111"/>
      <c r="E86" s="112"/>
      <c r="F86" s="112"/>
      <c r="G86" s="112"/>
      <c r="H86" s="113"/>
    </row>
    <row r="87" spans="3:8" x14ac:dyDescent="0.3">
      <c r="C87" s="110"/>
      <c r="D87" s="111"/>
      <c r="E87" s="112"/>
      <c r="F87" s="112"/>
      <c r="G87" s="112"/>
      <c r="H87" s="113"/>
    </row>
    <row r="88" spans="3:8" x14ac:dyDescent="0.3">
      <c r="C88" s="110"/>
      <c r="D88" s="111"/>
      <c r="E88" s="112"/>
      <c r="F88" s="112"/>
      <c r="G88" s="112"/>
      <c r="H88" s="113"/>
    </row>
    <row r="89" spans="3:8" x14ac:dyDescent="0.3">
      <c r="C89" s="110"/>
      <c r="D89" s="111"/>
      <c r="E89" s="112"/>
      <c r="F89" s="112"/>
      <c r="G89" s="112"/>
      <c r="H89" s="113"/>
    </row>
    <row r="90" spans="3:8" x14ac:dyDescent="0.3">
      <c r="C90" s="110"/>
      <c r="D90" s="111"/>
      <c r="E90" s="112"/>
      <c r="F90" s="112"/>
      <c r="G90" s="112"/>
      <c r="H90" s="113"/>
    </row>
    <row r="91" spans="3:8" x14ac:dyDescent="0.3">
      <c r="C91" s="110"/>
      <c r="D91" s="111"/>
      <c r="E91" s="112"/>
      <c r="F91" s="112"/>
      <c r="G91" s="112"/>
      <c r="H91" s="113"/>
    </row>
    <row r="92" spans="3:8" x14ac:dyDescent="0.3">
      <c r="C92" s="110"/>
      <c r="D92" s="111"/>
      <c r="E92" s="112"/>
      <c r="F92" s="112"/>
      <c r="G92" s="112"/>
      <c r="H92" s="113"/>
    </row>
    <row r="93" spans="3:8" x14ac:dyDescent="0.3">
      <c r="C93" s="110"/>
      <c r="D93" s="111"/>
      <c r="E93" s="112"/>
      <c r="F93" s="112"/>
      <c r="G93" s="112"/>
      <c r="H93" s="113"/>
    </row>
    <row r="94" spans="3:8" x14ac:dyDescent="0.3">
      <c r="C94" s="110"/>
      <c r="D94" s="111"/>
      <c r="E94" s="112"/>
      <c r="F94" s="112"/>
      <c r="G94" s="112"/>
      <c r="H94" s="113"/>
    </row>
    <row r="95" spans="3:8" x14ac:dyDescent="0.3">
      <c r="C95" s="110"/>
      <c r="D95" s="111"/>
      <c r="E95" s="112"/>
      <c r="F95" s="112"/>
      <c r="G95" s="112"/>
      <c r="H95" s="113"/>
    </row>
    <row r="96" spans="3:8" x14ac:dyDescent="0.3">
      <c r="C96" s="110"/>
      <c r="D96" s="111"/>
      <c r="E96" s="112"/>
      <c r="F96" s="112"/>
      <c r="G96" s="112"/>
      <c r="H96" s="113"/>
    </row>
    <row r="97" spans="3:8" x14ac:dyDescent="0.3">
      <c r="C97" s="110"/>
      <c r="D97" s="111"/>
      <c r="E97" s="112"/>
      <c r="F97" s="112"/>
      <c r="G97" s="112"/>
      <c r="H97" s="113"/>
    </row>
    <row r="98" spans="3:8" x14ac:dyDescent="0.3">
      <c r="C98" s="110"/>
      <c r="D98" s="111"/>
      <c r="E98" s="112"/>
      <c r="F98" s="112"/>
      <c r="G98" s="112"/>
      <c r="H98" s="113"/>
    </row>
    <row r="99" spans="3:8" ht="13.5" thickBot="1" x14ac:dyDescent="0.35">
      <c r="C99" s="115"/>
      <c r="D99" s="116"/>
      <c r="E99" s="117"/>
      <c r="F99" s="117"/>
      <c r="G99" s="117"/>
      <c r="H99" s="118"/>
    </row>
    <row r="100" spans="3:8" x14ac:dyDescent="0.3">
      <c r="C100" s="102"/>
      <c r="D100" s="102"/>
      <c r="E100" s="114"/>
      <c r="F100" s="114"/>
      <c r="G100" s="114"/>
      <c r="H100" s="114"/>
    </row>
    <row r="101" spans="3:8" x14ac:dyDescent="0.3">
      <c r="C101" s="102"/>
      <c r="D101" s="102"/>
      <c r="E101" s="114"/>
      <c r="F101" s="114"/>
      <c r="G101" s="114"/>
      <c r="H101" s="114"/>
    </row>
    <row r="102" spans="3:8" x14ac:dyDescent="0.3">
      <c r="C102" s="102"/>
      <c r="D102" s="102"/>
      <c r="E102" s="114"/>
      <c r="F102" s="114"/>
      <c r="G102" s="114"/>
      <c r="H102" s="114"/>
    </row>
    <row r="103" spans="3:8" x14ac:dyDescent="0.3">
      <c r="C103" s="102"/>
      <c r="D103" s="102"/>
      <c r="E103" s="114"/>
      <c r="F103" s="114"/>
      <c r="G103" s="114"/>
      <c r="H103" s="114"/>
    </row>
    <row r="104" spans="3:8" x14ac:dyDescent="0.3">
      <c r="C104" s="102"/>
      <c r="D104" s="102"/>
      <c r="E104" s="114"/>
      <c r="F104" s="114"/>
      <c r="G104" s="114"/>
      <c r="H104" s="114"/>
    </row>
    <row r="105" spans="3:8" x14ac:dyDescent="0.3">
      <c r="C105" s="102"/>
      <c r="D105" s="102"/>
      <c r="E105" s="114"/>
      <c r="F105" s="114"/>
      <c r="G105" s="114"/>
      <c r="H105" s="114"/>
    </row>
    <row r="106" spans="3:8" x14ac:dyDescent="0.3">
      <c r="C106" s="102"/>
      <c r="D106" s="102"/>
      <c r="E106" s="114"/>
      <c r="F106" s="114"/>
      <c r="G106" s="114"/>
      <c r="H106" s="114"/>
    </row>
    <row r="107" spans="3:8" x14ac:dyDescent="0.3">
      <c r="C107" s="102"/>
      <c r="D107" s="102"/>
      <c r="E107" s="114"/>
      <c r="F107" s="114"/>
      <c r="G107" s="114"/>
      <c r="H107" s="114"/>
    </row>
    <row r="108" spans="3:8" x14ac:dyDescent="0.3">
      <c r="C108" s="102"/>
      <c r="D108" s="102"/>
      <c r="E108" s="114"/>
      <c r="F108" s="114"/>
      <c r="G108" s="114"/>
      <c r="H108" s="114"/>
    </row>
    <row r="109" spans="3:8" x14ac:dyDescent="0.3">
      <c r="C109" s="102"/>
      <c r="D109" s="102"/>
      <c r="E109" s="114"/>
      <c r="F109" s="114"/>
      <c r="G109" s="114"/>
      <c r="H109" s="114"/>
    </row>
    <row r="110" spans="3:8" x14ac:dyDescent="0.3">
      <c r="C110" s="102"/>
      <c r="D110" s="102"/>
      <c r="E110" s="114"/>
      <c r="F110" s="114"/>
      <c r="G110" s="114"/>
      <c r="H110" s="114"/>
    </row>
    <row r="111" spans="3:8" x14ac:dyDescent="0.3">
      <c r="C111" s="102"/>
      <c r="D111" s="102"/>
      <c r="E111" s="114"/>
      <c r="F111" s="114"/>
      <c r="G111" s="114"/>
      <c r="H111" s="114"/>
    </row>
    <row r="112" spans="3:8" x14ac:dyDescent="0.3">
      <c r="C112" s="102"/>
      <c r="D112" s="102"/>
      <c r="E112" s="114"/>
      <c r="F112" s="114"/>
      <c r="G112" s="114"/>
      <c r="H112" s="114"/>
    </row>
    <row r="113" spans="3:8" x14ac:dyDescent="0.3">
      <c r="C113" s="102"/>
      <c r="D113" s="102"/>
      <c r="E113" s="114"/>
      <c r="F113" s="114"/>
      <c r="G113" s="114"/>
      <c r="H113" s="114"/>
    </row>
    <row r="114" spans="3:8" x14ac:dyDescent="0.3">
      <c r="C114" s="102"/>
      <c r="D114" s="102"/>
      <c r="E114" s="114"/>
      <c r="F114" s="114"/>
      <c r="G114" s="114"/>
      <c r="H114" s="114"/>
    </row>
    <row r="115" spans="3:8" x14ac:dyDescent="0.3">
      <c r="C115" s="102"/>
      <c r="D115" s="102"/>
      <c r="E115" s="114"/>
      <c r="F115" s="114"/>
      <c r="G115" s="114"/>
      <c r="H115" s="114"/>
    </row>
    <row r="116" spans="3:8" x14ac:dyDescent="0.3">
      <c r="C116" s="102"/>
      <c r="D116" s="102"/>
      <c r="E116" s="114"/>
      <c r="F116" s="114"/>
      <c r="G116" s="114"/>
      <c r="H116" s="114"/>
    </row>
    <row r="117" spans="3:8" x14ac:dyDescent="0.3">
      <c r="C117" s="102"/>
      <c r="D117" s="102"/>
      <c r="E117" s="114"/>
      <c r="F117" s="114"/>
      <c r="G117" s="114"/>
      <c r="H117" s="114"/>
    </row>
    <row r="118" spans="3:8" x14ac:dyDescent="0.3">
      <c r="C118" s="102"/>
      <c r="D118" s="102"/>
      <c r="E118" s="114"/>
      <c r="F118" s="114"/>
      <c r="G118" s="114"/>
      <c r="H118" s="114"/>
    </row>
    <row r="119" spans="3:8" x14ac:dyDescent="0.3">
      <c r="C119" s="102"/>
      <c r="D119" s="102"/>
      <c r="E119" s="114"/>
      <c r="F119" s="114"/>
      <c r="G119" s="114"/>
      <c r="H119" s="114"/>
    </row>
    <row r="120" spans="3:8" x14ac:dyDescent="0.3">
      <c r="C120" s="102"/>
      <c r="D120" s="102"/>
      <c r="E120" s="114"/>
      <c r="F120" s="114"/>
      <c r="G120" s="114"/>
      <c r="H120" s="114"/>
    </row>
    <row r="121" spans="3:8" x14ac:dyDescent="0.3">
      <c r="C121" s="102"/>
      <c r="D121" s="102"/>
      <c r="E121" s="114"/>
      <c r="F121" s="114"/>
      <c r="G121" s="114"/>
      <c r="H121" s="114"/>
    </row>
    <row r="122" spans="3:8" x14ac:dyDescent="0.3">
      <c r="C122" s="102"/>
      <c r="D122" s="102"/>
      <c r="E122" s="114"/>
      <c r="F122" s="114"/>
      <c r="G122" s="114"/>
      <c r="H122" s="114"/>
    </row>
    <row r="123" spans="3:8" x14ac:dyDescent="0.3">
      <c r="C123" s="102"/>
      <c r="D123" s="102"/>
      <c r="E123" s="114"/>
      <c r="F123" s="114"/>
      <c r="G123" s="114"/>
      <c r="H123" s="114"/>
    </row>
    <row r="124" spans="3:8" x14ac:dyDescent="0.3">
      <c r="C124" s="102"/>
      <c r="D124" s="102"/>
      <c r="E124" s="114"/>
      <c r="F124" s="114"/>
      <c r="G124" s="114"/>
      <c r="H124" s="114"/>
    </row>
    <row r="125" spans="3:8" x14ac:dyDescent="0.3">
      <c r="C125" s="102"/>
      <c r="D125" s="102"/>
      <c r="E125" s="114"/>
      <c r="F125" s="114"/>
      <c r="G125" s="114"/>
      <c r="H125" s="114"/>
    </row>
    <row r="126" spans="3:8" x14ac:dyDescent="0.3">
      <c r="C126" s="102"/>
      <c r="D126" s="102"/>
      <c r="E126" s="114"/>
      <c r="F126" s="114"/>
      <c r="G126" s="114"/>
      <c r="H126" s="114"/>
    </row>
    <row r="127" spans="3:8" x14ac:dyDescent="0.3">
      <c r="C127" s="102"/>
      <c r="D127" s="102"/>
      <c r="E127" s="114"/>
      <c r="F127" s="114"/>
      <c r="G127" s="114"/>
      <c r="H127" s="114"/>
    </row>
    <row r="128" spans="3:8" x14ac:dyDescent="0.3">
      <c r="C128" s="102"/>
      <c r="D128" s="102"/>
      <c r="E128" s="114"/>
      <c r="F128" s="114"/>
      <c r="G128" s="114"/>
      <c r="H128" s="114"/>
    </row>
    <row r="129" spans="3:8" x14ac:dyDescent="0.3">
      <c r="C129" s="102"/>
      <c r="D129" s="102"/>
      <c r="E129" s="114"/>
      <c r="F129" s="114"/>
      <c r="G129" s="114"/>
      <c r="H129" s="114"/>
    </row>
    <row r="130" spans="3:8" x14ac:dyDescent="0.3">
      <c r="C130" s="102"/>
      <c r="D130" s="102"/>
      <c r="E130" s="114"/>
      <c r="F130" s="114"/>
      <c r="G130" s="114"/>
      <c r="H130" s="114"/>
    </row>
    <row r="131" spans="3:8" x14ac:dyDescent="0.3">
      <c r="C131" s="102"/>
      <c r="D131" s="102"/>
      <c r="E131" s="114"/>
      <c r="F131" s="114"/>
      <c r="G131" s="114"/>
      <c r="H131" s="114"/>
    </row>
    <row r="132" spans="3:8" x14ac:dyDescent="0.3">
      <c r="C132" s="102"/>
      <c r="D132" s="102"/>
      <c r="E132" s="114"/>
      <c r="F132" s="114"/>
      <c r="G132" s="114"/>
      <c r="H132" s="114"/>
    </row>
    <row r="133" spans="3:8" x14ac:dyDescent="0.3">
      <c r="C133" s="102"/>
      <c r="D133" s="102"/>
      <c r="E133" s="114"/>
      <c r="F133" s="114"/>
      <c r="G133" s="114"/>
      <c r="H133" s="114"/>
    </row>
    <row r="134" spans="3:8" x14ac:dyDescent="0.3">
      <c r="C134" s="102"/>
      <c r="D134" s="102"/>
      <c r="E134" s="114"/>
      <c r="F134" s="114"/>
      <c r="G134" s="114"/>
      <c r="H134" s="114"/>
    </row>
    <row r="135" spans="3:8" x14ac:dyDescent="0.3">
      <c r="C135" s="102"/>
      <c r="D135" s="102"/>
      <c r="E135" s="114"/>
      <c r="F135" s="114"/>
      <c r="G135" s="114"/>
      <c r="H135" s="114"/>
    </row>
    <row r="136" spans="3:8" x14ac:dyDescent="0.3">
      <c r="C136" s="102"/>
      <c r="D136" s="102"/>
      <c r="E136" s="114"/>
      <c r="F136" s="114"/>
      <c r="G136" s="114"/>
      <c r="H136" s="114"/>
    </row>
    <row r="137" spans="3:8" x14ac:dyDescent="0.3">
      <c r="C137" s="102"/>
      <c r="D137" s="102"/>
      <c r="E137" s="114"/>
      <c r="F137" s="114"/>
      <c r="G137" s="114"/>
      <c r="H137" s="114"/>
    </row>
    <row r="138" spans="3:8" x14ac:dyDescent="0.3">
      <c r="C138" s="102"/>
      <c r="D138" s="102"/>
      <c r="E138" s="114"/>
      <c r="F138" s="114"/>
      <c r="G138" s="114"/>
      <c r="H138" s="114"/>
    </row>
    <row r="139" spans="3:8" x14ac:dyDescent="0.3">
      <c r="C139" s="102"/>
      <c r="D139" s="102"/>
      <c r="E139" s="114"/>
      <c r="F139" s="114"/>
      <c r="G139" s="114"/>
      <c r="H139" s="114"/>
    </row>
    <row r="140" spans="3:8" x14ac:dyDescent="0.3">
      <c r="C140" s="102"/>
      <c r="D140" s="102"/>
      <c r="E140" s="114"/>
      <c r="F140" s="114"/>
      <c r="G140" s="114"/>
      <c r="H140" s="114"/>
    </row>
    <row r="141" spans="3:8" x14ac:dyDescent="0.3">
      <c r="C141" s="102"/>
      <c r="D141" s="102"/>
      <c r="E141" s="114"/>
      <c r="F141" s="114"/>
      <c r="G141" s="114"/>
      <c r="H141" s="114"/>
    </row>
    <row r="142" spans="3:8" x14ac:dyDescent="0.3">
      <c r="C142" s="102"/>
      <c r="D142" s="102"/>
      <c r="E142" s="114"/>
      <c r="F142" s="114"/>
      <c r="G142" s="114"/>
      <c r="H142" s="114"/>
    </row>
    <row r="143" spans="3:8" x14ac:dyDescent="0.3">
      <c r="C143" s="102"/>
      <c r="D143" s="102"/>
      <c r="E143" s="114"/>
      <c r="F143" s="114"/>
      <c r="G143" s="114"/>
      <c r="H143" s="114"/>
    </row>
  </sheetData>
  <sheetProtection algorithmName="SHA-512" hashValue="z5MDi5tBllwqmW7bOTOIHxXK8kXuFIJyAaEiVrAiJxIDfgn6NYwDygaS/ajwRwdTc+8NLdE1FaY34vH51V3y4g==" saltValue="YuzQAC/sXPr6lpEaV3mnAw==" spinCount="100000" sheet="1" objects="1" scenarios="1"/>
  <mergeCells count="1">
    <mergeCell ref="A2:H2"/>
  </mergeCells>
  <conditionalFormatting sqref="G13:H35">
    <cfRule type="cellIs" dxfId="8" priority="3" operator="equal">
      <formula>"In Progress"</formula>
    </cfRule>
    <cfRule type="cellIs" dxfId="7" priority="4" operator="equal">
      <formula>"Not Started"</formula>
    </cfRule>
  </conditionalFormatting>
  <dataValidations count="1">
    <dataValidation type="list" allowBlank="1" showInputMessage="1" showErrorMessage="1" sqref="A2:H2 F74:F1048576 F5:F46 F49:F72 E5:E6 E8:E46 E49:E51 E54:E61" xr:uid="{8155C258-15D1-4E04-9650-40C23CA96DCE}">
      <formula1>#REF!</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42866-515D-448E-948D-B25D80479FBE}">
  <sheetPr codeName="Sheet16" filterMode="1"/>
  <dimension ref="B5:H68"/>
  <sheetViews>
    <sheetView showGridLines="0" topLeftCell="C1" workbookViewId="0">
      <selection activeCell="G56" sqref="G56"/>
    </sheetView>
  </sheetViews>
  <sheetFormatPr defaultRowHeight="14.5" x14ac:dyDescent="0.35"/>
  <cols>
    <col min="2" max="2" width="4.54296875" bestFit="1" customWidth="1"/>
    <col min="3" max="3" width="31.453125" bestFit="1" customWidth="1"/>
    <col min="4" max="4" width="17.1796875" bestFit="1" customWidth="1"/>
    <col min="5" max="5" width="23.54296875" bestFit="1" customWidth="1"/>
    <col min="6" max="6" width="10.81640625" bestFit="1" customWidth="1"/>
    <col min="7" max="7" width="59.81640625" bestFit="1" customWidth="1"/>
    <col min="8" max="8" width="16.7265625" bestFit="1" customWidth="1"/>
  </cols>
  <sheetData>
    <row r="5" spans="2:8" x14ac:dyDescent="0.35">
      <c r="B5" s="126" t="s">
        <v>1</v>
      </c>
      <c r="C5" s="126" t="s">
        <v>131</v>
      </c>
      <c r="D5" s="126" t="s">
        <v>132</v>
      </c>
      <c r="E5" s="126" t="s">
        <v>133</v>
      </c>
      <c r="F5" s="126" t="s">
        <v>134</v>
      </c>
      <c r="G5" s="126" t="s">
        <v>135</v>
      </c>
      <c r="H5" s="126" t="s">
        <v>136</v>
      </c>
    </row>
    <row r="6" spans="2:8" x14ac:dyDescent="0.35">
      <c r="B6" s="122">
        <v>1</v>
      </c>
      <c r="C6" s="122" t="s">
        <v>137</v>
      </c>
      <c r="D6" s="122" t="s">
        <v>138</v>
      </c>
      <c r="E6" s="123">
        <v>45919</v>
      </c>
      <c r="F6" s="123">
        <v>45698</v>
      </c>
      <c r="G6" s="122" t="s">
        <v>13</v>
      </c>
      <c r="H6" s="122"/>
    </row>
    <row r="7" spans="2:8" hidden="1" x14ac:dyDescent="0.35">
      <c r="B7" s="122">
        <v>2</v>
      </c>
      <c r="C7" s="122" t="s">
        <v>139</v>
      </c>
      <c r="D7" s="122" t="s">
        <v>140</v>
      </c>
      <c r="E7" s="122"/>
      <c r="F7" s="123">
        <v>45656</v>
      </c>
      <c r="G7" s="122" t="s">
        <v>31</v>
      </c>
      <c r="H7" s="122"/>
    </row>
    <row r="8" spans="2:8" hidden="1" x14ac:dyDescent="0.35">
      <c r="B8" s="122">
        <v>3</v>
      </c>
      <c r="C8" s="122" t="s">
        <v>141</v>
      </c>
      <c r="D8" s="122" t="s">
        <v>142</v>
      </c>
      <c r="E8" s="122"/>
      <c r="F8" s="123">
        <v>45656</v>
      </c>
      <c r="G8" s="122" t="s">
        <v>33</v>
      </c>
      <c r="H8" s="122"/>
    </row>
    <row r="9" spans="2:8" hidden="1" x14ac:dyDescent="0.35">
      <c r="B9" s="122">
        <v>4</v>
      </c>
      <c r="C9" s="122" t="s">
        <v>143</v>
      </c>
      <c r="D9" s="122" t="s">
        <v>142</v>
      </c>
      <c r="E9" s="123">
        <v>46022</v>
      </c>
      <c r="F9" s="123">
        <v>45656</v>
      </c>
      <c r="G9" s="122" t="s">
        <v>33</v>
      </c>
      <c r="H9" s="122"/>
    </row>
    <row r="10" spans="2:8" hidden="1" x14ac:dyDescent="0.35">
      <c r="B10" s="122">
        <v>5</v>
      </c>
      <c r="C10" s="122" t="s">
        <v>144</v>
      </c>
      <c r="D10" s="122" t="s">
        <v>140</v>
      </c>
      <c r="E10" s="122"/>
      <c r="F10" s="123">
        <v>45656</v>
      </c>
      <c r="G10" s="122" t="s">
        <v>34</v>
      </c>
      <c r="H10" s="122"/>
    </row>
    <row r="11" spans="2:8" hidden="1" x14ac:dyDescent="0.35">
      <c r="B11" s="122">
        <v>6</v>
      </c>
      <c r="C11" s="122" t="s">
        <v>145</v>
      </c>
      <c r="D11" s="122" t="s">
        <v>146</v>
      </c>
      <c r="E11" s="122"/>
      <c r="F11" s="123">
        <v>45656</v>
      </c>
      <c r="G11" s="122" t="s">
        <v>35</v>
      </c>
      <c r="H11" s="122"/>
    </row>
    <row r="12" spans="2:8" hidden="1" x14ac:dyDescent="0.35">
      <c r="B12" s="122">
        <v>7</v>
      </c>
      <c r="C12" s="122" t="s">
        <v>147</v>
      </c>
      <c r="D12" s="122" t="s">
        <v>146</v>
      </c>
      <c r="E12" s="122"/>
      <c r="F12" s="123">
        <v>45656</v>
      </c>
      <c r="G12" s="122" t="s">
        <v>35</v>
      </c>
      <c r="H12" s="122"/>
    </row>
    <row r="13" spans="2:8" x14ac:dyDescent="0.35">
      <c r="B13" s="122">
        <v>8</v>
      </c>
      <c r="C13" s="122" t="s">
        <v>148</v>
      </c>
      <c r="D13" s="122" t="s">
        <v>138</v>
      </c>
      <c r="E13" s="123">
        <v>46022</v>
      </c>
      <c r="F13" s="123">
        <v>45658</v>
      </c>
      <c r="G13" s="122" t="s">
        <v>37</v>
      </c>
      <c r="H13" s="122"/>
    </row>
    <row r="14" spans="2:8" hidden="1" x14ac:dyDescent="0.35">
      <c r="B14" s="122">
        <v>9</v>
      </c>
      <c r="C14" s="122" t="s">
        <v>149</v>
      </c>
      <c r="D14" s="122" t="s">
        <v>150</v>
      </c>
      <c r="E14" s="123">
        <v>45838</v>
      </c>
      <c r="F14" s="123">
        <v>45656</v>
      </c>
      <c r="G14" s="122" t="s">
        <v>38</v>
      </c>
      <c r="H14" s="122"/>
    </row>
    <row r="15" spans="2:8" hidden="1" x14ac:dyDescent="0.35">
      <c r="B15" s="122">
        <v>10</v>
      </c>
      <c r="C15" s="122" t="s">
        <v>151</v>
      </c>
      <c r="D15" s="122" t="s">
        <v>150</v>
      </c>
      <c r="E15" s="123">
        <v>45838</v>
      </c>
      <c r="F15" s="123">
        <v>45656</v>
      </c>
      <c r="G15" s="122" t="s">
        <v>38</v>
      </c>
      <c r="H15" s="122"/>
    </row>
    <row r="16" spans="2:8" hidden="1" x14ac:dyDescent="0.35">
      <c r="B16" s="122">
        <v>11</v>
      </c>
      <c r="C16" s="122" t="s">
        <v>152</v>
      </c>
      <c r="D16" s="122" t="s">
        <v>150</v>
      </c>
      <c r="E16" s="122"/>
      <c r="F16" s="123">
        <v>45656</v>
      </c>
      <c r="G16" s="122" t="s">
        <v>38</v>
      </c>
      <c r="H16" s="122"/>
    </row>
    <row r="17" spans="2:8" hidden="1" x14ac:dyDescent="0.35">
      <c r="B17" s="122">
        <v>12</v>
      </c>
      <c r="C17" s="122" t="s">
        <v>153</v>
      </c>
      <c r="D17" s="122" t="s">
        <v>150</v>
      </c>
      <c r="E17" s="123">
        <v>45838</v>
      </c>
      <c r="F17" s="123">
        <v>45656</v>
      </c>
      <c r="G17" s="122" t="s">
        <v>38</v>
      </c>
      <c r="H17" s="122"/>
    </row>
    <row r="18" spans="2:8" hidden="1" x14ac:dyDescent="0.35">
      <c r="B18" s="122">
        <v>13</v>
      </c>
      <c r="C18" s="122" t="s">
        <v>154</v>
      </c>
      <c r="D18" s="122" t="s">
        <v>150</v>
      </c>
      <c r="E18" s="123">
        <v>45838</v>
      </c>
      <c r="F18" s="123">
        <v>45656</v>
      </c>
      <c r="G18" s="122" t="s">
        <v>38</v>
      </c>
      <c r="H18" s="122"/>
    </row>
    <row r="19" spans="2:8" hidden="1" x14ac:dyDescent="0.35">
      <c r="B19" s="122">
        <v>14</v>
      </c>
      <c r="C19" s="122" t="s">
        <v>155</v>
      </c>
      <c r="D19" s="122" t="s">
        <v>150</v>
      </c>
      <c r="E19" s="122"/>
      <c r="F19" s="123">
        <v>45656</v>
      </c>
      <c r="G19" s="122" t="s">
        <v>38</v>
      </c>
      <c r="H19" s="122"/>
    </row>
    <row r="20" spans="2:8" hidden="1" x14ac:dyDescent="0.35">
      <c r="B20" s="122">
        <v>15</v>
      </c>
      <c r="C20" s="122" t="s">
        <v>156</v>
      </c>
      <c r="D20" s="122" t="s">
        <v>150</v>
      </c>
      <c r="E20" s="122"/>
      <c r="F20" s="123">
        <v>45656</v>
      </c>
      <c r="G20" s="122" t="s">
        <v>38</v>
      </c>
      <c r="H20" s="122"/>
    </row>
    <row r="21" spans="2:8" hidden="1" x14ac:dyDescent="0.35">
      <c r="B21" s="122">
        <v>16</v>
      </c>
      <c r="C21" s="122" t="s">
        <v>157</v>
      </c>
      <c r="D21" s="122" t="s">
        <v>150</v>
      </c>
      <c r="E21" s="123">
        <v>45838</v>
      </c>
      <c r="F21" s="123">
        <v>45656</v>
      </c>
      <c r="G21" s="122" t="s">
        <v>38</v>
      </c>
      <c r="H21" s="122"/>
    </row>
    <row r="22" spans="2:8" hidden="1" x14ac:dyDescent="0.35">
      <c r="B22" s="122">
        <v>17</v>
      </c>
      <c r="C22" s="122" t="s">
        <v>158</v>
      </c>
      <c r="D22" s="122" t="s">
        <v>150</v>
      </c>
      <c r="E22" s="123">
        <v>46022</v>
      </c>
      <c r="F22" s="123">
        <v>45656</v>
      </c>
      <c r="G22" s="122" t="s">
        <v>38</v>
      </c>
      <c r="H22" s="122"/>
    </row>
    <row r="23" spans="2:8" hidden="1" x14ac:dyDescent="0.35">
      <c r="B23" s="122">
        <v>18</v>
      </c>
      <c r="C23" s="122" t="s">
        <v>159</v>
      </c>
      <c r="D23" s="122" t="s">
        <v>150</v>
      </c>
      <c r="E23" s="123">
        <v>46022</v>
      </c>
      <c r="F23" s="123">
        <v>45656</v>
      </c>
      <c r="G23" s="122" t="s">
        <v>38</v>
      </c>
      <c r="H23" s="122"/>
    </row>
    <row r="24" spans="2:8" hidden="1" x14ac:dyDescent="0.35">
      <c r="B24" s="122">
        <v>19</v>
      </c>
      <c r="C24" s="122" t="s">
        <v>160</v>
      </c>
      <c r="D24" s="122" t="s">
        <v>161</v>
      </c>
      <c r="E24" s="123">
        <v>45838</v>
      </c>
      <c r="F24" s="123">
        <v>45656</v>
      </c>
      <c r="G24" s="122" t="s">
        <v>40</v>
      </c>
      <c r="H24" s="122"/>
    </row>
    <row r="25" spans="2:8" hidden="1" x14ac:dyDescent="0.35">
      <c r="B25" s="122">
        <v>20</v>
      </c>
      <c r="C25" s="122" t="s">
        <v>162</v>
      </c>
      <c r="D25" s="122" t="s">
        <v>161</v>
      </c>
      <c r="E25" s="123">
        <v>45838</v>
      </c>
      <c r="F25" s="123">
        <v>45656</v>
      </c>
      <c r="G25" s="122" t="s">
        <v>40</v>
      </c>
      <c r="H25" s="122"/>
    </row>
    <row r="26" spans="2:8" x14ac:dyDescent="0.35">
      <c r="B26" s="122">
        <v>21</v>
      </c>
      <c r="C26" s="122" t="s">
        <v>163</v>
      </c>
      <c r="D26" s="122" t="s">
        <v>138</v>
      </c>
      <c r="E26" s="123">
        <v>46022</v>
      </c>
      <c r="F26" s="123">
        <v>45658</v>
      </c>
      <c r="G26" s="122" t="s">
        <v>42</v>
      </c>
      <c r="H26" s="122"/>
    </row>
    <row r="27" spans="2:8" x14ac:dyDescent="0.35">
      <c r="B27" s="122">
        <v>22</v>
      </c>
      <c r="C27" s="122" t="s">
        <v>164</v>
      </c>
      <c r="D27" s="122" t="s">
        <v>138</v>
      </c>
      <c r="E27" s="123">
        <v>46022</v>
      </c>
      <c r="F27" s="123">
        <v>45658</v>
      </c>
      <c r="G27" s="122" t="s">
        <v>42</v>
      </c>
      <c r="H27" s="122"/>
    </row>
    <row r="28" spans="2:8" hidden="1" x14ac:dyDescent="0.35">
      <c r="B28" s="122">
        <v>23</v>
      </c>
      <c r="C28" s="122" t="s">
        <v>165</v>
      </c>
      <c r="D28" s="122" t="s">
        <v>166</v>
      </c>
      <c r="E28" s="123">
        <v>45838</v>
      </c>
      <c r="F28" s="123">
        <v>45656</v>
      </c>
      <c r="G28" s="122" t="s">
        <v>43</v>
      </c>
      <c r="H28" s="122"/>
    </row>
    <row r="29" spans="2:8" hidden="1" x14ac:dyDescent="0.35">
      <c r="B29" s="122">
        <v>24</v>
      </c>
      <c r="C29" s="122" t="s">
        <v>167</v>
      </c>
      <c r="D29" s="122" t="s">
        <v>166</v>
      </c>
      <c r="E29" s="123">
        <v>45838</v>
      </c>
      <c r="F29" s="123">
        <v>45656</v>
      </c>
      <c r="G29" s="122" t="s">
        <v>43</v>
      </c>
      <c r="H29" s="122"/>
    </row>
    <row r="30" spans="2:8" hidden="1" x14ac:dyDescent="0.35">
      <c r="B30" s="122">
        <v>25</v>
      </c>
      <c r="C30" s="122" t="s">
        <v>168</v>
      </c>
      <c r="D30" s="122" t="s">
        <v>166</v>
      </c>
      <c r="E30" s="123">
        <v>45838</v>
      </c>
      <c r="F30" s="123">
        <v>45656</v>
      </c>
      <c r="G30" s="122" t="s">
        <v>43</v>
      </c>
      <c r="H30" s="122"/>
    </row>
    <row r="31" spans="2:8" hidden="1" x14ac:dyDescent="0.35">
      <c r="B31" s="122">
        <v>26</v>
      </c>
      <c r="C31" s="122" t="s">
        <v>169</v>
      </c>
      <c r="D31" s="122" t="s">
        <v>166</v>
      </c>
      <c r="E31" s="123">
        <v>45838</v>
      </c>
      <c r="F31" s="123">
        <v>45656</v>
      </c>
      <c r="G31" s="122" t="s">
        <v>44</v>
      </c>
      <c r="H31" s="122"/>
    </row>
    <row r="32" spans="2:8" hidden="1" x14ac:dyDescent="0.35">
      <c r="B32" s="122">
        <v>27</v>
      </c>
      <c r="C32" s="122" t="s">
        <v>170</v>
      </c>
      <c r="D32" s="122" t="s">
        <v>166</v>
      </c>
      <c r="E32" s="123">
        <v>45838</v>
      </c>
      <c r="F32" s="123">
        <v>45656</v>
      </c>
      <c r="G32" s="122" t="s">
        <v>44</v>
      </c>
      <c r="H32" s="122"/>
    </row>
    <row r="33" spans="2:8" hidden="1" x14ac:dyDescent="0.35">
      <c r="B33" s="122">
        <v>28</v>
      </c>
      <c r="C33" s="122" t="s">
        <v>171</v>
      </c>
      <c r="D33" s="122" t="s">
        <v>166</v>
      </c>
      <c r="E33" s="123">
        <v>45838</v>
      </c>
      <c r="F33" s="123">
        <v>45656</v>
      </c>
      <c r="G33" s="122" t="s">
        <v>44</v>
      </c>
      <c r="H33" s="122"/>
    </row>
    <row r="34" spans="2:8" hidden="1" x14ac:dyDescent="0.35">
      <c r="B34" s="122">
        <v>29</v>
      </c>
      <c r="C34" s="122" t="s">
        <v>172</v>
      </c>
      <c r="D34" s="122" t="s">
        <v>166</v>
      </c>
      <c r="E34" s="123">
        <v>45838</v>
      </c>
      <c r="F34" s="123">
        <v>45656</v>
      </c>
      <c r="G34" s="122" t="s">
        <v>44</v>
      </c>
      <c r="H34" s="122"/>
    </row>
    <row r="35" spans="2:8" hidden="1" x14ac:dyDescent="0.35">
      <c r="B35" s="122">
        <v>30</v>
      </c>
      <c r="C35" s="122" t="s">
        <v>173</v>
      </c>
      <c r="D35" s="122" t="s">
        <v>166</v>
      </c>
      <c r="E35" s="123">
        <v>45838</v>
      </c>
      <c r="F35" s="123">
        <v>45656</v>
      </c>
      <c r="G35" s="122" t="s">
        <v>44</v>
      </c>
      <c r="H35" s="122"/>
    </row>
    <row r="36" spans="2:8" hidden="1" x14ac:dyDescent="0.35">
      <c r="B36" s="122">
        <v>31</v>
      </c>
      <c r="C36" s="122" t="s">
        <v>174</v>
      </c>
      <c r="D36" s="122" t="s">
        <v>166</v>
      </c>
      <c r="E36" s="123">
        <v>45838</v>
      </c>
      <c r="F36" s="123">
        <v>45656</v>
      </c>
      <c r="G36" s="122" t="s">
        <v>44</v>
      </c>
      <c r="H36" s="122"/>
    </row>
    <row r="37" spans="2:8" hidden="1" x14ac:dyDescent="0.35">
      <c r="B37" s="122">
        <v>32</v>
      </c>
      <c r="C37" s="122" t="s">
        <v>175</v>
      </c>
      <c r="D37" s="122" t="s">
        <v>166</v>
      </c>
      <c r="E37" s="123">
        <v>45838</v>
      </c>
      <c r="F37" s="123">
        <v>45656</v>
      </c>
      <c r="G37" s="122" t="s">
        <v>44</v>
      </c>
      <c r="H37" s="122"/>
    </row>
    <row r="38" spans="2:8" hidden="1" x14ac:dyDescent="0.35">
      <c r="B38" s="122">
        <v>33</v>
      </c>
      <c r="C38" s="122" t="s">
        <v>176</v>
      </c>
      <c r="D38" s="122" t="s">
        <v>140</v>
      </c>
      <c r="E38" s="123">
        <v>46022</v>
      </c>
      <c r="F38" s="123">
        <v>45656</v>
      </c>
      <c r="G38" s="122" t="s">
        <v>45</v>
      </c>
      <c r="H38" s="122"/>
    </row>
    <row r="39" spans="2:8" hidden="1" x14ac:dyDescent="0.35">
      <c r="B39" s="122">
        <v>34</v>
      </c>
      <c r="C39" s="122" t="s">
        <v>177</v>
      </c>
      <c r="D39" s="122" t="s">
        <v>140</v>
      </c>
      <c r="E39" s="123">
        <v>46022</v>
      </c>
      <c r="F39" s="123">
        <v>45656</v>
      </c>
      <c r="G39" s="122" t="s">
        <v>45</v>
      </c>
      <c r="H39" s="122"/>
    </row>
    <row r="40" spans="2:8" hidden="1" x14ac:dyDescent="0.35">
      <c r="B40" s="122">
        <v>35</v>
      </c>
      <c r="C40" s="122" t="s">
        <v>178</v>
      </c>
      <c r="D40" s="122" t="s">
        <v>140</v>
      </c>
      <c r="E40" s="123">
        <v>46022</v>
      </c>
      <c r="F40" s="123">
        <v>45656</v>
      </c>
      <c r="G40" s="122" t="s">
        <v>45</v>
      </c>
      <c r="H40" s="122"/>
    </row>
    <row r="41" spans="2:8" hidden="1" x14ac:dyDescent="0.35">
      <c r="B41" s="122">
        <v>36</v>
      </c>
      <c r="C41" s="122" t="s">
        <v>179</v>
      </c>
      <c r="D41" s="122" t="s">
        <v>166</v>
      </c>
      <c r="E41" s="123">
        <v>45777</v>
      </c>
      <c r="F41" s="123">
        <v>45656</v>
      </c>
      <c r="G41" s="122" t="s">
        <v>46</v>
      </c>
      <c r="H41" s="122"/>
    </row>
    <row r="42" spans="2:8" hidden="1" x14ac:dyDescent="0.35">
      <c r="B42" s="122">
        <v>37</v>
      </c>
      <c r="C42" s="122" t="s">
        <v>180</v>
      </c>
      <c r="D42" s="122" t="s">
        <v>166</v>
      </c>
      <c r="E42" s="122"/>
      <c r="F42" s="123">
        <v>45656</v>
      </c>
      <c r="G42" s="122" t="s">
        <v>47</v>
      </c>
      <c r="H42" s="122"/>
    </row>
    <row r="43" spans="2:8" hidden="1" x14ac:dyDescent="0.35">
      <c r="B43" s="122">
        <v>38</v>
      </c>
      <c r="C43" s="122" t="s">
        <v>181</v>
      </c>
      <c r="D43" s="122" t="s">
        <v>166</v>
      </c>
      <c r="E43" s="122"/>
      <c r="F43" s="123">
        <v>45656</v>
      </c>
      <c r="G43" s="122" t="s">
        <v>48</v>
      </c>
      <c r="H43" s="122"/>
    </row>
    <row r="44" spans="2:8" hidden="1" x14ac:dyDescent="0.35">
      <c r="B44" s="122">
        <v>39</v>
      </c>
      <c r="C44" s="122" t="s">
        <v>182</v>
      </c>
      <c r="D44" s="122" t="s">
        <v>166</v>
      </c>
      <c r="E44" s="123">
        <v>45838</v>
      </c>
      <c r="F44" s="123">
        <v>45656</v>
      </c>
      <c r="G44" s="122" t="s">
        <v>49</v>
      </c>
      <c r="H44" s="122"/>
    </row>
    <row r="45" spans="2:8" hidden="1" x14ac:dyDescent="0.35">
      <c r="B45" s="122">
        <v>40</v>
      </c>
      <c r="C45" s="122" t="s">
        <v>183</v>
      </c>
      <c r="D45" s="122" t="s">
        <v>161</v>
      </c>
      <c r="E45" s="123">
        <v>45838</v>
      </c>
      <c r="F45" s="123">
        <v>45656</v>
      </c>
      <c r="G45" s="122" t="s">
        <v>50</v>
      </c>
      <c r="H45" s="122"/>
    </row>
    <row r="46" spans="2:8" x14ac:dyDescent="0.35">
      <c r="B46" s="122">
        <v>41</v>
      </c>
      <c r="C46" s="122" t="s">
        <v>184</v>
      </c>
      <c r="D46" s="122" t="s">
        <v>185</v>
      </c>
      <c r="E46" s="123">
        <v>46022</v>
      </c>
      <c r="F46" s="123">
        <v>45656</v>
      </c>
      <c r="G46" s="122" t="s">
        <v>51</v>
      </c>
      <c r="H46" s="122"/>
    </row>
    <row r="47" spans="2:8" hidden="1" x14ac:dyDescent="0.35">
      <c r="B47" s="122">
        <v>42</v>
      </c>
      <c r="C47" s="122" t="s">
        <v>186</v>
      </c>
      <c r="D47" s="122" t="s">
        <v>150</v>
      </c>
      <c r="E47" s="122"/>
      <c r="F47" s="123">
        <v>45656</v>
      </c>
      <c r="G47" s="122" t="s">
        <v>54</v>
      </c>
      <c r="H47" s="122"/>
    </row>
    <row r="48" spans="2:8" hidden="1" x14ac:dyDescent="0.35">
      <c r="B48" s="122">
        <v>43</v>
      </c>
      <c r="C48" s="122" t="s">
        <v>187</v>
      </c>
      <c r="D48" s="122" t="s">
        <v>142</v>
      </c>
      <c r="E48" s="122"/>
      <c r="F48" s="122"/>
      <c r="G48" s="122" t="s">
        <v>20</v>
      </c>
      <c r="H48" s="122"/>
    </row>
    <row r="49" spans="2:8" hidden="1" x14ac:dyDescent="0.35">
      <c r="B49" s="122">
        <v>44</v>
      </c>
      <c r="C49" s="122" t="s">
        <v>188</v>
      </c>
      <c r="D49" s="122" t="s">
        <v>142</v>
      </c>
      <c r="E49" s="122"/>
      <c r="F49" s="122"/>
      <c r="G49" s="122" t="s">
        <v>20</v>
      </c>
      <c r="H49" s="122"/>
    </row>
    <row r="50" spans="2:8" hidden="1" x14ac:dyDescent="0.35">
      <c r="B50" s="122">
        <v>45</v>
      </c>
      <c r="C50" s="122" t="s">
        <v>189</v>
      </c>
      <c r="D50" s="122" t="s">
        <v>146</v>
      </c>
      <c r="E50" s="122"/>
      <c r="F50" s="122"/>
      <c r="G50" s="122" t="s">
        <v>65</v>
      </c>
      <c r="H50" s="122"/>
    </row>
    <row r="51" spans="2:8" hidden="1" x14ac:dyDescent="0.35">
      <c r="B51" s="122">
        <v>46</v>
      </c>
      <c r="C51" s="122" t="s">
        <v>190</v>
      </c>
      <c r="D51" s="122" t="s">
        <v>146</v>
      </c>
      <c r="E51" s="123">
        <v>45808</v>
      </c>
      <c r="F51" s="123">
        <v>45735</v>
      </c>
      <c r="G51" s="122" t="s">
        <v>65</v>
      </c>
      <c r="H51" s="122"/>
    </row>
    <row r="52" spans="2:8" hidden="1" x14ac:dyDescent="0.35">
      <c r="B52" s="122">
        <v>47</v>
      </c>
      <c r="C52" s="122" t="s">
        <v>191</v>
      </c>
      <c r="D52" s="122" t="s">
        <v>146</v>
      </c>
      <c r="E52" s="122"/>
      <c r="F52" s="122"/>
      <c r="G52" s="122" t="s">
        <v>65</v>
      </c>
      <c r="H52" s="122"/>
    </row>
    <row r="53" spans="2:8" x14ac:dyDescent="0.35">
      <c r="B53" s="122">
        <v>48</v>
      </c>
      <c r="C53" s="122" t="s">
        <v>192</v>
      </c>
      <c r="D53" s="122" t="s">
        <v>193</v>
      </c>
      <c r="E53" s="123">
        <v>46021</v>
      </c>
      <c r="F53" s="123">
        <v>45656</v>
      </c>
      <c r="G53" s="122" t="s">
        <v>70</v>
      </c>
      <c r="H53" s="122"/>
    </row>
    <row r="54" spans="2:8" x14ac:dyDescent="0.35">
      <c r="B54" s="122">
        <v>49</v>
      </c>
      <c r="C54" s="122" t="s">
        <v>194</v>
      </c>
      <c r="D54" s="122" t="s">
        <v>138</v>
      </c>
      <c r="E54" s="123">
        <v>46022</v>
      </c>
      <c r="F54" s="123">
        <v>45777</v>
      </c>
      <c r="G54" s="122" t="s">
        <v>82</v>
      </c>
      <c r="H54" s="122"/>
    </row>
    <row r="55" spans="2:8" x14ac:dyDescent="0.35">
      <c r="B55" s="122">
        <v>50</v>
      </c>
      <c r="C55" s="122" t="s">
        <v>195</v>
      </c>
      <c r="D55" s="122" t="s">
        <v>138</v>
      </c>
      <c r="E55" s="123">
        <v>46022</v>
      </c>
      <c r="F55" s="123">
        <v>45777</v>
      </c>
      <c r="G55" s="122" t="s">
        <v>84</v>
      </c>
      <c r="H55" s="122"/>
    </row>
    <row r="56" spans="2:8" x14ac:dyDescent="0.35">
      <c r="B56" s="122">
        <v>51</v>
      </c>
      <c r="C56" s="122" t="s">
        <v>196</v>
      </c>
      <c r="D56" s="122" t="s">
        <v>138</v>
      </c>
      <c r="E56" s="123">
        <v>46022</v>
      </c>
      <c r="F56" s="123">
        <v>45803</v>
      </c>
      <c r="G56" s="122" t="s">
        <v>82</v>
      </c>
      <c r="H56" s="122"/>
    </row>
    <row r="57" spans="2:8" x14ac:dyDescent="0.35">
      <c r="B57" s="122">
        <v>52</v>
      </c>
      <c r="C57" s="122" t="s">
        <v>197</v>
      </c>
      <c r="D57" s="122" t="s">
        <v>138</v>
      </c>
      <c r="E57" s="123">
        <v>46022</v>
      </c>
      <c r="F57" s="123">
        <v>45803</v>
      </c>
      <c r="G57" s="122" t="s">
        <v>13</v>
      </c>
      <c r="H57" s="122"/>
    </row>
    <row r="58" spans="2:8" x14ac:dyDescent="0.35">
      <c r="B58" s="122">
        <v>53</v>
      </c>
      <c r="C58" s="122" t="s">
        <v>198</v>
      </c>
      <c r="D58" s="122" t="s">
        <v>138</v>
      </c>
      <c r="E58" s="123">
        <v>45961</v>
      </c>
      <c r="F58" s="123">
        <v>45810</v>
      </c>
      <c r="G58" s="122" t="s">
        <v>92</v>
      </c>
      <c r="H58" s="122"/>
    </row>
    <row r="59" spans="2:8" x14ac:dyDescent="0.35">
      <c r="B59" s="122">
        <v>54</v>
      </c>
      <c r="C59" s="122" t="s">
        <v>199</v>
      </c>
      <c r="D59" s="122" t="s">
        <v>138</v>
      </c>
      <c r="E59" s="123">
        <v>46022</v>
      </c>
      <c r="F59" s="123">
        <v>45845</v>
      </c>
      <c r="G59" s="122" t="s">
        <v>13</v>
      </c>
      <c r="H59" s="122"/>
    </row>
    <row r="60" spans="2:8" x14ac:dyDescent="0.35">
      <c r="B60" s="122">
        <v>55</v>
      </c>
      <c r="C60" s="122" t="s">
        <v>200</v>
      </c>
      <c r="D60" s="122" t="s">
        <v>138</v>
      </c>
      <c r="E60" s="123">
        <v>46022</v>
      </c>
      <c r="F60" s="123">
        <v>45845</v>
      </c>
      <c r="G60" s="122" t="s">
        <v>13</v>
      </c>
      <c r="H60" s="122"/>
    </row>
    <row r="61" spans="2:8" hidden="1" x14ac:dyDescent="0.35">
      <c r="B61" s="122">
        <v>56</v>
      </c>
      <c r="C61" s="122" t="s">
        <v>201</v>
      </c>
      <c r="D61" s="122">
        <v>0</v>
      </c>
      <c r="E61" s="122"/>
      <c r="F61" s="122"/>
      <c r="G61" s="122" t="s">
        <v>104</v>
      </c>
      <c r="H61" s="122"/>
    </row>
    <row r="62" spans="2:8" x14ac:dyDescent="0.35">
      <c r="B62" s="122">
        <v>57</v>
      </c>
      <c r="C62" s="122" t="s">
        <v>202</v>
      </c>
      <c r="D62" s="122" t="s">
        <v>138</v>
      </c>
      <c r="E62" s="123">
        <v>46022</v>
      </c>
      <c r="F62" s="123">
        <v>45840</v>
      </c>
      <c r="G62" s="122" t="s">
        <v>13</v>
      </c>
      <c r="H62" s="122"/>
    </row>
    <row r="63" spans="2:8" x14ac:dyDescent="0.35">
      <c r="B63" s="122">
        <v>58</v>
      </c>
      <c r="C63" s="122" t="s">
        <v>203</v>
      </c>
      <c r="D63" s="122" t="s">
        <v>138</v>
      </c>
      <c r="E63" s="123">
        <v>46022</v>
      </c>
      <c r="F63" s="123">
        <v>45840</v>
      </c>
      <c r="G63" s="122" t="s">
        <v>13</v>
      </c>
      <c r="H63" s="122"/>
    </row>
    <row r="64" spans="2:8" x14ac:dyDescent="0.35">
      <c r="B64" s="122">
        <v>59</v>
      </c>
      <c r="C64" s="122" t="s">
        <v>204</v>
      </c>
      <c r="D64" s="122" t="s">
        <v>138</v>
      </c>
      <c r="E64" s="123">
        <v>46022</v>
      </c>
      <c r="F64" s="123">
        <v>45845</v>
      </c>
      <c r="G64" s="122" t="s">
        <v>13</v>
      </c>
      <c r="H64" s="122"/>
    </row>
    <row r="65" spans="2:8" hidden="1" x14ac:dyDescent="0.35">
      <c r="B65" s="122">
        <v>60</v>
      </c>
      <c r="C65" s="122" t="s">
        <v>205</v>
      </c>
      <c r="D65" s="122" t="s">
        <v>206</v>
      </c>
      <c r="E65" s="123">
        <v>45930</v>
      </c>
      <c r="F65" s="123">
        <v>45839</v>
      </c>
      <c r="G65" s="122" t="s">
        <v>115</v>
      </c>
      <c r="H65" s="122"/>
    </row>
    <row r="66" spans="2:8" hidden="1" x14ac:dyDescent="0.35">
      <c r="B66" s="122">
        <v>61</v>
      </c>
      <c r="C66" s="122" t="s">
        <v>207</v>
      </c>
      <c r="D66" s="122" t="s">
        <v>206</v>
      </c>
      <c r="E66" s="123">
        <v>45930</v>
      </c>
      <c r="F66" s="123">
        <v>45839</v>
      </c>
      <c r="G66" s="122" t="s">
        <v>115</v>
      </c>
      <c r="H66" s="122"/>
    </row>
    <row r="67" spans="2:8" hidden="1" x14ac:dyDescent="0.35">
      <c r="B67" s="122">
        <v>62</v>
      </c>
      <c r="C67" s="122" t="s">
        <v>208</v>
      </c>
      <c r="D67" s="122" t="s">
        <v>206</v>
      </c>
      <c r="E67" s="123">
        <v>45930</v>
      </c>
      <c r="F67" s="123">
        <v>45839</v>
      </c>
      <c r="G67" s="122" t="s">
        <v>115</v>
      </c>
      <c r="H67" s="122"/>
    </row>
    <row r="68" spans="2:8" x14ac:dyDescent="0.35">
      <c r="B68" s="122">
        <v>63</v>
      </c>
      <c r="C68" s="122" t="s">
        <v>209</v>
      </c>
      <c r="D68" s="122" t="s">
        <v>138</v>
      </c>
      <c r="E68" s="123">
        <v>46022</v>
      </c>
      <c r="F68" s="123">
        <v>45903</v>
      </c>
      <c r="G68" s="122" t="s">
        <v>112</v>
      </c>
      <c r="H68" s="122"/>
    </row>
  </sheetData>
  <sheetProtection algorithmName="SHA-512" hashValue="MOE3odbopzEy7q388zud+GXrTMKhp60yX7RY0BEQzS8N6ZwQEn/0wrwyhGjvuFQo4xoSoReDn3zlyBAPckXSKg==" saltValue="/7mDGHk+W1yBYv46qcetFA==" spinCount="100000" sheet="1" objects="1" scenarios="1"/>
  <autoFilter ref="B5:H68" xr:uid="{89642866-515D-448E-948D-B25D80479FBE}">
    <filterColumn colId="2">
      <filters>
        <filter val="Allogene"/>
        <filter val="Takeda"/>
        <filter val="UCB"/>
      </filters>
    </filterColumn>
  </autoFilter>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271CE-B0B3-4CA2-853E-50EF5D5A154D}">
  <sheetPr codeName="Sheet8">
    <tabColor theme="9" tint="-0.499984740745262"/>
  </sheetPr>
  <dimension ref="A1:V370"/>
  <sheetViews>
    <sheetView showGridLines="0" tabSelected="1" zoomScale="80" zoomScaleNormal="80" workbookViewId="0">
      <pane ySplit="1" topLeftCell="A239" activePane="bottomLeft" state="frozen"/>
      <selection activeCell="D1" sqref="D1"/>
      <selection pane="bottomLeft" activeCell="M248" sqref="M248"/>
    </sheetView>
  </sheetViews>
  <sheetFormatPr defaultColWidth="9.1796875" defaultRowHeight="15" customHeight="1" x14ac:dyDescent="0.35"/>
  <cols>
    <col min="1" max="1" width="7.1796875" style="75" customWidth="1"/>
    <col min="2" max="2" width="25" style="143" customWidth="1"/>
    <col min="3" max="3" width="11.453125" style="108" customWidth="1"/>
    <col min="4" max="4" width="47.7265625" style="143" customWidth="1"/>
    <col min="5" max="5" width="18.81640625" style="108" bestFit="1" customWidth="1"/>
    <col min="6" max="6" width="22.54296875" style="108" customWidth="1"/>
    <col min="7" max="7" width="15.26953125" style="108" customWidth="1"/>
    <col min="8" max="8" width="17.54296875" style="151" bestFit="1" customWidth="1"/>
    <col min="9" max="9" width="17.54296875" style="168" customWidth="1"/>
    <col min="10" max="10" width="17.54296875" style="164" customWidth="1"/>
    <col min="11" max="11" width="17.54296875" style="162" customWidth="1"/>
    <col min="12" max="12" width="17.54296875" style="166" customWidth="1"/>
    <col min="13" max="13" width="255.6328125" style="77" bestFit="1" customWidth="1"/>
    <col min="14" max="14" width="21.36328125" style="77" customWidth="1"/>
    <col min="15" max="16365" width="9.1796875" style="76"/>
    <col min="16366" max="16366" width="9.1796875" style="76" bestFit="1"/>
    <col min="16367" max="16384" width="9.1796875" style="76"/>
  </cols>
  <sheetData>
    <row r="1" spans="1:22" s="144" customFormat="1" ht="49.5" customHeight="1" x14ac:dyDescent="0.35">
      <c r="A1" s="146" t="s">
        <v>210</v>
      </c>
      <c r="B1" s="150" t="s">
        <v>211</v>
      </c>
      <c r="C1" s="147" t="s">
        <v>212</v>
      </c>
      <c r="D1" s="150" t="s">
        <v>213</v>
      </c>
      <c r="E1" s="147" t="s">
        <v>214</v>
      </c>
      <c r="F1" s="147" t="s">
        <v>215</v>
      </c>
      <c r="G1" s="147" t="s">
        <v>216</v>
      </c>
      <c r="H1" s="186" t="s">
        <v>217</v>
      </c>
      <c r="I1" s="186" t="s">
        <v>218</v>
      </c>
      <c r="J1" s="187" t="s">
        <v>219</v>
      </c>
      <c r="K1" s="188" t="s">
        <v>220</v>
      </c>
      <c r="L1" s="189" t="s">
        <v>221</v>
      </c>
      <c r="M1" s="145" t="s">
        <v>222</v>
      </c>
      <c r="N1" s="145"/>
      <c r="O1" s="190" t="s">
        <v>223</v>
      </c>
      <c r="P1" s="191" t="s">
        <v>224</v>
      </c>
      <c r="Q1" s="191" t="s">
        <v>225</v>
      </c>
      <c r="R1" s="191" t="s">
        <v>226</v>
      </c>
      <c r="S1" s="191" t="s">
        <v>227</v>
      </c>
      <c r="T1" s="191" t="s">
        <v>228</v>
      </c>
      <c r="U1" s="191" t="s">
        <v>229</v>
      </c>
      <c r="V1" s="191" t="s">
        <v>230</v>
      </c>
    </row>
    <row r="2" spans="1:22" ht="14.5" x14ac:dyDescent="0.35">
      <c r="A2" s="78">
        <v>1</v>
      </c>
      <c r="B2" s="202" t="s">
        <v>231</v>
      </c>
      <c r="C2" s="107">
        <v>90724630</v>
      </c>
      <c r="D2" s="171" t="str">
        <f>_xlfn.XLOOKUP(C2,Sheet2!B:B,Sheet2!A:A)</f>
        <v>Aayush.Aayush@rockwellautomation.com</v>
      </c>
      <c r="E2" s="107" t="s">
        <v>232</v>
      </c>
      <c r="F2" s="107" t="s">
        <v>233</v>
      </c>
      <c r="G2" s="184"/>
      <c r="H2" s="151" t="s">
        <v>234</v>
      </c>
      <c r="I2" s="167">
        <f t="shared" ref="I2:I33" si="0">IF(
   OR(H2="",H2="NA"),
   "",
   VALUE(LEFT(H2,FIND("years",H2)-1)) +
   VALUE(MID(H2,FIND("years",H2)+5,FIND("months",H2)-FIND("years",H2)-5))/12
)</f>
        <v>1.3333333333333333</v>
      </c>
      <c r="J2" s="163" t="s">
        <v>235</v>
      </c>
      <c r="K2" s="161">
        <v>45490</v>
      </c>
      <c r="L2" s="165">
        <f ca="1">IF(OR(J2="",K2=""),"",
ROUND(
IFERROR(
--J2,
VALUE(LEFT(J2,FIND("years",J2)-1))
+ VALUE(MID(J2,FIND("years",J2)+6,FIND("months",J2)-FIND("years",J2)-6))/12
)
+ DATEDIF(K2,TODAY(),"y")
+ DATEDIF(K2,TODAY(),"ym")/12,2))</f>
        <v>1.92</v>
      </c>
      <c r="M2" s="151">
        <f ca="1">IF(OR(K2="",L2=""),"",
ROUND(
IFERROR(
--K2,
VALUE(LEFT(K2,FIND("years",K2)-1))
+ VALUE(MID(K2,FIND("years",K2)+6,FIND("months",K2)-FIND("years",K2)-6))/12
)
+ DATEDIF(L2,TODAY(),"y")
+ DATEDIF(L2,TODAY(),"ym")/12,2))</f>
        <v>45616.42</v>
      </c>
      <c r="N2" s="75"/>
      <c r="O2" s="192" t="s">
        <v>236</v>
      </c>
      <c r="P2" s="193" t="s">
        <v>237</v>
      </c>
      <c r="Q2" s="193" t="s">
        <v>237</v>
      </c>
      <c r="R2" s="193" t="s">
        <v>237</v>
      </c>
      <c r="S2" s="193" t="s">
        <v>237</v>
      </c>
      <c r="T2" s="193" t="s">
        <v>237</v>
      </c>
      <c r="U2" s="193" t="s">
        <v>237</v>
      </c>
      <c r="V2" s="193" t="s">
        <v>237</v>
      </c>
    </row>
    <row r="3" spans="1:22" ht="14.5" customHeight="1" x14ac:dyDescent="0.35">
      <c r="A3" s="78">
        <v>2</v>
      </c>
      <c r="B3" s="141" t="s">
        <v>238</v>
      </c>
      <c r="C3" s="107">
        <v>90719506</v>
      </c>
      <c r="D3" s="171" t="str">
        <f>_xlfn.XLOOKUP(C3,Sheet2!B:B,Sheet2!A:A)</f>
        <v>Aayush.Agarwal@rockwellautomation.com</v>
      </c>
      <c r="E3" s="107" t="s">
        <v>232</v>
      </c>
      <c r="F3" s="107" t="s">
        <v>239</v>
      </c>
      <c r="G3" s="184"/>
      <c r="H3" s="151" t="s">
        <v>240</v>
      </c>
      <c r="I3" s="167">
        <f t="shared" si="0"/>
        <v>6.166666666666667</v>
      </c>
      <c r="J3" s="163" t="s">
        <v>235</v>
      </c>
      <c r="K3" s="161">
        <v>43738</v>
      </c>
      <c r="L3" s="165">
        <f t="shared" ref="L3:L66" ca="1" si="1">IF(OR(J3="",K3=""),"",
ROUND(
IFERROR(
--J3,
VALUE(LEFT(J3,FIND("years",J3)-1))
+ VALUE(MID(J3,FIND("years",J3)+6,FIND("months",J3)-FIND("years",J3)-6))/12
)
+ DATEDIF(K3,TODAY(),"y")
+ DATEDIF(K3,TODAY(),"ym")/12,2))</f>
        <v>6.67</v>
      </c>
      <c r="M3" s="148" t="e">
        <v>#N/A</v>
      </c>
      <c r="N3" s="75"/>
      <c r="O3" s="192" t="s">
        <v>237</v>
      </c>
      <c r="P3" s="193" t="s">
        <v>237</v>
      </c>
      <c r="Q3" s="193" t="s">
        <v>237</v>
      </c>
      <c r="R3" s="193" t="s">
        <v>237</v>
      </c>
      <c r="S3" s="193" t="s">
        <v>227</v>
      </c>
      <c r="T3" s="193" t="s">
        <v>237</v>
      </c>
      <c r="U3" s="193" t="s">
        <v>237</v>
      </c>
      <c r="V3" s="193" t="s">
        <v>237</v>
      </c>
    </row>
    <row r="4" spans="1:22" ht="14.5" customHeight="1" x14ac:dyDescent="0.35">
      <c r="A4" s="78">
        <v>3</v>
      </c>
      <c r="B4" s="196" t="s">
        <v>241</v>
      </c>
      <c r="C4" s="107">
        <v>90725469</v>
      </c>
      <c r="D4" s="171" t="str">
        <f>_xlfn.XLOOKUP(C4,Sheet2!B:B,Sheet2!A:A)</f>
        <v>Abe.Kuriachan@rockwellautomation.com</v>
      </c>
      <c r="E4" s="107" t="s">
        <v>232</v>
      </c>
      <c r="F4" s="107" t="s">
        <v>233</v>
      </c>
      <c r="G4" s="184"/>
      <c r="H4" s="151" t="s">
        <v>242</v>
      </c>
      <c r="I4" s="167" t="str">
        <f t="shared" si="0"/>
        <v/>
      </c>
      <c r="J4" s="163" t="e">
        <v>#N/A</v>
      </c>
      <c r="K4" s="161" t="e">
        <v>#N/A</v>
      </c>
      <c r="L4" s="165" t="e">
        <f t="shared" ca="1" si="1"/>
        <v>#N/A</v>
      </c>
      <c r="M4" s="148" t="e">
        <v>#N/A</v>
      </c>
      <c r="N4" s="75"/>
      <c r="O4" s="192" t="s">
        <v>237</v>
      </c>
      <c r="P4" s="193" t="s">
        <v>237</v>
      </c>
      <c r="Q4" s="193" t="s">
        <v>237</v>
      </c>
      <c r="R4" s="193" t="s">
        <v>237</v>
      </c>
      <c r="S4" s="193" t="s">
        <v>237</v>
      </c>
      <c r="T4" s="193" t="s">
        <v>237</v>
      </c>
      <c r="U4" s="193" t="s">
        <v>237</v>
      </c>
      <c r="V4" s="193" t="s">
        <v>237</v>
      </c>
    </row>
    <row r="5" spans="1:22" ht="14.5" customHeight="1" x14ac:dyDescent="0.35">
      <c r="A5" s="78">
        <v>4</v>
      </c>
      <c r="B5" s="176" t="s">
        <v>243</v>
      </c>
      <c r="C5" s="180">
        <v>90732267</v>
      </c>
      <c r="D5" s="171" t="str">
        <f>_xlfn.XLOOKUP(C5,Sheet2!B:B,Sheet2!A:A)</f>
        <v>ABHIJEET.ANAND@rockwellautomation.com</v>
      </c>
      <c r="E5" s="107" t="s">
        <v>232</v>
      </c>
      <c r="F5" s="107" t="s">
        <v>244</v>
      </c>
      <c r="G5" s="184" t="s">
        <v>245</v>
      </c>
      <c r="H5" s="151" t="s">
        <v>246</v>
      </c>
      <c r="I5" s="167">
        <f t="shared" si="0"/>
        <v>0.25</v>
      </c>
      <c r="J5" s="163" t="e">
        <v>#N/A</v>
      </c>
      <c r="K5" s="161">
        <v>45891</v>
      </c>
      <c r="L5" s="165" t="e">
        <f t="shared" ca="1" si="1"/>
        <v>#N/A</v>
      </c>
      <c r="M5" s="148" t="s">
        <v>247</v>
      </c>
      <c r="N5" s="75"/>
      <c r="O5" s="192" t="s">
        <v>237</v>
      </c>
      <c r="P5" s="193" t="s">
        <v>248</v>
      </c>
      <c r="Q5" s="193" t="s">
        <v>237</v>
      </c>
      <c r="R5" s="193" t="s">
        <v>237</v>
      </c>
      <c r="S5" s="193" t="s">
        <v>237</v>
      </c>
      <c r="T5" s="193" t="s">
        <v>237</v>
      </c>
      <c r="U5" s="193" t="s">
        <v>237</v>
      </c>
      <c r="V5" s="193" t="s">
        <v>237</v>
      </c>
    </row>
    <row r="6" spans="1:22" ht="14.5" customHeight="1" x14ac:dyDescent="0.35">
      <c r="A6" s="78">
        <v>5</v>
      </c>
      <c r="B6" s="154" t="s">
        <v>201</v>
      </c>
      <c r="C6" s="107">
        <v>90718839</v>
      </c>
      <c r="D6" s="171" t="str">
        <f>_xlfn.XLOOKUP(C6,Sheet2!B:B,Sheet2!A:A)</f>
        <v>Abhijith.MS@rockwellautomation.com</v>
      </c>
      <c r="E6" s="107" t="s">
        <v>249</v>
      </c>
      <c r="F6" s="107" t="s">
        <v>239</v>
      </c>
      <c r="G6" s="184"/>
      <c r="H6" s="151" t="s">
        <v>250</v>
      </c>
      <c r="I6" s="167">
        <f t="shared" si="0"/>
        <v>9.5</v>
      </c>
      <c r="J6" s="163" t="s">
        <v>235</v>
      </c>
      <c r="K6" s="161">
        <v>42513</v>
      </c>
      <c r="L6" s="165">
        <f t="shared" ca="1" si="1"/>
        <v>10.08</v>
      </c>
      <c r="M6" s="148" t="e">
        <v>#N/A</v>
      </c>
      <c r="N6" s="75"/>
      <c r="O6" s="192" t="s">
        <v>237</v>
      </c>
      <c r="P6" s="193" t="s">
        <v>237</v>
      </c>
      <c r="Q6" s="193" t="s">
        <v>237</v>
      </c>
      <c r="R6" s="193" t="s">
        <v>237</v>
      </c>
      <c r="S6" s="193" t="s">
        <v>227</v>
      </c>
      <c r="T6" s="193" t="s">
        <v>237</v>
      </c>
      <c r="U6" s="193" t="s">
        <v>237</v>
      </c>
      <c r="V6" s="193" t="s">
        <v>237</v>
      </c>
    </row>
    <row r="7" spans="1:22" ht="14.5" customHeight="1" x14ac:dyDescent="0.35">
      <c r="A7" s="78">
        <v>6</v>
      </c>
      <c r="B7" s="141" t="s">
        <v>163</v>
      </c>
      <c r="C7" s="107">
        <v>90719409</v>
      </c>
      <c r="D7" s="171" t="str">
        <f>_xlfn.XLOOKUP(C7,Sheet2!B:B,Sheet2!A:A)</f>
        <v>Abhishek.Kurup@rockwellautomation.com</v>
      </c>
      <c r="E7" s="107" t="s">
        <v>232</v>
      </c>
      <c r="F7" s="107" t="s">
        <v>251</v>
      </c>
      <c r="G7" s="184" t="s">
        <v>245</v>
      </c>
      <c r="H7" s="151" t="s">
        <v>252</v>
      </c>
      <c r="I7" s="167">
        <f t="shared" si="0"/>
        <v>7.5</v>
      </c>
      <c r="J7" s="163" t="s">
        <v>235</v>
      </c>
      <c r="K7" s="161">
        <v>43252</v>
      </c>
      <c r="L7" s="165">
        <f t="shared" ca="1" si="1"/>
        <v>8</v>
      </c>
      <c r="M7" s="148" t="s">
        <v>253</v>
      </c>
      <c r="N7" s="75"/>
      <c r="O7" s="192" t="s">
        <v>254</v>
      </c>
      <c r="P7" s="193" t="s">
        <v>237</v>
      </c>
      <c r="Q7" s="193" t="s">
        <v>255</v>
      </c>
      <c r="R7" s="193" t="s">
        <v>237</v>
      </c>
      <c r="S7" s="193" t="s">
        <v>237</v>
      </c>
      <c r="T7" s="193" t="s">
        <v>237</v>
      </c>
      <c r="U7" s="193" t="s">
        <v>237</v>
      </c>
      <c r="V7" s="193" t="s">
        <v>237</v>
      </c>
    </row>
    <row r="8" spans="1:22" ht="14.5" customHeight="1" x14ac:dyDescent="0.35">
      <c r="A8" s="78">
        <v>7</v>
      </c>
      <c r="B8" s="141" t="s">
        <v>256</v>
      </c>
      <c r="C8" s="107">
        <v>90719874</v>
      </c>
      <c r="D8" s="171" t="str">
        <f>_xlfn.XLOOKUP(C8,Sheet2!B:B,Sheet2!A:A)</f>
        <v>Abhishek.U@rockwellautomation.com</v>
      </c>
      <c r="E8" s="107" t="s">
        <v>232</v>
      </c>
      <c r="F8" s="107" t="s">
        <v>244</v>
      </c>
      <c r="G8" s="184" t="s">
        <v>245</v>
      </c>
      <c r="H8" s="151" t="s">
        <v>257</v>
      </c>
      <c r="I8" s="167">
        <f t="shared" si="0"/>
        <v>3.25</v>
      </c>
      <c r="J8" s="163" t="s">
        <v>235</v>
      </c>
      <c r="K8" s="161">
        <v>44805</v>
      </c>
      <c r="L8" s="165">
        <f t="shared" ca="1" si="1"/>
        <v>3.75</v>
      </c>
      <c r="M8" s="148" t="e">
        <v>#N/A</v>
      </c>
      <c r="N8" s="75"/>
      <c r="O8" s="192" t="s">
        <v>237</v>
      </c>
      <c r="P8" s="193" t="s">
        <v>248</v>
      </c>
      <c r="Q8" s="193" t="s">
        <v>237</v>
      </c>
      <c r="R8" s="193" t="s">
        <v>237</v>
      </c>
      <c r="S8" s="193" t="s">
        <v>237</v>
      </c>
      <c r="T8" s="193" t="s">
        <v>237</v>
      </c>
      <c r="U8" s="193" t="s">
        <v>237</v>
      </c>
      <c r="V8" s="193" t="s">
        <v>237</v>
      </c>
    </row>
    <row r="9" spans="1:22" ht="14.5" customHeight="1" x14ac:dyDescent="0.35">
      <c r="A9" s="78">
        <v>8</v>
      </c>
      <c r="B9" s="141" t="s">
        <v>258</v>
      </c>
      <c r="C9" s="107">
        <v>90719011</v>
      </c>
      <c r="D9" s="171" t="str">
        <f>_xlfn.XLOOKUP(C9,Sheet2!B:B,Sheet2!A:A)</f>
        <v>Satyaram.Adabala@rockwellautomation.com</v>
      </c>
      <c r="E9" s="107" t="s">
        <v>249</v>
      </c>
      <c r="F9" s="107" t="s">
        <v>259</v>
      </c>
      <c r="G9" s="184"/>
      <c r="H9" s="151" t="s">
        <v>260</v>
      </c>
      <c r="I9" s="167">
        <f t="shared" si="0"/>
        <v>17.5</v>
      </c>
      <c r="J9" s="163" t="s">
        <v>261</v>
      </c>
      <c r="K9" s="161">
        <v>44340</v>
      </c>
      <c r="L9" s="165">
        <f t="shared" ca="1" si="1"/>
        <v>18</v>
      </c>
      <c r="M9" s="148" t="s">
        <v>262</v>
      </c>
      <c r="N9" s="75"/>
      <c r="O9" s="192" t="s">
        <v>237</v>
      </c>
      <c r="P9" s="193" t="s">
        <v>237</v>
      </c>
      <c r="Q9" s="193" t="s">
        <v>237</v>
      </c>
      <c r="R9" s="193" t="s">
        <v>237</v>
      </c>
      <c r="S9" s="193" t="s">
        <v>237</v>
      </c>
      <c r="T9" s="193" t="s">
        <v>263</v>
      </c>
      <c r="U9" s="193" t="s">
        <v>237</v>
      </c>
      <c r="V9" s="193" t="s">
        <v>264</v>
      </c>
    </row>
    <row r="10" spans="1:22" ht="14.5" customHeight="1" x14ac:dyDescent="0.35">
      <c r="A10" s="78">
        <v>9</v>
      </c>
      <c r="B10" s="201" t="s">
        <v>182</v>
      </c>
      <c r="C10" s="107">
        <v>90719536</v>
      </c>
      <c r="D10" s="171" t="str">
        <f>_xlfn.XLOOKUP(C10,Sheet2!B:B,Sheet2!A:A)</f>
        <v>Adith.Suresh@rockwellautomation.com</v>
      </c>
      <c r="E10" s="107" t="s">
        <v>232</v>
      </c>
      <c r="F10" s="107" t="s">
        <v>251</v>
      </c>
      <c r="G10" s="184" t="s">
        <v>245</v>
      </c>
      <c r="H10" s="151" t="s">
        <v>265</v>
      </c>
      <c r="I10" s="167">
        <f t="shared" si="0"/>
        <v>6.833333333333333</v>
      </c>
      <c r="J10" s="163" t="s">
        <v>266</v>
      </c>
      <c r="K10" s="161">
        <v>43864</v>
      </c>
      <c r="L10" s="165">
        <f t="shared" ca="1" si="1"/>
        <v>7.33</v>
      </c>
      <c r="M10" s="148" t="s">
        <v>267</v>
      </c>
      <c r="N10" s="75"/>
      <c r="O10" s="192" t="s">
        <v>254</v>
      </c>
      <c r="P10" s="193" t="s">
        <v>237</v>
      </c>
      <c r="Q10" s="193" t="s">
        <v>268</v>
      </c>
      <c r="R10" s="193" t="s">
        <v>237</v>
      </c>
      <c r="S10" s="193" t="s">
        <v>237</v>
      </c>
      <c r="T10" s="193" t="s">
        <v>237</v>
      </c>
      <c r="U10" s="193" t="s">
        <v>237</v>
      </c>
      <c r="V10" s="193" t="s">
        <v>237</v>
      </c>
    </row>
    <row r="11" spans="1:22" ht="14.5" customHeight="1" x14ac:dyDescent="0.35">
      <c r="A11" s="78">
        <v>10</v>
      </c>
      <c r="B11" s="203" t="s">
        <v>269</v>
      </c>
      <c r="C11" s="107">
        <v>90719859</v>
      </c>
      <c r="D11" s="171" t="str">
        <f>_xlfn.XLOOKUP(C11,Sheet2!B:B,Sheet2!A:A)</f>
        <v>Aishwarya.BN@rockwellautomation.com</v>
      </c>
      <c r="E11" s="107" t="s">
        <v>232</v>
      </c>
      <c r="F11" s="107" t="s">
        <v>270</v>
      </c>
      <c r="G11" s="184"/>
      <c r="H11" s="151" t="s">
        <v>271</v>
      </c>
      <c r="I11" s="167">
        <f t="shared" si="0"/>
        <v>3.3333333333333335</v>
      </c>
      <c r="J11" s="163" t="s">
        <v>235</v>
      </c>
      <c r="K11" s="161">
        <v>44781</v>
      </c>
      <c r="L11" s="165">
        <f t="shared" ca="1" si="1"/>
        <v>3.83</v>
      </c>
      <c r="M11" s="148" t="s">
        <v>272</v>
      </c>
      <c r="N11" s="75"/>
      <c r="O11" s="192" t="s">
        <v>273</v>
      </c>
      <c r="P11" s="193" t="s">
        <v>237</v>
      </c>
      <c r="Q11" s="193" t="s">
        <v>255</v>
      </c>
      <c r="R11" s="193" t="s">
        <v>237</v>
      </c>
      <c r="S11" s="193" t="s">
        <v>237</v>
      </c>
      <c r="T11" s="193" t="s">
        <v>237</v>
      </c>
      <c r="U11" s="193" t="s">
        <v>237</v>
      </c>
      <c r="V11" s="193" t="s">
        <v>237</v>
      </c>
    </row>
    <row r="12" spans="1:22" ht="14.5" customHeight="1" x14ac:dyDescent="0.35">
      <c r="A12" s="78">
        <v>11</v>
      </c>
      <c r="B12" s="201" t="s">
        <v>274</v>
      </c>
      <c r="C12" s="107">
        <v>90732268</v>
      </c>
      <c r="D12" s="171" t="str">
        <f>_xlfn.XLOOKUP(C12,Sheet2!B:B,Sheet2!A:A)</f>
        <v>AishwaryaBNair.Sreeshailam@rockwellautomation.com</v>
      </c>
      <c r="E12" s="107" t="s">
        <v>232</v>
      </c>
      <c r="F12" s="107" t="s">
        <v>251</v>
      </c>
      <c r="G12" s="184" t="s">
        <v>245</v>
      </c>
      <c r="H12" s="151" t="s">
        <v>246</v>
      </c>
      <c r="I12" s="167">
        <f t="shared" si="0"/>
        <v>0.25</v>
      </c>
      <c r="J12" s="163">
        <v>0</v>
      </c>
      <c r="K12" s="161">
        <v>45891</v>
      </c>
      <c r="L12" s="165">
        <f t="shared" ca="1" si="1"/>
        <v>0.83</v>
      </c>
      <c r="M12" s="148" t="s">
        <v>275</v>
      </c>
      <c r="N12" s="75"/>
      <c r="O12" s="192" t="s">
        <v>273</v>
      </c>
      <c r="P12" s="193" t="s">
        <v>237</v>
      </c>
      <c r="Q12" s="193" t="s">
        <v>255</v>
      </c>
      <c r="R12" s="193" t="s">
        <v>237</v>
      </c>
      <c r="S12" s="193" t="s">
        <v>237</v>
      </c>
      <c r="T12" s="193" t="s">
        <v>237</v>
      </c>
      <c r="U12" s="193" t="s">
        <v>237</v>
      </c>
      <c r="V12" s="193" t="s">
        <v>237</v>
      </c>
    </row>
    <row r="13" spans="1:22" ht="14.5" customHeight="1" x14ac:dyDescent="0.35">
      <c r="A13" s="78">
        <v>12</v>
      </c>
      <c r="B13" s="141" t="s">
        <v>276</v>
      </c>
      <c r="C13" s="107">
        <v>90731235</v>
      </c>
      <c r="D13" s="171" t="str">
        <f>_xlfn.XLOOKUP(C13,Sheet2!B:B,Sheet2!A:A)</f>
        <v>Ajaykumarreddy.Kummetha@rockwellautomation.com</v>
      </c>
      <c r="E13" s="107" t="s">
        <v>232</v>
      </c>
      <c r="F13" s="107" t="s">
        <v>223</v>
      </c>
      <c r="G13" s="184"/>
      <c r="H13" s="151" t="s">
        <v>277</v>
      </c>
      <c r="I13" s="167">
        <f t="shared" si="0"/>
        <v>3.75</v>
      </c>
      <c r="J13" s="163" t="s">
        <v>278</v>
      </c>
      <c r="K13" s="161">
        <v>45845</v>
      </c>
      <c r="L13" s="165">
        <f t="shared" ca="1" si="1"/>
        <v>3.02</v>
      </c>
      <c r="M13" s="148" t="s">
        <v>279</v>
      </c>
      <c r="N13" s="75"/>
      <c r="O13" s="192" t="s">
        <v>254</v>
      </c>
      <c r="P13" s="193" t="s">
        <v>237</v>
      </c>
      <c r="Q13" s="193" t="s">
        <v>255</v>
      </c>
      <c r="R13" s="193" t="s">
        <v>237</v>
      </c>
      <c r="S13" s="193" t="s">
        <v>237</v>
      </c>
      <c r="T13" s="193" t="s">
        <v>237</v>
      </c>
      <c r="U13" s="193" t="s">
        <v>237</v>
      </c>
      <c r="V13" s="193" t="s">
        <v>237</v>
      </c>
    </row>
    <row r="14" spans="1:22" ht="14.5" customHeight="1" x14ac:dyDescent="0.35">
      <c r="A14" s="78">
        <v>13</v>
      </c>
      <c r="B14" s="141" t="s">
        <v>280</v>
      </c>
      <c r="C14" s="107">
        <v>90719734</v>
      </c>
      <c r="D14" s="171" t="str">
        <f>_xlfn.XLOOKUP(C14,Sheet2!B:B,Sheet2!A:A)</f>
        <v>Akhil.KR@rockwellautomation.com</v>
      </c>
      <c r="E14" s="107" t="s">
        <v>232</v>
      </c>
      <c r="F14" s="107" t="s">
        <v>233</v>
      </c>
      <c r="G14" s="184"/>
      <c r="H14" s="151" t="s">
        <v>281</v>
      </c>
      <c r="I14" s="167">
        <f t="shared" si="0"/>
        <v>3.9166666666666665</v>
      </c>
      <c r="J14" s="163" t="s">
        <v>235</v>
      </c>
      <c r="K14" s="161">
        <v>44550</v>
      </c>
      <c r="L14" s="165">
        <f t="shared" ca="1" si="1"/>
        <v>4.5</v>
      </c>
      <c r="M14" s="148" t="e">
        <v>#N/A</v>
      </c>
      <c r="N14" s="75"/>
      <c r="O14" s="192" t="s">
        <v>237</v>
      </c>
      <c r="P14" s="193" t="s">
        <v>237</v>
      </c>
      <c r="Q14" s="193" t="s">
        <v>237</v>
      </c>
      <c r="R14" s="193" t="s">
        <v>237</v>
      </c>
      <c r="S14" s="193" t="s">
        <v>237</v>
      </c>
      <c r="T14" s="193" t="s">
        <v>237</v>
      </c>
      <c r="U14" s="193" t="s">
        <v>237</v>
      </c>
      <c r="V14" s="193" t="s">
        <v>237</v>
      </c>
    </row>
    <row r="15" spans="1:22" ht="14.5" customHeight="1" x14ac:dyDescent="0.35">
      <c r="A15" s="78">
        <v>14</v>
      </c>
      <c r="B15" s="141" t="s">
        <v>282</v>
      </c>
      <c r="C15" s="107">
        <v>90719946</v>
      </c>
      <c r="D15" s="171" t="str">
        <f>_xlfn.XLOOKUP(C15,Sheet2!B:B,Sheet2!A:A)</f>
        <v>Akhila.VK@rockwellautomation.com</v>
      </c>
      <c r="E15" s="107" t="s">
        <v>232</v>
      </c>
      <c r="F15" s="107" t="s">
        <v>244</v>
      </c>
      <c r="G15" s="184"/>
      <c r="H15" s="151" t="s">
        <v>283</v>
      </c>
      <c r="I15" s="167">
        <f t="shared" si="0"/>
        <v>2.1666666666666665</v>
      </c>
      <c r="J15" s="163" t="s">
        <v>235</v>
      </c>
      <c r="K15" s="161">
        <v>45205</v>
      </c>
      <c r="L15" s="165">
        <f t="shared" ca="1" si="1"/>
        <v>2.67</v>
      </c>
      <c r="M15" s="148" t="s">
        <v>284</v>
      </c>
      <c r="N15" s="75"/>
      <c r="O15" s="192" t="s">
        <v>237</v>
      </c>
      <c r="P15" s="193" t="s">
        <v>248</v>
      </c>
      <c r="Q15" s="193" t="s">
        <v>237</v>
      </c>
      <c r="R15" s="193" t="s">
        <v>237</v>
      </c>
      <c r="S15" s="193" t="s">
        <v>237</v>
      </c>
      <c r="T15" s="193" t="s">
        <v>237</v>
      </c>
      <c r="U15" s="193" t="s">
        <v>237</v>
      </c>
      <c r="V15" s="193" t="s">
        <v>237</v>
      </c>
    </row>
    <row r="16" spans="1:22" ht="14.5" customHeight="1" x14ac:dyDescent="0.35">
      <c r="A16" s="78">
        <v>15</v>
      </c>
      <c r="B16" s="141" t="s">
        <v>149</v>
      </c>
      <c r="C16" s="107">
        <v>90719753</v>
      </c>
      <c r="D16" s="171" t="str">
        <f>_xlfn.XLOOKUP(C16,Sheet2!B:B,Sheet2!A:A)</f>
        <v>Akhilkrishnan.K@rockwellautomation.com</v>
      </c>
      <c r="E16" s="107" t="s">
        <v>232</v>
      </c>
      <c r="F16" s="107" t="s">
        <v>244</v>
      </c>
      <c r="G16" s="184" t="s">
        <v>245</v>
      </c>
      <c r="H16" s="151" t="s">
        <v>285</v>
      </c>
      <c r="I16" s="167">
        <f t="shared" si="0"/>
        <v>4.583333333333333</v>
      </c>
      <c r="J16" s="163" t="s">
        <v>286</v>
      </c>
      <c r="K16" s="161">
        <v>44571</v>
      </c>
      <c r="L16" s="165">
        <f t="shared" ca="1" si="1"/>
        <v>5.08</v>
      </c>
      <c r="M16" s="148" t="s">
        <v>287</v>
      </c>
      <c r="N16" s="75"/>
      <c r="O16" s="192" t="s">
        <v>254</v>
      </c>
      <c r="P16" s="193" t="s">
        <v>248</v>
      </c>
      <c r="Q16" s="193" t="s">
        <v>237</v>
      </c>
      <c r="R16" s="193" t="s">
        <v>237</v>
      </c>
      <c r="S16" s="193" t="s">
        <v>237</v>
      </c>
      <c r="T16" s="193" t="s">
        <v>237</v>
      </c>
      <c r="U16" s="193" t="s">
        <v>237</v>
      </c>
      <c r="V16" s="193" t="s">
        <v>237</v>
      </c>
    </row>
    <row r="17" spans="1:22" ht="14.5" customHeight="1" x14ac:dyDescent="0.35">
      <c r="A17" s="78">
        <v>16</v>
      </c>
      <c r="B17" s="201" t="s">
        <v>288</v>
      </c>
      <c r="C17" s="107">
        <v>90719350</v>
      </c>
      <c r="D17" s="171" t="str">
        <f>_xlfn.XLOOKUP(C17,Sheet2!B:B,Sheet2!A:A)</f>
        <v>Akshaya.PS@rockwellautomation.com</v>
      </c>
      <c r="E17" s="107" t="s">
        <v>249</v>
      </c>
      <c r="F17" s="107" t="s">
        <v>251</v>
      </c>
      <c r="G17" s="184"/>
      <c r="H17" s="151" t="s">
        <v>289</v>
      </c>
      <c r="I17" s="167">
        <f t="shared" si="0"/>
        <v>8.4166666666666661</v>
      </c>
      <c r="J17" s="163" t="s">
        <v>235</v>
      </c>
      <c r="K17" s="161">
        <v>42926</v>
      </c>
      <c r="L17" s="165">
        <f t="shared" ca="1" si="1"/>
        <v>8.92</v>
      </c>
      <c r="M17" s="148" t="s">
        <v>290</v>
      </c>
      <c r="N17" s="75"/>
      <c r="O17" s="192" t="s">
        <v>254</v>
      </c>
      <c r="P17" s="193" t="s">
        <v>237</v>
      </c>
      <c r="Q17" s="193" t="s">
        <v>291</v>
      </c>
      <c r="R17" s="193" t="s">
        <v>237</v>
      </c>
      <c r="S17" s="193" t="s">
        <v>237</v>
      </c>
      <c r="T17" s="193" t="s">
        <v>237</v>
      </c>
      <c r="U17" s="193" t="s">
        <v>237</v>
      </c>
      <c r="V17" s="193" t="s">
        <v>237</v>
      </c>
    </row>
    <row r="18" spans="1:22" ht="14.5" customHeight="1" x14ac:dyDescent="0.35">
      <c r="A18" s="78">
        <v>17</v>
      </c>
      <c r="B18" s="141" t="s">
        <v>292</v>
      </c>
      <c r="C18" s="107">
        <v>90719939</v>
      </c>
      <c r="D18" s="171" t="str">
        <f>_xlfn.XLOOKUP(C18,Sheet2!B:B,Sheet2!A:A)</f>
        <v>Aliva.Mishra@rockwellautomation.com</v>
      </c>
      <c r="E18" s="107" t="s">
        <v>232</v>
      </c>
      <c r="F18" s="107" t="s">
        <v>244</v>
      </c>
      <c r="G18" s="184"/>
      <c r="H18" s="151" t="s">
        <v>283</v>
      </c>
      <c r="I18" s="167">
        <f t="shared" si="0"/>
        <v>2.1666666666666665</v>
      </c>
      <c r="J18" s="163" t="s">
        <v>235</v>
      </c>
      <c r="K18" s="161">
        <v>45205</v>
      </c>
      <c r="L18" s="165">
        <f t="shared" ca="1" si="1"/>
        <v>2.67</v>
      </c>
      <c r="M18" s="148" t="e">
        <v>#N/A</v>
      </c>
      <c r="N18" s="75"/>
      <c r="O18" s="192" t="s">
        <v>237</v>
      </c>
      <c r="P18" s="193" t="s">
        <v>248</v>
      </c>
      <c r="Q18" s="193" t="s">
        <v>237</v>
      </c>
      <c r="R18" s="193" t="s">
        <v>237</v>
      </c>
      <c r="S18" s="193" t="s">
        <v>237</v>
      </c>
      <c r="T18" s="193" t="s">
        <v>237</v>
      </c>
      <c r="U18" s="193" t="s">
        <v>237</v>
      </c>
      <c r="V18" s="193" t="s">
        <v>237</v>
      </c>
    </row>
    <row r="19" spans="1:22" ht="14.5" customHeight="1" x14ac:dyDescent="0.35">
      <c r="A19" s="78">
        <v>18</v>
      </c>
      <c r="B19" s="141" t="s">
        <v>293</v>
      </c>
      <c r="C19" s="107">
        <v>90719880</v>
      </c>
      <c r="D19" s="171" t="str">
        <f>_xlfn.XLOOKUP(C19,Sheet2!B:B,Sheet2!A:A)</f>
        <v>Amal.P@rockwellautomation.com</v>
      </c>
      <c r="E19" s="107" t="s">
        <v>232</v>
      </c>
      <c r="F19" s="107" t="s">
        <v>244</v>
      </c>
      <c r="G19" s="184"/>
      <c r="H19" s="151" t="s">
        <v>294</v>
      </c>
      <c r="I19" s="167">
        <f t="shared" si="0"/>
        <v>3.1666666666666665</v>
      </c>
      <c r="J19" s="163" t="s">
        <v>235</v>
      </c>
      <c r="K19" s="161">
        <v>44817</v>
      </c>
      <c r="L19" s="165">
        <f t="shared" ca="1" si="1"/>
        <v>3.75</v>
      </c>
      <c r="M19" s="148" t="e">
        <v>#N/A</v>
      </c>
      <c r="N19" s="75"/>
      <c r="O19" s="192" t="s">
        <v>237</v>
      </c>
      <c r="P19" s="193" t="s">
        <v>248</v>
      </c>
      <c r="Q19" s="193" t="s">
        <v>237</v>
      </c>
      <c r="R19" s="193" t="s">
        <v>237</v>
      </c>
      <c r="S19" s="193" t="s">
        <v>237</v>
      </c>
      <c r="T19" s="193" t="s">
        <v>237</v>
      </c>
      <c r="U19" s="193" t="s">
        <v>237</v>
      </c>
      <c r="V19" s="193" t="s">
        <v>237</v>
      </c>
    </row>
    <row r="20" spans="1:22" ht="14.5" customHeight="1" x14ac:dyDescent="0.35">
      <c r="A20" s="78">
        <v>19</v>
      </c>
      <c r="B20" s="196" t="s">
        <v>295</v>
      </c>
      <c r="C20" s="107">
        <v>90719819</v>
      </c>
      <c r="D20" s="171" t="str">
        <f>_xlfn.XLOOKUP(C20,Sheet2!B:B,Sheet2!A:A)</f>
        <v>Amrit.Satapathy@rockwellautomation.com</v>
      </c>
      <c r="E20" s="107" t="s">
        <v>232</v>
      </c>
      <c r="F20" s="107" t="s">
        <v>296</v>
      </c>
      <c r="G20" s="184"/>
      <c r="H20" s="151" t="s">
        <v>297</v>
      </c>
      <c r="I20" s="167">
        <f t="shared" si="0"/>
        <v>3.4166666666666665</v>
      </c>
      <c r="J20" s="163" t="s">
        <v>235</v>
      </c>
      <c r="K20" s="161">
        <v>44732</v>
      </c>
      <c r="L20" s="165">
        <f t="shared" ca="1" si="1"/>
        <v>4</v>
      </c>
      <c r="M20" s="148" t="s">
        <v>298</v>
      </c>
      <c r="N20" s="75"/>
      <c r="O20" s="192" t="s">
        <v>237</v>
      </c>
      <c r="P20" s="193" t="s">
        <v>237</v>
      </c>
      <c r="Q20" s="193" t="s">
        <v>237</v>
      </c>
      <c r="R20" s="193" t="s">
        <v>237</v>
      </c>
      <c r="S20" s="193" t="s">
        <v>237</v>
      </c>
      <c r="T20" s="193" t="s">
        <v>237</v>
      </c>
      <c r="U20" s="193" t="s">
        <v>237</v>
      </c>
      <c r="V20" s="193" t="s">
        <v>237</v>
      </c>
    </row>
    <row r="21" spans="1:22" ht="14.5" customHeight="1" x14ac:dyDescent="0.35">
      <c r="A21" s="78">
        <v>20</v>
      </c>
      <c r="B21" s="176" t="s">
        <v>299</v>
      </c>
      <c r="C21" s="180">
        <v>90732278</v>
      </c>
      <c r="D21" s="171" t="str">
        <f>_xlfn.XLOOKUP(C21,Sheet2!B:B,Sheet2!A:A)</f>
        <v>Anand.RaoS@rockwellautomation.com</v>
      </c>
      <c r="E21" s="107" t="s">
        <v>232</v>
      </c>
      <c r="F21" s="107" t="s">
        <v>300</v>
      </c>
      <c r="G21" s="184"/>
      <c r="H21" s="151" t="s">
        <v>246</v>
      </c>
      <c r="I21" s="167">
        <f t="shared" si="0"/>
        <v>0.25</v>
      </c>
      <c r="J21" s="163" t="e">
        <v>#N/A</v>
      </c>
      <c r="K21" s="161">
        <v>45891</v>
      </c>
      <c r="L21" s="165" t="e">
        <f t="shared" ca="1" si="1"/>
        <v>#N/A</v>
      </c>
      <c r="M21" s="148" t="s">
        <v>301</v>
      </c>
      <c r="N21" s="75"/>
      <c r="O21" s="192" t="s">
        <v>237</v>
      </c>
      <c r="P21" s="193" t="s">
        <v>237</v>
      </c>
      <c r="Q21" s="193" t="s">
        <v>237</v>
      </c>
      <c r="R21" s="193" t="s">
        <v>237</v>
      </c>
      <c r="S21" s="193" t="s">
        <v>237</v>
      </c>
      <c r="T21" s="193" t="s">
        <v>263</v>
      </c>
      <c r="U21" s="193" t="s">
        <v>300</v>
      </c>
      <c r="V21" s="193" t="s">
        <v>237</v>
      </c>
    </row>
    <row r="22" spans="1:22" ht="14.5" customHeight="1" x14ac:dyDescent="0.35">
      <c r="A22" s="78">
        <v>21</v>
      </c>
      <c r="B22" s="141" t="s">
        <v>302</v>
      </c>
      <c r="C22" s="107">
        <v>90719869</v>
      </c>
      <c r="D22" s="171" t="str">
        <f>_xlfn.XLOOKUP(C22,Sheet2!B:B,Sheet2!A:A)</f>
        <v>Aneesh.K@rockwellautomation.com</v>
      </c>
      <c r="E22" s="107" t="s">
        <v>232</v>
      </c>
      <c r="F22" s="107" t="s">
        <v>244</v>
      </c>
      <c r="G22" s="184"/>
      <c r="H22" s="151" t="s">
        <v>257</v>
      </c>
      <c r="I22" s="167">
        <f t="shared" si="0"/>
        <v>3.25</v>
      </c>
      <c r="J22" s="163" t="s">
        <v>235</v>
      </c>
      <c r="K22" s="161">
        <v>44805</v>
      </c>
      <c r="L22" s="165">
        <f t="shared" ca="1" si="1"/>
        <v>3.75</v>
      </c>
      <c r="M22" s="148" t="e">
        <v>#N/A</v>
      </c>
      <c r="N22" s="75"/>
      <c r="O22" s="192" t="s">
        <v>237</v>
      </c>
      <c r="P22" s="193" t="s">
        <v>248</v>
      </c>
      <c r="Q22" s="193" t="s">
        <v>237</v>
      </c>
      <c r="R22" s="193" t="s">
        <v>237</v>
      </c>
      <c r="S22" s="193" t="s">
        <v>237</v>
      </c>
      <c r="T22" s="193" t="s">
        <v>237</v>
      </c>
      <c r="U22" s="193" t="s">
        <v>237</v>
      </c>
      <c r="V22" s="193" t="s">
        <v>237</v>
      </c>
    </row>
    <row r="23" spans="1:22" ht="14.5" customHeight="1" x14ac:dyDescent="0.35">
      <c r="A23" s="78">
        <v>22</v>
      </c>
      <c r="B23" s="201" t="s">
        <v>303</v>
      </c>
      <c r="C23" s="107">
        <v>90719897</v>
      </c>
      <c r="D23" s="171" t="str">
        <f>_xlfn.XLOOKUP(C23,Sheet2!B:B,Sheet2!A:A)</f>
        <v>Anikmon.Davis@rockwellautomation.com</v>
      </c>
      <c r="E23" s="107" t="s">
        <v>232</v>
      </c>
      <c r="F23" s="107" t="s">
        <v>239</v>
      </c>
      <c r="G23" s="184"/>
      <c r="H23" s="151" t="s">
        <v>304</v>
      </c>
      <c r="I23" s="167">
        <f t="shared" si="0"/>
        <v>2.9166666666666665</v>
      </c>
      <c r="J23" s="163" t="s">
        <v>235</v>
      </c>
      <c r="K23" s="161">
        <v>44928</v>
      </c>
      <c r="L23" s="165">
        <f t="shared" ca="1" si="1"/>
        <v>3.42</v>
      </c>
      <c r="M23" s="148" t="s">
        <v>305</v>
      </c>
      <c r="N23" s="75"/>
      <c r="O23" s="192" t="s">
        <v>237</v>
      </c>
      <c r="P23" s="193" t="s">
        <v>237</v>
      </c>
      <c r="Q23" s="193" t="s">
        <v>237</v>
      </c>
      <c r="R23" s="193" t="s">
        <v>237</v>
      </c>
      <c r="S23" s="193" t="s">
        <v>227</v>
      </c>
      <c r="T23" s="193" t="s">
        <v>237</v>
      </c>
      <c r="U23" s="193" t="s">
        <v>237</v>
      </c>
      <c r="V23" s="193" t="s">
        <v>237</v>
      </c>
    </row>
    <row r="24" spans="1:22" ht="14.5" customHeight="1" x14ac:dyDescent="0.35">
      <c r="A24" s="78">
        <v>23</v>
      </c>
      <c r="B24" s="141" t="s">
        <v>306</v>
      </c>
      <c r="C24" s="107">
        <v>90720201</v>
      </c>
      <c r="D24" s="171" t="str">
        <f>_xlfn.XLOOKUP(C24,Sheet2!B:B,Sheet2!A:A)</f>
        <v>Anirudh.Dasari@rockwellautomation.com</v>
      </c>
      <c r="E24" s="107" t="s">
        <v>232</v>
      </c>
      <c r="F24" s="107" t="s">
        <v>233</v>
      </c>
      <c r="G24" s="184"/>
      <c r="H24" s="151" t="s">
        <v>307</v>
      </c>
      <c r="I24" s="167">
        <f t="shared" si="0"/>
        <v>2</v>
      </c>
      <c r="J24" s="163" t="s">
        <v>235</v>
      </c>
      <c r="K24" s="161">
        <v>45250</v>
      </c>
      <c r="L24" s="165">
        <f t="shared" ca="1" si="1"/>
        <v>2.58</v>
      </c>
      <c r="M24" s="148" t="e">
        <v>#N/A</v>
      </c>
      <c r="N24" s="75"/>
      <c r="O24" s="192" t="s">
        <v>254</v>
      </c>
      <c r="P24" s="193" t="s">
        <v>237</v>
      </c>
      <c r="Q24" s="193" t="s">
        <v>268</v>
      </c>
      <c r="R24" s="193" t="s">
        <v>237</v>
      </c>
      <c r="S24" s="193" t="s">
        <v>227</v>
      </c>
      <c r="T24" s="193" t="s">
        <v>237</v>
      </c>
      <c r="U24" s="193" t="s">
        <v>237</v>
      </c>
      <c r="V24" s="193" t="s">
        <v>237</v>
      </c>
    </row>
    <row r="25" spans="1:22" ht="14.5" customHeight="1" x14ac:dyDescent="0.35">
      <c r="A25" s="78">
        <v>24</v>
      </c>
      <c r="B25" s="141" t="s">
        <v>190</v>
      </c>
      <c r="C25" s="107">
        <v>90719376</v>
      </c>
      <c r="D25" s="171" t="str">
        <f>_xlfn.XLOOKUP(C25,Sheet2!B:B,Sheet2!A:A)</f>
        <v>Anjana.Sharma@rockwellautomation.com</v>
      </c>
      <c r="E25" s="107" t="s">
        <v>308</v>
      </c>
      <c r="F25" s="107" t="s">
        <v>309</v>
      </c>
      <c r="G25" s="184"/>
      <c r="H25" s="151" t="s">
        <v>310</v>
      </c>
      <c r="I25" s="167">
        <f t="shared" si="0"/>
        <v>10.166666666666666</v>
      </c>
      <c r="J25" s="163" t="s">
        <v>311</v>
      </c>
      <c r="K25" s="161">
        <v>42996</v>
      </c>
      <c r="L25" s="165">
        <f t="shared" ca="1" si="1"/>
        <v>10.75</v>
      </c>
      <c r="M25" s="148" t="s">
        <v>312</v>
      </c>
      <c r="N25" s="75"/>
      <c r="O25" s="192" t="s">
        <v>237</v>
      </c>
      <c r="P25" s="193" t="s">
        <v>237</v>
      </c>
      <c r="Q25" s="193" t="s">
        <v>237</v>
      </c>
      <c r="R25" s="193" t="s">
        <v>237</v>
      </c>
      <c r="S25" s="193" t="s">
        <v>237</v>
      </c>
      <c r="T25" s="193" t="s">
        <v>237</v>
      </c>
      <c r="U25" s="193" t="s">
        <v>237</v>
      </c>
      <c r="V25" s="193" t="s">
        <v>237</v>
      </c>
    </row>
    <row r="26" spans="1:22" ht="14.5" customHeight="1" x14ac:dyDescent="0.35">
      <c r="A26" s="78">
        <v>25</v>
      </c>
      <c r="B26" s="201" t="s">
        <v>313</v>
      </c>
      <c r="C26" s="107">
        <v>90725490</v>
      </c>
      <c r="D26" s="171" t="str">
        <f>_xlfn.XLOOKUP(C26,Sheet2!B:B,Sheet2!A:A)</f>
        <v>AnjuKrishna.PK@rockwellautomation.com</v>
      </c>
      <c r="E26" s="107" t="s">
        <v>232</v>
      </c>
      <c r="F26" s="107" t="s">
        <v>314</v>
      </c>
      <c r="G26" s="184"/>
      <c r="H26" s="151" t="s">
        <v>242</v>
      </c>
      <c r="I26" s="167" t="str">
        <f t="shared" si="0"/>
        <v/>
      </c>
      <c r="J26" s="163" t="e">
        <v>#N/A</v>
      </c>
      <c r="K26" s="161" t="e">
        <v>#N/A</v>
      </c>
      <c r="L26" s="165" t="e">
        <f t="shared" ca="1" si="1"/>
        <v>#N/A</v>
      </c>
      <c r="M26" s="148" t="e">
        <v>#N/A</v>
      </c>
      <c r="N26" s="75"/>
      <c r="O26" s="192" t="s">
        <v>254</v>
      </c>
      <c r="P26" s="193" t="s">
        <v>237</v>
      </c>
      <c r="Q26" s="193" t="s">
        <v>315</v>
      </c>
      <c r="R26" s="193" t="s">
        <v>237</v>
      </c>
      <c r="S26" s="193" t="s">
        <v>237</v>
      </c>
      <c r="T26" s="193" t="s">
        <v>237</v>
      </c>
      <c r="U26" s="193" t="s">
        <v>237</v>
      </c>
      <c r="V26" s="193" t="s">
        <v>237</v>
      </c>
    </row>
    <row r="27" spans="1:22" ht="14.5" customHeight="1" x14ac:dyDescent="0.35">
      <c r="A27" s="78">
        <v>26</v>
      </c>
      <c r="B27" s="141" t="s">
        <v>316</v>
      </c>
      <c r="C27" s="107">
        <v>90719387</v>
      </c>
      <c r="D27" s="171" t="str">
        <f>_xlfn.XLOOKUP(C27,Sheet2!B:B,Sheet2!A:A)</f>
        <v>Ankit.Nayak@rockwellautomation.com</v>
      </c>
      <c r="E27" s="107" t="s">
        <v>249</v>
      </c>
      <c r="F27" s="107" t="s">
        <v>317</v>
      </c>
      <c r="G27" s="184"/>
      <c r="H27" s="151" t="s">
        <v>318</v>
      </c>
      <c r="I27" s="167">
        <f t="shared" si="0"/>
        <v>8.0833333333333339</v>
      </c>
      <c r="J27" s="163" t="s">
        <v>235</v>
      </c>
      <c r="K27" s="161">
        <v>43031</v>
      </c>
      <c r="L27" s="165">
        <f t="shared" ca="1" si="1"/>
        <v>8.67</v>
      </c>
      <c r="M27" s="148" t="s">
        <v>319</v>
      </c>
      <c r="N27" s="75"/>
      <c r="O27" s="192" t="s">
        <v>237</v>
      </c>
      <c r="P27" s="193" t="s">
        <v>237</v>
      </c>
      <c r="Q27" s="193" t="s">
        <v>268</v>
      </c>
      <c r="R27" s="193" t="s">
        <v>237</v>
      </c>
      <c r="S27" s="193" t="s">
        <v>237</v>
      </c>
      <c r="T27" s="193" t="s">
        <v>237</v>
      </c>
      <c r="U27" s="193" t="s">
        <v>237</v>
      </c>
      <c r="V27" s="193" t="s">
        <v>320</v>
      </c>
    </row>
    <row r="28" spans="1:22" ht="14.5" customHeight="1" x14ac:dyDescent="0.35">
      <c r="A28" s="78">
        <v>27</v>
      </c>
      <c r="B28" s="201" t="s">
        <v>159</v>
      </c>
      <c r="C28" s="107">
        <v>90719617</v>
      </c>
      <c r="D28" s="171" t="str">
        <f>_xlfn.XLOOKUP(C28,Sheet2!B:B,Sheet2!A:A)</f>
        <v>Anshul.Kumar@rockwellautomation.com</v>
      </c>
      <c r="E28" s="107" t="s">
        <v>232</v>
      </c>
      <c r="F28" s="107" t="s">
        <v>314</v>
      </c>
      <c r="G28" s="184" t="s">
        <v>245</v>
      </c>
      <c r="H28" s="151" t="s">
        <v>321</v>
      </c>
      <c r="I28" s="167">
        <f t="shared" si="0"/>
        <v>5.25</v>
      </c>
      <c r="J28" s="163" t="s">
        <v>235</v>
      </c>
      <c r="K28" s="161">
        <v>44067</v>
      </c>
      <c r="L28" s="165">
        <f t="shared" ca="1" si="1"/>
        <v>5.75</v>
      </c>
      <c r="M28" s="148" t="s">
        <v>322</v>
      </c>
      <c r="N28" s="75"/>
      <c r="O28" s="192" t="s">
        <v>254</v>
      </c>
      <c r="P28" s="193" t="s">
        <v>237</v>
      </c>
      <c r="Q28" s="193" t="s">
        <v>237</v>
      </c>
      <c r="R28" s="193" t="s">
        <v>237</v>
      </c>
      <c r="S28" s="193" t="s">
        <v>237</v>
      </c>
      <c r="T28" s="193" t="s">
        <v>237</v>
      </c>
      <c r="U28" s="193" t="s">
        <v>237</v>
      </c>
      <c r="V28" s="193" t="s">
        <v>237</v>
      </c>
    </row>
    <row r="29" spans="1:22" ht="14.5" customHeight="1" x14ac:dyDescent="0.35">
      <c r="A29" s="78">
        <v>28</v>
      </c>
      <c r="B29" s="201" t="s">
        <v>323</v>
      </c>
      <c r="C29" s="107">
        <v>90719778</v>
      </c>
      <c r="D29" s="171" t="str">
        <f>_xlfn.XLOOKUP(C29,Sheet2!B:B,Sheet2!A:A)</f>
        <v>Anuj.Saini@rockwellautomation.com</v>
      </c>
      <c r="E29" s="107" t="s">
        <v>232</v>
      </c>
      <c r="F29" s="107" t="s">
        <v>223</v>
      </c>
      <c r="G29" s="184"/>
      <c r="H29" s="151" t="s">
        <v>324</v>
      </c>
      <c r="I29" s="167">
        <f t="shared" si="0"/>
        <v>13.75</v>
      </c>
      <c r="J29" s="163" t="s">
        <v>325</v>
      </c>
      <c r="K29" s="161">
        <v>44621</v>
      </c>
      <c r="L29" s="165">
        <f t="shared" ca="1" si="1"/>
        <v>14.25</v>
      </c>
      <c r="M29" s="148" t="s">
        <v>326</v>
      </c>
      <c r="N29" s="75"/>
      <c r="O29" s="192" t="s">
        <v>254</v>
      </c>
      <c r="P29" s="193" t="s">
        <v>237</v>
      </c>
      <c r="Q29" s="193" t="s">
        <v>237</v>
      </c>
      <c r="R29" s="193" t="s">
        <v>237</v>
      </c>
      <c r="S29" s="193" t="s">
        <v>237</v>
      </c>
      <c r="T29" s="193" t="s">
        <v>237</v>
      </c>
      <c r="U29" s="193" t="s">
        <v>237</v>
      </c>
      <c r="V29" s="193" t="s">
        <v>237</v>
      </c>
    </row>
    <row r="30" spans="1:22" ht="14.5" customHeight="1" x14ac:dyDescent="0.35">
      <c r="A30" s="78">
        <v>29</v>
      </c>
      <c r="B30" s="141" t="s">
        <v>327</v>
      </c>
      <c r="C30" s="107">
        <v>80116859</v>
      </c>
      <c r="D30" s="171" t="str">
        <f>_xlfn.XLOOKUP(C30,Sheet2!B:B,Sheet2!A:A)</f>
        <v>anupama.ds@rockwellautomation.com</v>
      </c>
      <c r="E30" s="107" t="s">
        <v>308</v>
      </c>
      <c r="F30" s="107" t="s">
        <v>309</v>
      </c>
      <c r="G30" s="184"/>
      <c r="H30" s="151" t="s">
        <v>328</v>
      </c>
      <c r="I30" s="167">
        <f t="shared" si="0"/>
        <v>15.833333333333334</v>
      </c>
      <c r="J30" s="163" t="s">
        <v>329</v>
      </c>
      <c r="K30" s="161">
        <v>44410</v>
      </c>
      <c r="L30" s="165">
        <f t="shared" ca="1" si="1"/>
        <v>16.329999999999998</v>
      </c>
      <c r="M30" s="148" t="s">
        <v>330</v>
      </c>
      <c r="N30" s="75"/>
      <c r="O30" s="192" t="s">
        <v>237</v>
      </c>
      <c r="P30" s="193" t="s">
        <v>237</v>
      </c>
      <c r="Q30" s="193" t="s">
        <v>291</v>
      </c>
      <c r="R30" s="193" t="s">
        <v>237</v>
      </c>
      <c r="S30" s="193" t="s">
        <v>237</v>
      </c>
      <c r="T30" s="193" t="s">
        <v>237</v>
      </c>
      <c r="U30" s="193" t="s">
        <v>237</v>
      </c>
      <c r="V30" s="193" t="s">
        <v>237</v>
      </c>
    </row>
    <row r="31" spans="1:22" ht="14.5" customHeight="1" x14ac:dyDescent="0.35">
      <c r="A31" s="78">
        <v>30</v>
      </c>
      <c r="B31" s="141" t="s">
        <v>331</v>
      </c>
      <c r="C31" s="107">
        <v>90719798</v>
      </c>
      <c r="D31" s="171" t="str">
        <f>_xlfn.XLOOKUP(C31,Sheet2!B:B,Sheet2!A:A)</f>
        <v>Karishma.Anupuru@rockwellautomation.com</v>
      </c>
      <c r="E31" s="107" t="s">
        <v>232</v>
      </c>
      <c r="F31" s="107" t="s">
        <v>300</v>
      </c>
      <c r="G31" s="184"/>
      <c r="H31" s="151" t="s">
        <v>297</v>
      </c>
      <c r="I31" s="167">
        <f t="shared" si="0"/>
        <v>3.4166666666666665</v>
      </c>
      <c r="J31" s="163" t="s">
        <v>235</v>
      </c>
      <c r="K31" s="161">
        <v>44739</v>
      </c>
      <c r="L31" s="165">
        <f t="shared" ca="1" si="1"/>
        <v>3.92</v>
      </c>
      <c r="M31" s="148" t="s">
        <v>332</v>
      </c>
      <c r="N31" s="75"/>
      <c r="O31" s="192" t="s">
        <v>237</v>
      </c>
      <c r="P31" s="193" t="s">
        <v>237</v>
      </c>
      <c r="Q31" s="193" t="s">
        <v>237</v>
      </c>
      <c r="R31" s="193" t="s">
        <v>237</v>
      </c>
      <c r="S31" s="193" t="s">
        <v>237</v>
      </c>
      <c r="T31" s="193" t="s">
        <v>237</v>
      </c>
      <c r="U31" s="193" t="s">
        <v>300</v>
      </c>
      <c r="V31" s="193" t="s">
        <v>237</v>
      </c>
    </row>
    <row r="32" spans="1:22" ht="14.5" customHeight="1" x14ac:dyDescent="0.35">
      <c r="A32" s="78">
        <v>31</v>
      </c>
      <c r="B32" s="176" t="s">
        <v>333</v>
      </c>
      <c r="C32" s="180">
        <v>90732279</v>
      </c>
      <c r="D32" s="171" t="str">
        <f>_xlfn.XLOOKUP(C32,Sheet2!B:B,Sheet2!A:A)</f>
        <v>Anvesh.MP@rockwellautomation.com</v>
      </c>
      <c r="E32" s="107" t="s">
        <v>232</v>
      </c>
      <c r="F32" s="107" t="s">
        <v>300</v>
      </c>
      <c r="G32" s="184"/>
      <c r="H32" s="151" t="s">
        <v>246</v>
      </c>
      <c r="I32" s="167">
        <f t="shared" si="0"/>
        <v>0.25</v>
      </c>
      <c r="J32" s="163" t="e">
        <v>#N/A</v>
      </c>
      <c r="K32" s="161" t="s">
        <v>334</v>
      </c>
      <c r="L32" s="165" t="e">
        <f t="shared" ca="1" si="1"/>
        <v>#N/A</v>
      </c>
      <c r="M32" s="148" t="s">
        <v>335</v>
      </c>
      <c r="N32" s="75"/>
      <c r="O32" s="192" t="s">
        <v>237</v>
      </c>
      <c r="P32" s="193" t="s">
        <v>237</v>
      </c>
      <c r="Q32" s="193" t="s">
        <v>237</v>
      </c>
      <c r="R32" s="193" t="s">
        <v>237</v>
      </c>
      <c r="S32" s="193" t="s">
        <v>237</v>
      </c>
      <c r="T32" s="193" t="s">
        <v>237</v>
      </c>
      <c r="U32" s="193" t="s">
        <v>300</v>
      </c>
      <c r="V32" s="193" t="s">
        <v>237</v>
      </c>
    </row>
    <row r="33" spans="1:22" ht="14.5" customHeight="1" x14ac:dyDescent="0.35">
      <c r="A33" s="78">
        <v>32</v>
      </c>
      <c r="B33" s="206" t="s">
        <v>336</v>
      </c>
      <c r="C33" s="107">
        <v>90719922</v>
      </c>
      <c r="D33" s="171" t="str">
        <f>_xlfn.XLOOKUP(C33,Sheet2!B:B,Sheet2!A:A)</f>
        <v>Anzar.Ganie@rockwellautomation.com</v>
      </c>
      <c r="E33" s="107" t="s">
        <v>232</v>
      </c>
      <c r="F33" s="107" t="s">
        <v>223</v>
      </c>
      <c r="G33" s="184" t="s">
        <v>245</v>
      </c>
      <c r="H33" s="151" t="s">
        <v>283</v>
      </c>
      <c r="I33" s="167">
        <f t="shared" si="0"/>
        <v>2.1666666666666665</v>
      </c>
      <c r="J33" s="163" t="s">
        <v>235</v>
      </c>
      <c r="K33" s="161">
        <v>45205</v>
      </c>
      <c r="L33" s="165">
        <f t="shared" ca="1" si="1"/>
        <v>2.67</v>
      </c>
      <c r="M33" s="148" t="s">
        <v>337</v>
      </c>
      <c r="N33" s="75"/>
      <c r="O33" s="192" t="s">
        <v>254</v>
      </c>
      <c r="P33" s="193" t="s">
        <v>237</v>
      </c>
      <c r="Q33" s="193" t="s">
        <v>255</v>
      </c>
      <c r="R33" s="193" t="s">
        <v>237</v>
      </c>
      <c r="S33" s="193" t="s">
        <v>237</v>
      </c>
      <c r="T33" s="193" t="s">
        <v>237</v>
      </c>
      <c r="U33" s="193" t="s">
        <v>237</v>
      </c>
      <c r="V33" s="193" t="s">
        <v>237</v>
      </c>
    </row>
    <row r="34" spans="1:22" ht="14.5" customHeight="1" x14ac:dyDescent="0.35">
      <c r="A34" s="78">
        <v>33</v>
      </c>
      <c r="B34" s="201" t="s">
        <v>338</v>
      </c>
      <c r="C34" s="107">
        <v>90719887</v>
      </c>
      <c r="D34" s="171" t="str">
        <f>_xlfn.XLOOKUP(C34,Sheet2!B:B,Sheet2!A:A)</f>
        <v>Aparna.Singh@rockwellautomation.com</v>
      </c>
      <c r="E34" s="107" t="s">
        <v>232</v>
      </c>
      <c r="F34" s="107" t="s">
        <v>233</v>
      </c>
      <c r="G34" s="184"/>
      <c r="H34" s="151" t="s">
        <v>304</v>
      </c>
      <c r="I34" s="167">
        <f t="shared" ref="I34:I65" si="2">IF(
   OR(H34="",H34="NA"),
   "",
   VALUE(LEFT(H34,FIND("years",H34)-1)) +
   VALUE(MID(H34,FIND("years",H34)+5,FIND("months",H34)-FIND("years",H34)-5))/12
)</f>
        <v>2.9166666666666665</v>
      </c>
      <c r="J34" s="163" t="s">
        <v>235</v>
      </c>
      <c r="K34" s="161">
        <v>44928</v>
      </c>
      <c r="L34" s="165">
        <f t="shared" ca="1" si="1"/>
        <v>3.42</v>
      </c>
      <c r="M34" s="148" t="s">
        <v>339</v>
      </c>
      <c r="N34" s="75"/>
      <c r="O34" s="192" t="s">
        <v>254</v>
      </c>
      <c r="P34" s="193" t="s">
        <v>237</v>
      </c>
      <c r="Q34" s="193" t="s">
        <v>237</v>
      </c>
      <c r="R34" s="193" t="s">
        <v>237</v>
      </c>
      <c r="S34" s="193" t="s">
        <v>237</v>
      </c>
      <c r="T34" s="193" t="s">
        <v>237</v>
      </c>
      <c r="U34" s="193" t="s">
        <v>237</v>
      </c>
      <c r="V34" s="193" t="s">
        <v>237</v>
      </c>
    </row>
    <row r="35" spans="1:22" ht="14.5" customHeight="1" x14ac:dyDescent="0.35">
      <c r="A35" s="78">
        <v>34</v>
      </c>
      <c r="B35" s="141" t="s">
        <v>340</v>
      </c>
      <c r="C35" s="107">
        <v>90718856</v>
      </c>
      <c r="D35" s="171" t="str">
        <f>_xlfn.XLOOKUP(C35,Sheet2!B:B,Sheet2!A:A)</f>
        <v>Aravind.S1@rockwellautomation.com</v>
      </c>
      <c r="E35" s="107" t="s">
        <v>249</v>
      </c>
      <c r="F35" s="107" t="s">
        <v>223</v>
      </c>
      <c r="G35" s="184"/>
      <c r="H35" s="151" t="s">
        <v>341</v>
      </c>
      <c r="I35" s="167">
        <f t="shared" si="2"/>
        <v>8.5</v>
      </c>
      <c r="J35" s="163" t="s">
        <v>235</v>
      </c>
      <c r="K35" s="161">
        <v>42891</v>
      </c>
      <c r="L35" s="165">
        <f t="shared" ca="1" si="1"/>
        <v>9</v>
      </c>
      <c r="M35" s="148" t="e">
        <v>#N/A</v>
      </c>
      <c r="N35" s="75"/>
      <c r="O35" s="192" t="s">
        <v>254</v>
      </c>
      <c r="P35" s="193" t="s">
        <v>237</v>
      </c>
      <c r="Q35" s="193" t="s">
        <v>237</v>
      </c>
      <c r="R35" s="193" t="s">
        <v>237</v>
      </c>
      <c r="S35" s="193" t="s">
        <v>237</v>
      </c>
      <c r="T35" s="193" t="s">
        <v>237</v>
      </c>
      <c r="U35" s="193" t="s">
        <v>237</v>
      </c>
      <c r="V35" s="193" t="s">
        <v>342</v>
      </c>
    </row>
    <row r="36" spans="1:22" ht="14.5" customHeight="1" x14ac:dyDescent="0.35">
      <c r="A36" s="78">
        <v>35</v>
      </c>
      <c r="B36" s="141" t="s">
        <v>343</v>
      </c>
      <c r="C36" s="107">
        <v>90719906</v>
      </c>
      <c r="D36" s="171" t="str">
        <f>_xlfn.XLOOKUP(C36,Sheet2!B:B,Sheet2!A:A)</f>
        <v>Arjun.B@rockwellautomation.com</v>
      </c>
      <c r="E36" s="107" t="s">
        <v>232</v>
      </c>
      <c r="F36" s="107" t="s">
        <v>233</v>
      </c>
      <c r="G36" s="184"/>
      <c r="H36" s="151" t="s">
        <v>344</v>
      </c>
      <c r="I36" s="167">
        <f t="shared" si="2"/>
        <v>2.4166666666666665</v>
      </c>
      <c r="J36" s="163" t="s">
        <v>235</v>
      </c>
      <c r="K36" s="161">
        <v>45107</v>
      </c>
      <c r="L36" s="165">
        <f t="shared" ca="1" si="1"/>
        <v>2.92</v>
      </c>
      <c r="M36" s="148" t="s">
        <v>345</v>
      </c>
      <c r="N36" s="75"/>
      <c r="O36" s="192" t="s">
        <v>254</v>
      </c>
      <c r="P36" s="193" t="s">
        <v>237</v>
      </c>
      <c r="Q36" s="193" t="s">
        <v>237</v>
      </c>
      <c r="R36" s="193" t="s">
        <v>237</v>
      </c>
      <c r="S36" s="193" t="s">
        <v>237</v>
      </c>
      <c r="T36" s="193" t="s">
        <v>237</v>
      </c>
      <c r="U36" s="193" t="s">
        <v>237</v>
      </c>
      <c r="V36" s="193" t="s">
        <v>237</v>
      </c>
    </row>
    <row r="37" spans="1:22" ht="14.5" customHeight="1" x14ac:dyDescent="0.35">
      <c r="A37" s="78">
        <v>36</v>
      </c>
      <c r="B37" s="196" t="s">
        <v>346</v>
      </c>
      <c r="C37" s="107">
        <v>90719535</v>
      </c>
      <c r="D37" s="171" t="str">
        <f>_xlfn.XLOOKUP(C37,Sheet2!B:B,Sheet2!A:A)</f>
        <v>ArunRaj.MP@rockwellautomation.com</v>
      </c>
      <c r="E37" s="107" t="s">
        <v>232</v>
      </c>
      <c r="F37" s="107" t="s">
        <v>233</v>
      </c>
      <c r="G37" s="184"/>
      <c r="H37" s="151" t="s">
        <v>347</v>
      </c>
      <c r="I37" s="167">
        <f t="shared" si="2"/>
        <v>6</v>
      </c>
      <c r="J37" s="163" t="s">
        <v>235</v>
      </c>
      <c r="K37" s="161">
        <v>43800</v>
      </c>
      <c r="L37" s="165">
        <f t="shared" ca="1" si="1"/>
        <v>6.5</v>
      </c>
      <c r="M37" s="148" t="e">
        <v>#N/A</v>
      </c>
      <c r="N37" s="75"/>
      <c r="O37" s="192" t="s">
        <v>237</v>
      </c>
      <c r="P37" s="193" t="s">
        <v>237</v>
      </c>
      <c r="Q37" s="193" t="s">
        <v>237</v>
      </c>
      <c r="R37" s="193" t="s">
        <v>237</v>
      </c>
      <c r="S37" s="193" t="s">
        <v>237</v>
      </c>
      <c r="T37" s="193" t="s">
        <v>237</v>
      </c>
      <c r="U37" s="193" t="s">
        <v>237</v>
      </c>
      <c r="V37" s="193" t="s">
        <v>237</v>
      </c>
    </row>
    <row r="38" spans="1:22" ht="14.5" customHeight="1" x14ac:dyDescent="0.35">
      <c r="A38" s="78">
        <v>37</v>
      </c>
      <c r="B38" s="201" t="s">
        <v>157</v>
      </c>
      <c r="C38" s="107">
        <v>90719449</v>
      </c>
      <c r="D38" s="171" t="str">
        <f>_xlfn.XLOOKUP(C38,Sheet2!B:B,Sheet2!A:A)</f>
        <v>Arun.Kushwaha@rockwellautomation.com</v>
      </c>
      <c r="E38" s="107" t="s">
        <v>249</v>
      </c>
      <c r="F38" s="107" t="s">
        <v>251</v>
      </c>
      <c r="G38" s="184" t="s">
        <v>245</v>
      </c>
      <c r="H38" s="151" t="s">
        <v>265</v>
      </c>
      <c r="I38" s="167">
        <f t="shared" si="2"/>
        <v>6.833333333333333</v>
      </c>
      <c r="J38" s="163" t="s">
        <v>235</v>
      </c>
      <c r="K38" s="161">
        <v>43507</v>
      </c>
      <c r="L38" s="165">
        <f t="shared" ca="1" si="1"/>
        <v>7.33</v>
      </c>
      <c r="M38" s="148" t="s">
        <v>348</v>
      </c>
      <c r="N38" s="75"/>
      <c r="O38" s="192" t="s">
        <v>254</v>
      </c>
      <c r="P38" s="193" t="s">
        <v>237</v>
      </c>
      <c r="Q38" s="193" t="s">
        <v>237</v>
      </c>
      <c r="R38" s="193" t="s">
        <v>237</v>
      </c>
      <c r="S38" s="193" t="s">
        <v>237</v>
      </c>
      <c r="T38" s="193" t="s">
        <v>237</v>
      </c>
      <c r="U38" s="193" t="s">
        <v>237</v>
      </c>
      <c r="V38" s="193" t="s">
        <v>237</v>
      </c>
    </row>
    <row r="39" spans="1:22" ht="14.5" customHeight="1" x14ac:dyDescent="0.35">
      <c r="A39" s="78">
        <v>38</v>
      </c>
      <c r="B39" s="141" t="s">
        <v>349</v>
      </c>
      <c r="C39" s="107">
        <v>90719600</v>
      </c>
      <c r="D39" s="171" t="str">
        <f>_xlfn.XLOOKUP(C39,Sheet2!B:B,Sheet2!A:A)</f>
        <v>Ashaka.Singh@rockwellautomation.com</v>
      </c>
      <c r="E39" s="107" t="s">
        <v>232</v>
      </c>
      <c r="F39" s="107" t="s">
        <v>223</v>
      </c>
      <c r="G39" s="184"/>
      <c r="H39" s="151" t="s">
        <v>350</v>
      </c>
      <c r="I39" s="167">
        <f t="shared" si="2"/>
        <v>6.083333333333333</v>
      </c>
      <c r="J39" s="163" t="s">
        <v>266</v>
      </c>
      <c r="K39" s="161">
        <v>44144</v>
      </c>
      <c r="L39" s="165">
        <f t="shared" ca="1" si="1"/>
        <v>6.58</v>
      </c>
      <c r="M39" s="148" t="e">
        <v>#N/A</v>
      </c>
      <c r="N39" s="75"/>
      <c r="O39" s="192" t="s">
        <v>254</v>
      </c>
      <c r="P39" s="193" t="s">
        <v>237</v>
      </c>
      <c r="Q39" s="193" t="s">
        <v>237</v>
      </c>
      <c r="R39" s="193" t="s">
        <v>237</v>
      </c>
      <c r="S39" s="193" t="s">
        <v>237</v>
      </c>
      <c r="T39" s="193" t="s">
        <v>237</v>
      </c>
      <c r="U39" s="193" t="s">
        <v>237</v>
      </c>
      <c r="V39" s="193" t="s">
        <v>237</v>
      </c>
    </row>
    <row r="40" spans="1:22" ht="14.5" customHeight="1" x14ac:dyDescent="0.35">
      <c r="A40" s="78">
        <v>39</v>
      </c>
      <c r="B40" s="154" t="s">
        <v>351</v>
      </c>
      <c r="C40" s="107">
        <v>90719614</v>
      </c>
      <c r="D40" s="171" t="str">
        <f>_xlfn.XLOOKUP(C40,Sheet2!B:B,Sheet2!A:A)</f>
        <v>Ashitosh.Dhaware@rockwellautomation.com</v>
      </c>
      <c r="E40" s="107" t="s">
        <v>232</v>
      </c>
      <c r="F40" s="107" t="s">
        <v>223</v>
      </c>
      <c r="G40" s="184" t="s">
        <v>245</v>
      </c>
      <c r="H40" s="151" t="s">
        <v>352</v>
      </c>
      <c r="I40" s="167">
        <f t="shared" si="2"/>
        <v>5.333333333333333</v>
      </c>
      <c r="J40" s="163" t="s">
        <v>235</v>
      </c>
      <c r="K40" s="161">
        <v>44186</v>
      </c>
      <c r="L40" s="165">
        <f t="shared" ca="1" si="1"/>
        <v>5.5</v>
      </c>
      <c r="M40" s="148" t="s">
        <v>353</v>
      </c>
      <c r="N40" s="75"/>
      <c r="O40" s="192" t="s">
        <v>254</v>
      </c>
      <c r="P40" s="193" t="s">
        <v>237</v>
      </c>
      <c r="Q40" s="193" t="s">
        <v>255</v>
      </c>
      <c r="R40" s="193" t="s">
        <v>237</v>
      </c>
      <c r="S40" s="193" t="s">
        <v>237</v>
      </c>
      <c r="T40" s="193" t="s">
        <v>237</v>
      </c>
      <c r="U40" s="193" t="s">
        <v>237</v>
      </c>
      <c r="V40" s="193" t="s">
        <v>237</v>
      </c>
    </row>
    <row r="41" spans="1:22" ht="14.5" customHeight="1" x14ac:dyDescent="0.35">
      <c r="A41" s="78">
        <v>40</v>
      </c>
      <c r="B41" s="141" t="s">
        <v>354</v>
      </c>
      <c r="C41" s="107">
        <v>90718946</v>
      </c>
      <c r="D41" s="171" t="str">
        <f>_xlfn.XLOOKUP(C41,Sheet2!B:B,Sheet2!A:A)</f>
        <v>Ashwin.Kodgimath@rockwellautomation.com</v>
      </c>
      <c r="E41" s="107" t="s">
        <v>249</v>
      </c>
      <c r="F41" s="107" t="s">
        <v>223</v>
      </c>
      <c r="G41" s="184"/>
      <c r="H41" s="151" t="s">
        <v>355</v>
      </c>
      <c r="I41" s="167">
        <f t="shared" si="2"/>
        <v>14.333333333333334</v>
      </c>
      <c r="J41" s="163" t="s">
        <v>356</v>
      </c>
      <c r="K41" s="161">
        <v>42592</v>
      </c>
      <c r="L41" s="165">
        <f t="shared" ca="1" si="1"/>
        <v>14.83</v>
      </c>
      <c r="M41" s="148" t="s">
        <v>357</v>
      </c>
      <c r="N41" s="75"/>
      <c r="O41" s="192" t="s">
        <v>254</v>
      </c>
      <c r="P41" s="193" t="s">
        <v>237</v>
      </c>
      <c r="Q41" s="193" t="s">
        <v>237</v>
      </c>
      <c r="R41" s="193" t="s">
        <v>237</v>
      </c>
      <c r="S41" s="193" t="s">
        <v>237</v>
      </c>
      <c r="T41" s="193" t="s">
        <v>358</v>
      </c>
      <c r="U41" s="193" t="s">
        <v>237</v>
      </c>
      <c r="V41" s="193" t="s">
        <v>237</v>
      </c>
    </row>
    <row r="42" spans="1:22" ht="14.5" customHeight="1" x14ac:dyDescent="0.35">
      <c r="A42" s="78">
        <v>41</v>
      </c>
      <c r="B42" s="141" t="s">
        <v>359</v>
      </c>
      <c r="C42" s="107">
        <v>90719513</v>
      </c>
      <c r="D42" s="171" t="str">
        <f>_xlfn.XLOOKUP(C42,Sheet2!B:B,Sheet2!A:A)</f>
        <v>Ashwini.KV@rockwellautomation.com</v>
      </c>
      <c r="E42" s="107" t="s">
        <v>232</v>
      </c>
      <c r="F42" s="107" t="s">
        <v>300</v>
      </c>
      <c r="G42" s="184"/>
      <c r="H42" s="151" t="s">
        <v>360</v>
      </c>
      <c r="I42" s="167">
        <f t="shared" si="2"/>
        <v>7.25</v>
      </c>
      <c r="J42" s="163" t="s">
        <v>361</v>
      </c>
      <c r="K42" s="161">
        <v>43752</v>
      </c>
      <c r="L42" s="165">
        <f t="shared" ca="1" si="1"/>
        <v>7.83</v>
      </c>
      <c r="M42" s="148" t="e">
        <v>#N/A</v>
      </c>
      <c r="N42" s="75"/>
      <c r="O42" s="192" t="s">
        <v>237</v>
      </c>
      <c r="P42" s="193" t="s">
        <v>237</v>
      </c>
      <c r="Q42" s="193" t="s">
        <v>237</v>
      </c>
      <c r="R42" s="193" t="s">
        <v>237</v>
      </c>
      <c r="S42" s="193" t="s">
        <v>237</v>
      </c>
      <c r="T42" s="193" t="s">
        <v>237</v>
      </c>
      <c r="U42" s="193" t="s">
        <v>300</v>
      </c>
      <c r="V42" s="193" t="s">
        <v>237</v>
      </c>
    </row>
    <row r="43" spans="1:22" ht="14.5" customHeight="1" x14ac:dyDescent="0.35">
      <c r="A43" s="78">
        <v>42</v>
      </c>
      <c r="B43" s="201" t="s">
        <v>362</v>
      </c>
      <c r="C43" s="107">
        <v>90727330</v>
      </c>
      <c r="D43" s="171" t="str">
        <f>_xlfn.XLOOKUP(C43,Sheet2!B:B,Sheet2!A:A)</f>
        <v>asim.konar@rockwellautomation.com</v>
      </c>
      <c r="E43" s="107" t="s">
        <v>232</v>
      </c>
      <c r="F43" s="107" t="s">
        <v>233</v>
      </c>
      <c r="G43" s="184"/>
      <c r="H43" s="151" t="s">
        <v>242</v>
      </c>
      <c r="I43" s="167" t="str">
        <f t="shared" si="2"/>
        <v/>
      </c>
      <c r="J43" s="163" t="e">
        <v>#N/A</v>
      </c>
      <c r="K43" s="161" t="e">
        <v>#N/A</v>
      </c>
      <c r="L43" s="165" t="e">
        <f t="shared" ca="1" si="1"/>
        <v>#N/A</v>
      </c>
      <c r="M43" s="148" t="s">
        <v>363</v>
      </c>
      <c r="N43" s="75"/>
      <c r="O43" s="192" t="s">
        <v>273</v>
      </c>
      <c r="P43" s="193" t="s">
        <v>237</v>
      </c>
      <c r="Q43" s="193" t="s">
        <v>237</v>
      </c>
      <c r="R43" s="193" t="s">
        <v>237</v>
      </c>
      <c r="S43" s="193" t="s">
        <v>237</v>
      </c>
      <c r="T43" s="193" t="s">
        <v>237</v>
      </c>
      <c r="U43" s="193" t="s">
        <v>237</v>
      </c>
      <c r="V43" s="193" t="s">
        <v>237</v>
      </c>
    </row>
    <row r="44" spans="1:22" ht="14.5" customHeight="1" x14ac:dyDescent="0.35">
      <c r="A44" s="78">
        <v>43</v>
      </c>
      <c r="B44" s="141" t="s">
        <v>364</v>
      </c>
      <c r="C44" s="107">
        <v>90719933</v>
      </c>
      <c r="D44" s="171" t="str">
        <f>_xlfn.XLOOKUP(C44,Sheet2!B:B,Sheet2!A:A)</f>
        <v>AsutoshDora.Surukati@rockwellautomation.com</v>
      </c>
      <c r="E44" s="107" t="s">
        <v>232</v>
      </c>
      <c r="F44" s="107" t="s">
        <v>244</v>
      </c>
      <c r="G44" s="184"/>
      <c r="H44" s="151" t="s">
        <v>283</v>
      </c>
      <c r="I44" s="167">
        <f t="shared" si="2"/>
        <v>2.1666666666666665</v>
      </c>
      <c r="J44" s="163" t="s">
        <v>235</v>
      </c>
      <c r="K44" s="161">
        <v>45205</v>
      </c>
      <c r="L44" s="165">
        <f t="shared" ca="1" si="1"/>
        <v>2.67</v>
      </c>
      <c r="M44" s="148" t="s">
        <v>365</v>
      </c>
      <c r="N44" s="75"/>
      <c r="O44" s="192" t="s">
        <v>237</v>
      </c>
      <c r="P44" s="193" t="s">
        <v>248</v>
      </c>
      <c r="Q44" s="193" t="s">
        <v>237</v>
      </c>
      <c r="R44" s="193" t="s">
        <v>237</v>
      </c>
      <c r="S44" s="193" t="s">
        <v>237</v>
      </c>
      <c r="T44" s="193" t="s">
        <v>237</v>
      </c>
      <c r="U44" s="193" t="s">
        <v>237</v>
      </c>
      <c r="V44" s="193" t="s">
        <v>237</v>
      </c>
    </row>
    <row r="45" spans="1:22" ht="14.5" customHeight="1" x14ac:dyDescent="0.35">
      <c r="A45" s="78">
        <v>44</v>
      </c>
      <c r="B45" s="141" t="s">
        <v>366</v>
      </c>
      <c r="C45" s="107">
        <v>90719715</v>
      </c>
      <c r="D45" s="171" t="str">
        <f>_xlfn.XLOOKUP(C45,Sheet2!B:B,Sheet2!A:A)</f>
        <v>Aswathi.Nair@rockwellautomation.com</v>
      </c>
      <c r="E45" s="107" t="s">
        <v>232</v>
      </c>
      <c r="F45" s="107" t="s">
        <v>233</v>
      </c>
      <c r="G45" s="184"/>
      <c r="H45" s="151" t="s">
        <v>367</v>
      </c>
      <c r="I45" s="167">
        <f t="shared" si="2"/>
        <v>4.166666666666667</v>
      </c>
      <c r="J45" s="163" t="s">
        <v>235</v>
      </c>
      <c r="K45" s="161">
        <v>44473</v>
      </c>
      <c r="L45" s="165">
        <f t="shared" ca="1" si="1"/>
        <v>4.67</v>
      </c>
      <c r="M45" s="148" t="s">
        <v>368</v>
      </c>
      <c r="N45" s="75"/>
      <c r="O45" s="192" t="s">
        <v>236</v>
      </c>
      <c r="P45" s="193" t="s">
        <v>237</v>
      </c>
      <c r="Q45" s="193" t="s">
        <v>268</v>
      </c>
      <c r="R45" s="193" t="s">
        <v>237</v>
      </c>
      <c r="S45" s="193" t="s">
        <v>227</v>
      </c>
      <c r="T45" s="193" t="s">
        <v>237</v>
      </c>
      <c r="U45" s="193" t="s">
        <v>237</v>
      </c>
      <c r="V45" s="193" t="s">
        <v>237</v>
      </c>
    </row>
    <row r="46" spans="1:22" ht="14.5" customHeight="1" x14ac:dyDescent="0.35">
      <c r="A46" s="78">
        <v>45</v>
      </c>
      <c r="B46" s="201" t="s">
        <v>369</v>
      </c>
      <c r="C46" s="107">
        <v>90719674</v>
      </c>
      <c r="D46" s="171" t="str">
        <f>_xlfn.XLOOKUP(C46,Sheet2!B:B,Sheet2!A:A)</f>
        <v>Aswathy.L@rockwellautomation.com</v>
      </c>
      <c r="E46" s="107" t="s">
        <v>232</v>
      </c>
      <c r="F46" s="107" t="s">
        <v>239</v>
      </c>
      <c r="G46" s="184"/>
      <c r="H46" s="151" t="s">
        <v>370</v>
      </c>
      <c r="I46" s="167">
        <f t="shared" si="2"/>
        <v>4.333333333333333</v>
      </c>
      <c r="J46" s="163" t="s">
        <v>235</v>
      </c>
      <c r="K46" s="161">
        <v>44410</v>
      </c>
      <c r="L46" s="165">
        <f t="shared" ca="1" si="1"/>
        <v>4.83</v>
      </c>
      <c r="M46" s="148" t="s">
        <v>371</v>
      </c>
      <c r="N46" s="75"/>
      <c r="O46" s="192" t="s">
        <v>237</v>
      </c>
      <c r="P46" s="193" t="s">
        <v>237</v>
      </c>
      <c r="Q46" s="193" t="s">
        <v>237</v>
      </c>
      <c r="R46" s="193" t="s">
        <v>237</v>
      </c>
      <c r="S46" s="193" t="s">
        <v>227</v>
      </c>
      <c r="T46" s="193" t="s">
        <v>237</v>
      </c>
      <c r="U46" s="193" t="s">
        <v>237</v>
      </c>
      <c r="V46" s="193" t="s">
        <v>237</v>
      </c>
    </row>
    <row r="47" spans="1:22" ht="14.5" customHeight="1" x14ac:dyDescent="0.35">
      <c r="A47" s="78">
        <v>46</v>
      </c>
      <c r="B47" s="154" t="s">
        <v>372</v>
      </c>
      <c r="C47" s="107">
        <v>90724603</v>
      </c>
      <c r="D47" s="171" t="str">
        <f>_xlfn.XLOOKUP(C47,Sheet2!B:B,Sheet2!A:A)</f>
        <v>AswinG.Menon@rockwellautomation.com</v>
      </c>
      <c r="E47" s="107" t="s">
        <v>232</v>
      </c>
      <c r="F47" s="107" t="s">
        <v>223</v>
      </c>
      <c r="G47" s="184"/>
      <c r="H47" s="151" t="s">
        <v>234</v>
      </c>
      <c r="I47" s="167">
        <f t="shared" si="2"/>
        <v>1.3333333333333333</v>
      </c>
      <c r="J47" s="163" t="s">
        <v>235</v>
      </c>
      <c r="K47" s="161">
        <v>45490</v>
      </c>
      <c r="L47" s="165">
        <f t="shared" ca="1" si="1"/>
        <v>1.92</v>
      </c>
      <c r="M47" s="148" t="e">
        <v>#N/A</v>
      </c>
      <c r="N47" s="75"/>
      <c r="O47" s="192" t="s">
        <v>254</v>
      </c>
      <c r="P47" s="193" t="s">
        <v>237</v>
      </c>
      <c r="Q47" s="193" t="s">
        <v>373</v>
      </c>
      <c r="R47" s="193" t="s">
        <v>237</v>
      </c>
      <c r="S47" s="193" t="s">
        <v>237</v>
      </c>
      <c r="T47" s="193" t="s">
        <v>237</v>
      </c>
      <c r="U47" s="193" t="s">
        <v>237</v>
      </c>
      <c r="V47" s="193" t="s">
        <v>237</v>
      </c>
    </row>
    <row r="48" spans="1:22" ht="14.5" customHeight="1" x14ac:dyDescent="0.35">
      <c r="A48" s="78">
        <v>47</v>
      </c>
      <c r="B48" s="201" t="s">
        <v>374</v>
      </c>
      <c r="C48" s="107">
        <v>90719882</v>
      </c>
      <c r="D48" s="171" t="str">
        <f>_xlfn.XLOOKUP(C48,Sheet2!B:B,Sheet2!A:A)</f>
        <v>Athira.Prasannan@rockwellautomation.com</v>
      </c>
      <c r="E48" s="107" t="s">
        <v>232</v>
      </c>
      <c r="F48" s="107" t="s">
        <v>233</v>
      </c>
      <c r="G48" s="184"/>
      <c r="H48" s="151" t="s">
        <v>304</v>
      </c>
      <c r="I48" s="167">
        <f t="shared" si="2"/>
        <v>2.9166666666666665</v>
      </c>
      <c r="J48" s="163" t="s">
        <v>235</v>
      </c>
      <c r="K48" s="161">
        <v>44928</v>
      </c>
      <c r="L48" s="165">
        <f t="shared" ca="1" si="1"/>
        <v>3.42</v>
      </c>
      <c r="M48" s="148" t="s">
        <v>375</v>
      </c>
      <c r="N48" s="75"/>
      <c r="O48" s="192" t="s">
        <v>254</v>
      </c>
      <c r="P48" s="193" t="s">
        <v>237</v>
      </c>
      <c r="Q48" s="193" t="s">
        <v>237</v>
      </c>
      <c r="R48" s="193" t="s">
        <v>237</v>
      </c>
      <c r="S48" s="193" t="s">
        <v>237</v>
      </c>
      <c r="T48" s="193" t="s">
        <v>237</v>
      </c>
      <c r="U48" s="193" t="s">
        <v>237</v>
      </c>
      <c r="V48" s="193" t="s">
        <v>237</v>
      </c>
    </row>
    <row r="49" spans="1:22" ht="14.5" customHeight="1" x14ac:dyDescent="0.35">
      <c r="A49" s="78">
        <v>48</v>
      </c>
      <c r="B49" s="141" t="s">
        <v>376</v>
      </c>
      <c r="C49" s="107">
        <v>90719525</v>
      </c>
      <c r="D49" s="171" t="str">
        <f>_xlfn.XLOOKUP(C49,Sheet2!B:B,Sheet2!A:A)</f>
        <v>Avinash.Kumar1@rockwellautomation.com</v>
      </c>
      <c r="E49" s="107" t="s">
        <v>249</v>
      </c>
      <c r="F49" s="107" t="s">
        <v>309</v>
      </c>
      <c r="G49" s="184"/>
      <c r="H49" s="151" t="s">
        <v>377</v>
      </c>
      <c r="I49" s="167">
        <f t="shared" si="2"/>
        <v>9</v>
      </c>
      <c r="J49" s="163" t="s">
        <v>378</v>
      </c>
      <c r="K49" s="161">
        <v>43808</v>
      </c>
      <c r="L49" s="165">
        <f t="shared" ca="1" si="1"/>
        <v>9.5</v>
      </c>
      <c r="M49" s="148" t="s">
        <v>379</v>
      </c>
      <c r="N49" s="75"/>
      <c r="O49" s="192" t="s">
        <v>254</v>
      </c>
      <c r="P49" s="193" t="s">
        <v>237</v>
      </c>
      <c r="Q49" s="193" t="s">
        <v>268</v>
      </c>
      <c r="R49" s="193" t="s">
        <v>237</v>
      </c>
      <c r="S49" s="193" t="s">
        <v>237</v>
      </c>
      <c r="T49" s="193" t="s">
        <v>237</v>
      </c>
      <c r="U49" s="193" t="s">
        <v>237</v>
      </c>
      <c r="V49" s="193" t="s">
        <v>320</v>
      </c>
    </row>
    <row r="50" spans="1:22" ht="14.5" customHeight="1" x14ac:dyDescent="0.35">
      <c r="A50" s="78">
        <v>49</v>
      </c>
      <c r="B50" s="141" t="s">
        <v>143</v>
      </c>
      <c r="C50" s="107">
        <v>90719787</v>
      </c>
      <c r="D50" s="171" t="str">
        <f>_xlfn.XLOOKUP(C50,Sheet2!B:B,Sheet2!A:A)</f>
        <v>Ayush.Choudhary@rockwellautomation.com</v>
      </c>
      <c r="E50" s="107" t="s">
        <v>232</v>
      </c>
      <c r="F50" s="107" t="s">
        <v>300</v>
      </c>
      <c r="G50" s="184" t="s">
        <v>245</v>
      </c>
      <c r="H50" s="151" t="s">
        <v>297</v>
      </c>
      <c r="I50" s="167">
        <f t="shared" si="2"/>
        <v>3.4166666666666665</v>
      </c>
      <c r="J50" s="163" t="s">
        <v>235</v>
      </c>
      <c r="K50" s="161">
        <v>44725</v>
      </c>
      <c r="L50" s="165">
        <f t="shared" ca="1" si="1"/>
        <v>4</v>
      </c>
      <c r="M50" s="148" t="s">
        <v>380</v>
      </c>
      <c r="N50" s="75"/>
      <c r="O50" s="192" t="s">
        <v>237</v>
      </c>
      <c r="P50" s="193" t="s">
        <v>237</v>
      </c>
      <c r="Q50" s="193" t="s">
        <v>237</v>
      </c>
      <c r="R50" s="193" t="s">
        <v>237</v>
      </c>
      <c r="S50" s="193" t="s">
        <v>237</v>
      </c>
      <c r="T50" s="193" t="s">
        <v>237</v>
      </c>
      <c r="U50" s="193" t="s">
        <v>300</v>
      </c>
      <c r="V50" s="193" t="s">
        <v>237</v>
      </c>
    </row>
    <row r="51" spans="1:22" ht="14.5" customHeight="1" x14ac:dyDescent="0.35">
      <c r="A51" s="78">
        <v>50</v>
      </c>
      <c r="B51" s="141" t="s">
        <v>381</v>
      </c>
      <c r="C51" s="107">
        <v>90729512</v>
      </c>
      <c r="D51" s="171" t="str">
        <f>_xlfn.XLOOKUP(C51,Sheet2!B:B,Sheet2!A:A)</f>
        <v>ZaidBin.Azeez@rockwellautomation.com</v>
      </c>
      <c r="E51" s="107" t="s">
        <v>232</v>
      </c>
      <c r="F51" s="107" t="s">
        <v>239</v>
      </c>
      <c r="G51" s="184"/>
      <c r="H51" s="151" t="s">
        <v>242</v>
      </c>
      <c r="I51" s="167" t="str">
        <f t="shared" si="2"/>
        <v/>
      </c>
      <c r="J51" s="163" t="e">
        <v>#N/A</v>
      </c>
      <c r="K51" s="161">
        <v>45736</v>
      </c>
      <c r="L51" s="165" t="e">
        <f t="shared" ca="1" si="1"/>
        <v>#N/A</v>
      </c>
      <c r="M51" s="148" t="e">
        <v>#N/A</v>
      </c>
      <c r="N51" s="75"/>
      <c r="O51" s="192" t="s">
        <v>237</v>
      </c>
      <c r="P51" s="193" t="s">
        <v>237</v>
      </c>
      <c r="Q51" s="193" t="s">
        <v>237</v>
      </c>
      <c r="R51" s="193" t="s">
        <v>237</v>
      </c>
      <c r="S51" s="193" t="s">
        <v>227</v>
      </c>
      <c r="T51" s="193" t="s">
        <v>237</v>
      </c>
      <c r="U51" s="193" t="s">
        <v>237</v>
      </c>
      <c r="V51" s="193" t="s">
        <v>237</v>
      </c>
    </row>
    <row r="52" spans="1:22" ht="14.5" customHeight="1" x14ac:dyDescent="0.35">
      <c r="A52" s="78">
        <v>51</v>
      </c>
      <c r="B52" s="141" t="s">
        <v>382</v>
      </c>
      <c r="C52" s="107">
        <v>90719838</v>
      </c>
      <c r="D52" s="171" t="str">
        <f>_xlfn.XLOOKUP(C52,Sheet2!B:B,Sheet2!A:A)</f>
        <v>Kowsalya.B@rockwellautomation.com</v>
      </c>
      <c r="E52" s="107" t="s">
        <v>232</v>
      </c>
      <c r="F52" s="107" t="s">
        <v>223</v>
      </c>
      <c r="G52" s="184"/>
      <c r="H52" s="151" t="s">
        <v>297</v>
      </c>
      <c r="I52" s="167">
        <f t="shared" si="2"/>
        <v>3.4166666666666665</v>
      </c>
      <c r="J52" s="163" t="s">
        <v>235</v>
      </c>
      <c r="K52" s="161">
        <v>44739</v>
      </c>
      <c r="L52" s="165">
        <f t="shared" ca="1" si="1"/>
        <v>3.92</v>
      </c>
      <c r="M52" s="148" t="s">
        <v>383</v>
      </c>
      <c r="N52" s="75"/>
      <c r="O52" s="192" t="s">
        <v>254</v>
      </c>
      <c r="P52" s="193" t="s">
        <v>237</v>
      </c>
      <c r="Q52" s="193" t="s">
        <v>268</v>
      </c>
      <c r="R52" s="193" t="s">
        <v>237</v>
      </c>
      <c r="S52" s="193" t="s">
        <v>237</v>
      </c>
      <c r="T52" s="193" t="s">
        <v>237</v>
      </c>
      <c r="U52" s="193" t="s">
        <v>237</v>
      </c>
      <c r="V52" s="193" t="s">
        <v>237</v>
      </c>
    </row>
    <row r="53" spans="1:22" ht="14.5" customHeight="1" x14ac:dyDescent="0.35">
      <c r="A53" s="78">
        <v>52</v>
      </c>
      <c r="B53" s="141" t="s">
        <v>384</v>
      </c>
      <c r="C53" s="107">
        <v>90718833</v>
      </c>
      <c r="D53" s="171" t="str">
        <f>_xlfn.XLOOKUP(C53,Sheet2!B:B,Sheet2!A:A)</f>
        <v>Balaji.R@rockwellautomation.com</v>
      </c>
      <c r="E53" s="107" t="s">
        <v>308</v>
      </c>
      <c r="F53" s="107" t="s">
        <v>309</v>
      </c>
      <c r="G53" s="184"/>
      <c r="H53" s="151" t="s">
        <v>385</v>
      </c>
      <c r="I53" s="167">
        <f t="shared" si="2"/>
        <v>10.666666666666666</v>
      </c>
      <c r="J53" s="163" t="s">
        <v>386</v>
      </c>
      <c r="K53" s="161">
        <v>42226</v>
      </c>
      <c r="L53" s="165">
        <f t="shared" ca="1" si="1"/>
        <v>11.17</v>
      </c>
      <c r="M53" s="148" t="s">
        <v>387</v>
      </c>
      <c r="N53" s="75"/>
      <c r="O53" s="192" t="s">
        <v>237</v>
      </c>
      <c r="P53" s="193" t="s">
        <v>237</v>
      </c>
      <c r="Q53" s="193" t="s">
        <v>255</v>
      </c>
      <c r="R53" s="193" t="s">
        <v>237</v>
      </c>
      <c r="S53" s="193" t="s">
        <v>237</v>
      </c>
      <c r="T53" s="193" t="s">
        <v>388</v>
      </c>
      <c r="U53" s="193" t="s">
        <v>237</v>
      </c>
      <c r="V53" s="193" t="s">
        <v>320</v>
      </c>
    </row>
    <row r="54" spans="1:22" ht="14.5" customHeight="1" x14ac:dyDescent="0.35">
      <c r="A54" s="78">
        <v>53</v>
      </c>
      <c r="B54" s="141" t="s">
        <v>389</v>
      </c>
      <c r="C54" s="107">
        <v>90719559</v>
      </c>
      <c r="D54" s="171" t="str">
        <f>_xlfn.XLOOKUP(C54,Sheet2!B:B,Sheet2!A:A)</f>
        <v>Bishwadeep.Chaudhary@rockwellautomation.com</v>
      </c>
      <c r="E54" s="107" t="s">
        <v>232</v>
      </c>
      <c r="F54" s="107" t="s">
        <v>223</v>
      </c>
      <c r="G54" s="184"/>
      <c r="H54" s="151" t="s">
        <v>390</v>
      </c>
      <c r="I54" s="167">
        <f t="shared" si="2"/>
        <v>5.5</v>
      </c>
      <c r="J54" s="163" t="s">
        <v>235</v>
      </c>
      <c r="K54" s="161">
        <v>43983</v>
      </c>
      <c r="L54" s="165">
        <f t="shared" ca="1" si="1"/>
        <v>6</v>
      </c>
      <c r="M54" s="148" t="e">
        <v>#N/A</v>
      </c>
      <c r="N54" s="75"/>
      <c r="O54" s="192" t="s">
        <v>254</v>
      </c>
      <c r="P54" s="193" t="s">
        <v>237</v>
      </c>
      <c r="Q54" s="193" t="s">
        <v>237</v>
      </c>
      <c r="R54" s="193" t="s">
        <v>237</v>
      </c>
      <c r="S54" s="193" t="s">
        <v>237</v>
      </c>
      <c r="T54" s="193" t="s">
        <v>237</v>
      </c>
      <c r="U54" s="193" t="s">
        <v>237</v>
      </c>
      <c r="V54" s="193" t="s">
        <v>237</v>
      </c>
    </row>
    <row r="55" spans="1:22" ht="14.5" customHeight="1" x14ac:dyDescent="0.35">
      <c r="A55" s="78">
        <v>54</v>
      </c>
      <c r="B55" s="141" t="s">
        <v>391</v>
      </c>
      <c r="C55" s="107">
        <v>90719961</v>
      </c>
      <c r="D55" s="171" t="str">
        <f>_xlfn.XLOOKUP(C55,Sheet2!B:B,Sheet2!A:A)</f>
        <v>Brahmaduttan.S@rockwellautomation.com</v>
      </c>
      <c r="E55" s="107" t="s">
        <v>232</v>
      </c>
      <c r="F55" s="107" t="s">
        <v>244</v>
      </c>
      <c r="G55" s="184"/>
      <c r="H55" s="151" t="s">
        <v>294</v>
      </c>
      <c r="I55" s="167">
        <f t="shared" si="2"/>
        <v>3.1666666666666665</v>
      </c>
      <c r="J55" s="163" t="s">
        <v>235</v>
      </c>
      <c r="K55" s="161">
        <v>44837</v>
      </c>
      <c r="L55" s="165">
        <f t="shared" ca="1" si="1"/>
        <v>3.67</v>
      </c>
      <c r="M55" s="148" t="e">
        <v>#N/A</v>
      </c>
      <c r="N55" s="75"/>
      <c r="O55" s="192" t="s">
        <v>237</v>
      </c>
      <c r="P55" s="193" t="s">
        <v>248</v>
      </c>
      <c r="Q55" s="193" t="s">
        <v>237</v>
      </c>
      <c r="R55" s="193" t="s">
        <v>237</v>
      </c>
      <c r="S55" s="193" t="s">
        <v>237</v>
      </c>
      <c r="T55" s="193" t="s">
        <v>388</v>
      </c>
      <c r="U55" s="193" t="s">
        <v>237</v>
      </c>
      <c r="V55" s="193" t="s">
        <v>237</v>
      </c>
    </row>
    <row r="56" spans="1:22" ht="14.5" customHeight="1" x14ac:dyDescent="0.35">
      <c r="A56" s="78">
        <v>55</v>
      </c>
      <c r="B56" s="141" t="s">
        <v>392</v>
      </c>
      <c r="C56" s="107">
        <v>90727232</v>
      </c>
      <c r="D56" s="171" t="str">
        <f>_xlfn.XLOOKUP(C56,Sheet2!B:B,Sheet2!A:A)</f>
        <v>buradabhanu.prakash@rockwellautomation.com</v>
      </c>
      <c r="E56" s="107" t="s">
        <v>232</v>
      </c>
      <c r="F56" s="107" t="s">
        <v>233</v>
      </c>
      <c r="G56" s="184"/>
      <c r="H56" s="151" t="s">
        <v>393</v>
      </c>
      <c r="I56" s="167">
        <f t="shared" si="2"/>
        <v>4.416666666666667</v>
      </c>
      <c r="J56" s="163" t="s">
        <v>394</v>
      </c>
      <c r="K56" s="161">
        <v>45474</v>
      </c>
      <c r="L56" s="165">
        <f t="shared" ca="1" si="1"/>
        <v>4.92</v>
      </c>
      <c r="M56" s="148" t="s">
        <v>395</v>
      </c>
      <c r="N56" s="75"/>
      <c r="O56" s="192" t="s">
        <v>237</v>
      </c>
      <c r="P56" s="193" t="s">
        <v>237</v>
      </c>
      <c r="Q56" s="193" t="s">
        <v>237</v>
      </c>
      <c r="R56" s="193" t="s">
        <v>237</v>
      </c>
      <c r="S56" s="193" t="s">
        <v>237</v>
      </c>
      <c r="T56" s="193" t="s">
        <v>263</v>
      </c>
      <c r="U56" s="193" t="s">
        <v>237</v>
      </c>
      <c r="V56" s="193" t="s">
        <v>396</v>
      </c>
    </row>
    <row r="57" spans="1:22" ht="14.5" customHeight="1" x14ac:dyDescent="0.35">
      <c r="A57" s="78">
        <v>56</v>
      </c>
      <c r="B57" s="201" t="s">
        <v>397</v>
      </c>
      <c r="C57" s="107">
        <v>90719967</v>
      </c>
      <c r="D57" s="171" t="str">
        <f>_xlfn.XLOOKUP(C57,Sheet2!B:B,Sheet2!A:A)</f>
        <v>Chandrakanth.Gottam@rockwellautomation.com</v>
      </c>
      <c r="E57" s="107" t="s">
        <v>249</v>
      </c>
      <c r="F57" s="107" t="s">
        <v>223</v>
      </c>
      <c r="G57" s="184"/>
      <c r="H57" s="151" t="s">
        <v>252</v>
      </c>
      <c r="I57" s="167">
        <f t="shared" si="2"/>
        <v>7.5</v>
      </c>
      <c r="J57" s="163" t="s">
        <v>235</v>
      </c>
      <c r="K57" s="161">
        <v>43252</v>
      </c>
      <c r="L57" s="165">
        <f t="shared" ca="1" si="1"/>
        <v>8</v>
      </c>
      <c r="M57" s="148" t="s">
        <v>398</v>
      </c>
      <c r="N57" s="75"/>
      <c r="O57" s="192" t="s">
        <v>254</v>
      </c>
      <c r="P57" s="193" t="s">
        <v>237</v>
      </c>
      <c r="Q57" s="193" t="s">
        <v>237</v>
      </c>
      <c r="R57" s="193" t="s">
        <v>237</v>
      </c>
      <c r="S57" s="193" t="s">
        <v>237</v>
      </c>
      <c r="T57" s="193" t="s">
        <v>237</v>
      </c>
      <c r="U57" s="193" t="s">
        <v>237</v>
      </c>
      <c r="V57" s="193" t="s">
        <v>237</v>
      </c>
    </row>
    <row r="58" spans="1:22" ht="14.5" customHeight="1" x14ac:dyDescent="0.35">
      <c r="A58" s="78">
        <v>57</v>
      </c>
      <c r="B58" s="206" t="s">
        <v>399</v>
      </c>
      <c r="C58" s="107">
        <v>90730198</v>
      </c>
      <c r="D58" s="171" t="str">
        <f>_xlfn.XLOOKUP(C58,Sheet2!B:B,Sheet2!A:A)</f>
        <v>Charan.Jettappanavar@rockwellautomation.com</v>
      </c>
      <c r="E58" s="107" t="s">
        <v>232</v>
      </c>
      <c r="F58" s="107" t="s">
        <v>251</v>
      </c>
      <c r="G58" s="184"/>
      <c r="H58" s="151" t="s">
        <v>400</v>
      </c>
      <c r="I58" s="167">
        <f t="shared" si="2"/>
        <v>0.58333333333333337</v>
      </c>
      <c r="J58" s="163" t="s">
        <v>235</v>
      </c>
      <c r="K58" s="161">
        <v>45782</v>
      </c>
      <c r="L58" s="165">
        <f t="shared" ca="1" si="1"/>
        <v>1.08</v>
      </c>
      <c r="M58" s="148" t="s">
        <v>401</v>
      </c>
      <c r="N58" s="75"/>
      <c r="O58" s="192" t="s">
        <v>254</v>
      </c>
      <c r="P58" s="193" t="s">
        <v>237</v>
      </c>
      <c r="Q58" s="193" t="s">
        <v>402</v>
      </c>
      <c r="R58" s="193" t="s">
        <v>237</v>
      </c>
      <c r="S58" s="193" t="s">
        <v>237</v>
      </c>
      <c r="T58" s="193" t="s">
        <v>237</v>
      </c>
      <c r="U58" s="193" t="s">
        <v>237</v>
      </c>
      <c r="V58" s="193" t="s">
        <v>237</v>
      </c>
    </row>
    <row r="59" spans="1:22" ht="14.5" customHeight="1" x14ac:dyDescent="0.35">
      <c r="A59" s="78">
        <v>58</v>
      </c>
      <c r="B59" s="154" t="s">
        <v>403</v>
      </c>
      <c r="C59" s="107">
        <v>90719868</v>
      </c>
      <c r="D59" s="171" t="str">
        <f>_xlfn.XLOOKUP(C59,Sheet2!B:B,Sheet2!A:A)</f>
        <v>Chinmoy.Khadgaray@rockwellautomation.com</v>
      </c>
      <c r="E59" s="107" t="s">
        <v>232</v>
      </c>
      <c r="F59" s="107" t="s">
        <v>223</v>
      </c>
      <c r="G59" s="184"/>
      <c r="H59" s="151" t="s">
        <v>283</v>
      </c>
      <c r="I59" s="167">
        <f t="shared" si="2"/>
        <v>2.1666666666666665</v>
      </c>
      <c r="J59" s="163" t="s">
        <v>235</v>
      </c>
      <c r="K59" s="161">
        <v>45205</v>
      </c>
      <c r="L59" s="165">
        <f t="shared" ca="1" si="1"/>
        <v>2.67</v>
      </c>
      <c r="M59" s="148" t="e">
        <v>#N/A</v>
      </c>
      <c r="N59" s="75"/>
      <c r="O59" s="192" t="s">
        <v>254</v>
      </c>
      <c r="P59" s="193" t="s">
        <v>237</v>
      </c>
      <c r="Q59" s="193" t="s">
        <v>237</v>
      </c>
      <c r="R59" s="193" t="s">
        <v>237</v>
      </c>
      <c r="S59" s="193" t="s">
        <v>237</v>
      </c>
      <c r="T59" s="193" t="s">
        <v>237</v>
      </c>
      <c r="U59" s="193" t="s">
        <v>237</v>
      </c>
      <c r="V59" s="193" t="s">
        <v>237</v>
      </c>
    </row>
    <row r="60" spans="1:22" ht="14.5" customHeight="1" x14ac:dyDescent="0.35">
      <c r="A60" s="78">
        <v>59</v>
      </c>
      <c r="B60" s="141" t="s">
        <v>167</v>
      </c>
      <c r="C60" s="107">
        <v>90719454</v>
      </c>
      <c r="D60" s="171" t="str">
        <f>_xlfn.XLOOKUP(C60,Sheet2!B:B,Sheet2!A:A)</f>
        <v>VinodKumarReddy.D@rockwellautomation.com</v>
      </c>
      <c r="E60" s="107" t="s">
        <v>232</v>
      </c>
      <c r="F60" s="107" t="s">
        <v>251</v>
      </c>
      <c r="G60" s="184" t="s">
        <v>245</v>
      </c>
      <c r="H60" s="151" t="s">
        <v>404</v>
      </c>
      <c r="I60" s="167">
        <f t="shared" si="2"/>
        <v>7.75</v>
      </c>
      <c r="J60" s="163" t="s">
        <v>405</v>
      </c>
      <c r="K60" s="161">
        <v>43514</v>
      </c>
      <c r="L60" s="165">
        <f t="shared" ca="1" si="1"/>
        <v>8.33</v>
      </c>
      <c r="M60" s="148" t="s">
        <v>406</v>
      </c>
      <c r="N60" s="75"/>
      <c r="O60" s="192" t="s">
        <v>254</v>
      </c>
      <c r="P60" s="193" t="s">
        <v>237</v>
      </c>
      <c r="Q60" s="193" t="s">
        <v>237</v>
      </c>
      <c r="R60" s="193" t="s">
        <v>237</v>
      </c>
      <c r="S60" s="193" t="s">
        <v>237</v>
      </c>
      <c r="T60" s="193" t="s">
        <v>237</v>
      </c>
      <c r="U60" s="193" t="s">
        <v>237</v>
      </c>
      <c r="V60" s="193" t="s">
        <v>237</v>
      </c>
    </row>
    <row r="61" spans="1:22" ht="14.5" customHeight="1" x14ac:dyDescent="0.35">
      <c r="A61" s="78">
        <v>60</v>
      </c>
      <c r="B61" s="204" t="s">
        <v>407</v>
      </c>
      <c r="C61" s="107">
        <v>90731122</v>
      </c>
      <c r="D61" s="171" t="str">
        <f>_xlfn.XLOOKUP(C61,Sheet2!B:B,Sheet2!A:A)</f>
        <v>Danushri.C@rockwellautomation.com</v>
      </c>
      <c r="E61" s="107" t="s">
        <v>232</v>
      </c>
      <c r="F61" s="107" t="s">
        <v>408</v>
      </c>
      <c r="G61" s="184"/>
      <c r="H61" s="151" t="s">
        <v>409</v>
      </c>
      <c r="I61" s="167">
        <f t="shared" si="2"/>
        <v>125.91666666666667</v>
      </c>
      <c r="J61" s="163" t="s">
        <v>235</v>
      </c>
      <c r="K61" s="161">
        <v>0</v>
      </c>
      <c r="L61" s="165">
        <f t="shared" ca="1" si="1"/>
        <v>126.42</v>
      </c>
      <c r="M61" s="148" t="s">
        <v>410</v>
      </c>
      <c r="N61" s="75"/>
      <c r="O61" s="192" t="s">
        <v>254</v>
      </c>
      <c r="P61" s="193" t="s">
        <v>237</v>
      </c>
      <c r="Q61" s="193" t="s">
        <v>315</v>
      </c>
      <c r="R61" s="193" t="s">
        <v>237</v>
      </c>
      <c r="S61" s="193" t="s">
        <v>237</v>
      </c>
      <c r="T61" s="193" t="s">
        <v>237</v>
      </c>
      <c r="U61" s="193" t="s">
        <v>237</v>
      </c>
      <c r="V61" s="193" t="s">
        <v>237</v>
      </c>
    </row>
    <row r="62" spans="1:22" ht="14.5" customHeight="1" x14ac:dyDescent="0.35">
      <c r="A62" s="78">
        <v>61</v>
      </c>
      <c r="B62" s="173" t="s">
        <v>411</v>
      </c>
      <c r="C62" s="174">
        <v>90727397</v>
      </c>
      <c r="D62" s="171" t="str">
        <f>_xlfn.XLOOKUP(C62,Sheet2!B:B,Sheet2!A:A)</f>
        <v>deepak.m@rockwellautomation.com</v>
      </c>
      <c r="E62" s="107" t="s">
        <v>232</v>
      </c>
      <c r="F62" s="107" t="s">
        <v>233</v>
      </c>
      <c r="G62" s="184"/>
      <c r="H62" s="151" t="s">
        <v>242</v>
      </c>
      <c r="I62" s="167" t="str">
        <f t="shared" si="2"/>
        <v/>
      </c>
      <c r="J62" s="163" t="e">
        <v>#N/A</v>
      </c>
      <c r="K62" s="161" t="e">
        <v>#N/A</v>
      </c>
      <c r="L62" s="165" t="e">
        <f t="shared" ca="1" si="1"/>
        <v>#N/A</v>
      </c>
      <c r="M62" s="148" t="e">
        <v>#N/A</v>
      </c>
      <c r="N62" s="75"/>
      <c r="O62" s="192" t="s">
        <v>237</v>
      </c>
      <c r="P62" s="193" t="s">
        <v>237</v>
      </c>
      <c r="Q62" s="193" t="s">
        <v>237</v>
      </c>
      <c r="R62" s="193" t="s">
        <v>237</v>
      </c>
      <c r="S62" s="193" t="s">
        <v>237</v>
      </c>
      <c r="T62" s="193" t="s">
        <v>237</v>
      </c>
      <c r="U62" s="193" t="s">
        <v>237</v>
      </c>
      <c r="V62" s="193" t="s">
        <v>396</v>
      </c>
    </row>
    <row r="63" spans="1:22" ht="14.5" customHeight="1" x14ac:dyDescent="0.35">
      <c r="A63" s="78">
        <v>62</v>
      </c>
      <c r="B63" s="153" t="s">
        <v>412</v>
      </c>
      <c r="C63" s="107">
        <v>90732390</v>
      </c>
      <c r="D63" s="171" t="str">
        <f>_xlfn.XLOOKUP(C63,Sheet2!B:B,Sheet2!A:A)</f>
        <v>DEEPIKA.Manoharan@rockwellautomation.com</v>
      </c>
      <c r="E63" s="107" t="s">
        <v>232</v>
      </c>
      <c r="F63" s="107" t="s">
        <v>251</v>
      </c>
      <c r="G63" s="184"/>
      <c r="H63" s="151" t="s">
        <v>413</v>
      </c>
      <c r="I63" s="167">
        <f t="shared" si="2"/>
        <v>0.16666666666666666</v>
      </c>
      <c r="J63" s="163">
        <v>0</v>
      </c>
      <c r="K63" s="161">
        <v>45936</v>
      </c>
      <c r="L63" s="165">
        <f t="shared" ca="1" si="1"/>
        <v>0.67</v>
      </c>
      <c r="M63" s="148" t="s">
        <v>414</v>
      </c>
      <c r="N63" s="75"/>
      <c r="O63" s="192" t="s">
        <v>254</v>
      </c>
      <c r="P63" s="193" t="s">
        <v>237</v>
      </c>
      <c r="Q63" s="193" t="s">
        <v>237</v>
      </c>
      <c r="R63" s="193" t="s">
        <v>237</v>
      </c>
      <c r="S63" s="193" t="s">
        <v>237</v>
      </c>
      <c r="T63" s="193" t="s">
        <v>388</v>
      </c>
      <c r="U63" s="193" t="s">
        <v>237</v>
      </c>
      <c r="V63" s="193" t="s">
        <v>237</v>
      </c>
    </row>
    <row r="64" spans="1:22" ht="14.5" customHeight="1" x14ac:dyDescent="0.35">
      <c r="A64" s="78">
        <v>63</v>
      </c>
      <c r="B64" s="176" t="s">
        <v>415</v>
      </c>
      <c r="C64" s="180">
        <v>90729513</v>
      </c>
      <c r="D64" s="171" t="str">
        <f>_xlfn.XLOOKUP(C64,Sheet2!B:B,Sheet2!A:A)</f>
        <v>Deepthi.Naik@rockwellautomation.com</v>
      </c>
      <c r="E64" s="107" t="s">
        <v>232</v>
      </c>
      <c r="F64" s="107" t="s">
        <v>239</v>
      </c>
      <c r="G64" s="184"/>
      <c r="H64" s="151" t="s">
        <v>242</v>
      </c>
      <c r="I64" s="167" t="str">
        <f t="shared" si="2"/>
        <v/>
      </c>
      <c r="J64" s="163" t="e">
        <v>#N/A</v>
      </c>
      <c r="K64" s="161">
        <v>45736</v>
      </c>
      <c r="L64" s="165" t="e">
        <f t="shared" ca="1" si="1"/>
        <v>#N/A</v>
      </c>
      <c r="M64" s="148" t="e">
        <v>#N/A</v>
      </c>
      <c r="N64" s="75"/>
      <c r="O64" s="192" t="s">
        <v>254</v>
      </c>
      <c r="P64" s="193" t="s">
        <v>237</v>
      </c>
      <c r="Q64" s="193" t="s">
        <v>237</v>
      </c>
      <c r="R64" s="193" t="s">
        <v>237</v>
      </c>
      <c r="S64" s="193" t="s">
        <v>227</v>
      </c>
      <c r="T64" s="193" t="s">
        <v>237</v>
      </c>
      <c r="U64" s="193" t="s">
        <v>237</v>
      </c>
      <c r="V64" s="193" t="s">
        <v>237</v>
      </c>
    </row>
    <row r="65" spans="1:22" ht="14.5" customHeight="1" x14ac:dyDescent="0.35">
      <c r="A65" s="78">
        <v>64</v>
      </c>
      <c r="B65" s="176" t="s">
        <v>416</v>
      </c>
      <c r="C65" s="180">
        <v>90732281</v>
      </c>
      <c r="D65" s="171" t="str">
        <f>_xlfn.XLOOKUP(C65,Sheet2!B:B,Sheet2!A:A)</f>
        <v>Dharshan.KumarC@rockwellautomation.com</v>
      </c>
      <c r="E65" s="107" t="s">
        <v>232</v>
      </c>
      <c r="F65" s="107" t="s">
        <v>300</v>
      </c>
      <c r="G65" s="184"/>
      <c r="H65" s="151" t="s">
        <v>246</v>
      </c>
      <c r="I65" s="167">
        <f t="shared" si="2"/>
        <v>0.25</v>
      </c>
      <c r="J65" s="163" t="e">
        <v>#N/A</v>
      </c>
      <c r="K65" s="161">
        <v>45891</v>
      </c>
      <c r="L65" s="165" t="e">
        <f t="shared" ca="1" si="1"/>
        <v>#N/A</v>
      </c>
      <c r="M65" s="148" t="s">
        <v>417</v>
      </c>
      <c r="N65" s="75"/>
      <c r="O65" s="192" t="s">
        <v>237</v>
      </c>
      <c r="P65" s="193" t="s">
        <v>237</v>
      </c>
      <c r="Q65" s="193" t="s">
        <v>402</v>
      </c>
      <c r="R65" s="193" t="s">
        <v>237</v>
      </c>
      <c r="S65" s="193" t="s">
        <v>237</v>
      </c>
      <c r="T65" s="193" t="s">
        <v>237</v>
      </c>
      <c r="U65" s="193" t="s">
        <v>300</v>
      </c>
      <c r="V65" s="193" t="s">
        <v>237</v>
      </c>
    </row>
    <row r="66" spans="1:22" ht="14.5" customHeight="1" x14ac:dyDescent="0.35">
      <c r="A66" s="78">
        <v>65</v>
      </c>
      <c r="B66" s="141" t="s">
        <v>418</v>
      </c>
      <c r="C66" s="107">
        <v>90719515</v>
      </c>
      <c r="D66" s="171" t="str">
        <f>_xlfn.XLOOKUP(C66,Sheet2!B:B,Sheet2!A:A)</f>
        <v>Dilna.V@rockwellautomation.com</v>
      </c>
      <c r="E66" s="107" t="s">
        <v>232</v>
      </c>
      <c r="F66" s="107" t="s">
        <v>251</v>
      </c>
      <c r="G66" s="184"/>
      <c r="H66" s="151" t="s">
        <v>350</v>
      </c>
      <c r="I66" s="167">
        <f t="shared" ref="I66:I71" si="3">IF(
   OR(H66="",H66="NA"),
   "",
   VALUE(LEFT(H66,FIND("years",H66)-1)) +
   VALUE(MID(H66,FIND("years",H66)+5,FIND("months",H66)-FIND("years",H66)-5))/12
)</f>
        <v>6.083333333333333</v>
      </c>
      <c r="J66" s="163" t="s">
        <v>235</v>
      </c>
      <c r="K66" s="161">
        <v>43761</v>
      </c>
      <c r="L66" s="165">
        <f t="shared" ca="1" si="1"/>
        <v>6.67</v>
      </c>
      <c r="M66" s="148" t="s">
        <v>419</v>
      </c>
      <c r="N66" s="75"/>
      <c r="O66" s="192" t="s">
        <v>237</v>
      </c>
      <c r="P66" s="193" t="s">
        <v>237</v>
      </c>
      <c r="Q66" s="193" t="s">
        <v>237</v>
      </c>
      <c r="R66" s="193" t="s">
        <v>237</v>
      </c>
      <c r="S66" s="193" t="s">
        <v>227</v>
      </c>
      <c r="T66" s="193" t="s">
        <v>237</v>
      </c>
      <c r="U66" s="193" t="s">
        <v>237</v>
      </c>
      <c r="V66" s="193" t="s">
        <v>237</v>
      </c>
    </row>
    <row r="67" spans="1:22" ht="14.5" customHeight="1" x14ac:dyDescent="0.35">
      <c r="A67" s="78">
        <v>66</v>
      </c>
      <c r="B67" s="176" t="s">
        <v>420</v>
      </c>
      <c r="C67" s="180">
        <v>90732269</v>
      </c>
      <c r="D67" s="171" t="str">
        <f>_xlfn.XLOOKUP(C67,Sheet2!B:B,Sheet2!A:A)</f>
        <v>DIVYA.K@rockwellautomation.com</v>
      </c>
      <c r="E67" s="107" t="s">
        <v>232</v>
      </c>
      <c r="F67" s="107" t="s">
        <v>251</v>
      </c>
      <c r="G67" s="184"/>
      <c r="H67" s="151" t="s">
        <v>246</v>
      </c>
      <c r="I67" s="167">
        <f t="shared" si="3"/>
        <v>0.25</v>
      </c>
      <c r="J67" s="163" t="e">
        <v>#N/A</v>
      </c>
      <c r="K67" s="161">
        <v>45891</v>
      </c>
      <c r="L67" s="165" t="e">
        <f t="shared" ref="L67:L130" ca="1" si="4">IF(OR(J67="",K67=""),"",
ROUND(
IFERROR(
--J67,
VALUE(LEFT(J67,FIND("years",J67)-1))
+ VALUE(MID(J67,FIND("years",J67)+6,FIND("months",J67)-FIND("years",J67)-6))/12
)
+ DATEDIF(K67,TODAY(),"y")
+ DATEDIF(K67,TODAY(),"ym")/12,2))</f>
        <v>#N/A</v>
      </c>
      <c r="M67" s="148" t="s">
        <v>421</v>
      </c>
      <c r="N67" s="75"/>
      <c r="O67" s="192" t="s">
        <v>237</v>
      </c>
      <c r="P67" s="193" t="s">
        <v>248</v>
      </c>
      <c r="Q67" s="193" t="s">
        <v>268</v>
      </c>
      <c r="R67" s="193" t="s">
        <v>237</v>
      </c>
      <c r="S67" s="193" t="s">
        <v>237</v>
      </c>
      <c r="T67" s="193" t="s">
        <v>237</v>
      </c>
      <c r="U67" s="193" t="s">
        <v>237</v>
      </c>
      <c r="V67" s="193" t="s">
        <v>237</v>
      </c>
    </row>
    <row r="68" spans="1:22" ht="14.5" customHeight="1" x14ac:dyDescent="0.35">
      <c r="A68" s="78">
        <v>67</v>
      </c>
      <c r="B68" s="196" t="s">
        <v>422</v>
      </c>
      <c r="C68" s="107">
        <v>90719557</v>
      </c>
      <c r="D68" s="171" t="str">
        <f>_xlfn.XLOOKUP(C68,Sheet2!B:B,Sheet2!A:A)</f>
        <v>Divya.Mummasani@rockwellautomation.com</v>
      </c>
      <c r="E68" s="107" t="s">
        <v>232</v>
      </c>
      <c r="F68" s="107" t="s">
        <v>223</v>
      </c>
      <c r="G68" s="184"/>
      <c r="H68" s="151" t="s">
        <v>390</v>
      </c>
      <c r="I68" s="167">
        <f t="shared" si="3"/>
        <v>5.5</v>
      </c>
      <c r="J68" s="163" t="s">
        <v>235</v>
      </c>
      <c r="K68" s="161">
        <v>43983</v>
      </c>
      <c r="L68" s="165">
        <f t="shared" ca="1" si="4"/>
        <v>6</v>
      </c>
      <c r="M68" s="148" t="s">
        <v>423</v>
      </c>
      <c r="N68" s="75"/>
      <c r="O68" s="192" t="s">
        <v>237</v>
      </c>
      <c r="P68" s="193" t="s">
        <v>237</v>
      </c>
      <c r="Q68" s="193" t="s">
        <v>237</v>
      </c>
      <c r="R68" s="193" t="s">
        <v>237</v>
      </c>
      <c r="S68" s="193" t="s">
        <v>237</v>
      </c>
      <c r="T68" s="193" t="s">
        <v>237</v>
      </c>
      <c r="U68" s="193" t="s">
        <v>237</v>
      </c>
      <c r="V68" s="193" t="s">
        <v>237</v>
      </c>
    </row>
    <row r="69" spans="1:22" ht="14.5" customHeight="1" x14ac:dyDescent="0.35">
      <c r="A69" s="78">
        <v>68</v>
      </c>
      <c r="B69" s="205" t="s">
        <v>424</v>
      </c>
      <c r="C69" s="180">
        <v>90732270</v>
      </c>
      <c r="D69" s="171" t="str">
        <f>_xlfn.XLOOKUP(C69,Sheet2!B:B,Sheet2!A:A)</f>
        <v>Diya.Biju@rockwellautomation.com</v>
      </c>
      <c r="E69" s="107" t="s">
        <v>232</v>
      </c>
      <c r="F69" s="107" t="s">
        <v>251</v>
      </c>
      <c r="G69" s="184"/>
      <c r="H69" s="151" t="s">
        <v>246</v>
      </c>
      <c r="I69" s="167">
        <f t="shared" si="3"/>
        <v>0.25</v>
      </c>
      <c r="J69" s="163" t="e">
        <v>#N/A</v>
      </c>
      <c r="K69" s="161">
        <v>45891</v>
      </c>
      <c r="L69" s="165" t="e">
        <f t="shared" ca="1" si="4"/>
        <v>#N/A</v>
      </c>
      <c r="M69" s="148" t="s">
        <v>425</v>
      </c>
      <c r="N69" s="75"/>
      <c r="O69" s="192" t="s">
        <v>254</v>
      </c>
      <c r="P69" s="193" t="s">
        <v>237</v>
      </c>
      <c r="Q69" s="193" t="s">
        <v>402</v>
      </c>
      <c r="R69" s="193" t="s">
        <v>237</v>
      </c>
      <c r="S69" s="193" t="s">
        <v>237</v>
      </c>
      <c r="T69" s="193" t="s">
        <v>237</v>
      </c>
      <c r="U69" s="193" t="s">
        <v>237</v>
      </c>
      <c r="V69" s="193" t="s">
        <v>237</v>
      </c>
    </row>
    <row r="70" spans="1:22" ht="14.5" customHeight="1" x14ac:dyDescent="0.35">
      <c r="A70" s="78">
        <v>69</v>
      </c>
      <c r="B70" s="141" t="s">
        <v>426</v>
      </c>
      <c r="C70" s="107">
        <v>90719554</v>
      </c>
      <c r="D70" s="171" t="str">
        <f>_xlfn.XLOOKUP(C70,Sheet2!B:B,Sheet2!A:A)</f>
        <v>Doble.NJ@rockwellautomation.com</v>
      </c>
      <c r="E70" s="107" t="s">
        <v>232</v>
      </c>
      <c r="F70" s="107" t="s">
        <v>427</v>
      </c>
      <c r="G70" s="184"/>
      <c r="H70" s="151" t="s">
        <v>377</v>
      </c>
      <c r="I70" s="167">
        <f t="shared" si="3"/>
        <v>9</v>
      </c>
      <c r="J70" s="163" t="s">
        <v>428</v>
      </c>
      <c r="K70" s="161">
        <v>43850</v>
      </c>
      <c r="L70" s="165">
        <f t="shared" ca="1" si="4"/>
        <v>9.58</v>
      </c>
      <c r="M70" s="148" t="s">
        <v>429</v>
      </c>
      <c r="N70" s="75"/>
      <c r="O70" s="192" t="s">
        <v>254</v>
      </c>
      <c r="P70" s="193" t="s">
        <v>237</v>
      </c>
      <c r="Q70" s="193" t="s">
        <v>237</v>
      </c>
      <c r="R70" s="193" t="s">
        <v>237</v>
      </c>
      <c r="S70" s="193" t="s">
        <v>237</v>
      </c>
      <c r="T70" s="193" t="s">
        <v>358</v>
      </c>
      <c r="U70" s="193" t="s">
        <v>237</v>
      </c>
      <c r="V70" s="193" t="s">
        <v>237</v>
      </c>
    </row>
    <row r="71" spans="1:22" ht="14.5" customHeight="1" x14ac:dyDescent="0.35">
      <c r="A71" s="78">
        <v>70</v>
      </c>
      <c r="B71" s="197" t="s">
        <v>430</v>
      </c>
      <c r="C71" s="107">
        <v>90719487</v>
      </c>
      <c r="D71" s="171" t="str">
        <f>_xlfn.XLOOKUP(C71,Sheet2!B:B,Sheet2!A:A)</f>
        <v>Don.George@rockwellautomation.com</v>
      </c>
      <c r="E71" s="107" t="s">
        <v>232</v>
      </c>
      <c r="F71" s="107" t="s">
        <v>223</v>
      </c>
      <c r="G71" s="184"/>
      <c r="H71" s="151" t="s">
        <v>431</v>
      </c>
      <c r="I71" s="167">
        <f t="shared" si="3"/>
        <v>6.5</v>
      </c>
      <c r="J71" s="163" t="s">
        <v>235</v>
      </c>
      <c r="K71" s="161">
        <v>43598</v>
      </c>
      <c r="L71" s="165">
        <f t="shared" ca="1" si="4"/>
        <v>7.08</v>
      </c>
      <c r="M71" s="148" t="s">
        <v>432</v>
      </c>
      <c r="N71" s="75"/>
      <c r="O71" s="192" t="s">
        <v>237</v>
      </c>
      <c r="P71" s="193" t="s">
        <v>237</v>
      </c>
      <c r="Q71" s="193" t="s">
        <v>237</v>
      </c>
      <c r="R71" s="193" t="s">
        <v>237</v>
      </c>
      <c r="S71" s="193" t="s">
        <v>237</v>
      </c>
      <c r="T71" s="193" t="s">
        <v>237</v>
      </c>
      <c r="U71" s="193" t="s">
        <v>237</v>
      </c>
      <c r="V71" s="193" t="s">
        <v>237</v>
      </c>
    </row>
    <row r="72" spans="1:22" ht="14.5" customHeight="1" x14ac:dyDescent="0.35">
      <c r="A72" s="78">
        <v>71</v>
      </c>
      <c r="B72" s="201" t="s">
        <v>433</v>
      </c>
      <c r="C72" s="107">
        <v>90725496</v>
      </c>
      <c r="D72" s="171" t="str">
        <f>_xlfn.XLOOKUP(C72,Sheet2!B:B,Sheet2!A:A)</f>
        <v>Harsha.E@rockwellautomation.com</v>
      </c>
      <c r="E72" s="107" t="s">
        <v>232</v>
      </c>
      <c r="F72" s="107" t="s">
        <v>233</v>
      </c>
      <c r="G72" s="184" t="s">
        <v>245</v>
      </c>
      <c r="H72" s="151" t="s">
        <v>434</v>
      </c>
      <c r="I72" s="167">
        <v>1.59</v>
      </c>
      <c r="J72" s="163" t="s">
        <v>235</v>
      </c>
      <c r="K72" s="161">
        <v>45510</v>
      </c>
      <c r="L72" s="165">
        <f t="shared" ca="1" si="4"/>
        <v>1.83</v>
      </c>
      <c r="M72" s="148" t="e">
        <v>#N/A</v>
      </c>
      <c r="N72" s="75"/>
      <c r="O72" s="192" t="s">
        <v>254</v>
      </c>
      <c r="P72" s="193" t="s">
        <v>237</v>
      </c>
      <c r="Q72" s="193" t="s">
        <v>237</v>
      </c>
      <c r="R72" s="193" t="s">
        <v>237</v>
      </c>
      <c r="S72" s="193" t="s">
        <v>227</v>
      </c>
      <c r="T72" s="193" t="s">
        <v>237</v>
      </c>
      <c r="U72" s="193" t="s">
        <v>237</v>
      </c>
      <c r="V72" s="193" t="s">
        <v>237</v>
      </c>
    </row>
    <row r="73" spans="1:22" ht="14.5" customHeight="1" x14ac:dyDescent="0.35">
      <c r="A73" s="78">
        <v>72</v>
      </c>
      <c r="B73" s="201" t="s">
        <v>435</v>
      </c>
      <c r="C73" s="107">
        <v>90719950</v>
      </c>
      <c r="D73" s="171" t="str">
        <f>_xlfn.XLOOKUP(C73,Sheet2!B:B,Sheet2!A:A)</f>
        <v>FathimaNourin.TR@rockwellautomation.com</v>
      </c>
      <c r="E73" s="107" t="s">
        <v>232</v>
      </c>
      <c r="F73" s="107" t="s">
        <v>314</v>
      </c>
      <c r="G73" s="184"/>
      <c r="H73" s="151" t="s">
        <v>283</v>
      </c>
      <c r="I73" s="167">
        <f t="shared" ref="I73:I136" si="5">IF(
   OR(H73="",H73="NA"),
   "",
   VALUE(LEFT(H73,FIND("years",H73)-1)) +
   VALUE(MID(H73,FIND("years",H73)+5,FIND("months",H73)-FIND("years",H73)-5))/12
)</f>
        <v>2.1666666666666665</v>
      </c>
      <c r="J73" s="163" t="s">
        <v>235</v>
      </c>
      <c r="K73" s="161">
        <v>45205</v>
      </c>
      <c r="L73" s="165">
        <f t="shared" ca="1" si="4"/>
        <v>2.67</v>
      </c>
      <c r="M73" s="148" t="e">
        <v>#N/A</v>
      </c>
      <c r="N73" s="75"/>
      <c r="O73" s="192" t="s">
        <v>254</v>
      </c>
      <c r="P73" s="193" t="s">
        <v>237</v>
      </c>
      <c r="Q73" s="193" t="s">
        <v>237</v>
      </c>
      <c r="R73" s="193" t="s">
        <v>237</v>
      </c>
      <c r="S73" s="193" t="s">
        <v>237</v>
      </c>
      <c r="T73" s="193" t="s">
        <v>237</v>
      </c>
      <c r="U73" s="193" t="s">
        <v>237</v>
      </c>
      <c r="V73" s="193" t="s">
        <v>237</v>
      </c>
    </row>
    <row r="74" spans="1:22" ht="14.5" customHeight="1" x14ac:dyDescent="0.35">
      <c r="A74" s="78">
        <v>73</v>
      </c>
      <c r="B74" s="141" t="s">
        <v>199</v>
      </c>
      <c r="C74" s="107">
        <v>90719396</v>
      </c>
      <c r="D74" s="171" t="str">
        <f>_xlfn.XLOOKUP(C74,Sheet2!B:B,Sheet2!A:A)</f>
        <v>FazuluRehaman.Peddadevara@rockwellautomation.com</v>
      </c>
      <c r="E74" s="107" t="s">
        <v>249</v>
      </c>
      <c r="F74" s="107" t="s">
        <v>244</v>
      </c>
      <c r="G74" s="184"/>
      <c r="H74" s="151" t="s">
        <v>436</v>
      </c>
      <c r="I74" s="167">
        <f t="shared" si="5"/>
        <v>10.666666666666666</v>
      </c>
      <c r="J74" s="163" t="s">
        <v>437</v>
      </c>
      <c r="K74" s="161">
        <v>43076</v>
      </c>
      <c r="L74" s="165">
        <f t="shared" ca="1" si="4"/>
        <v>11.17</v>
      </c>
      <c r="M74" s="148" t="s">
        <v>438</v>
      </c>
      <c r="N74" s="75"/>
      <c r="O74" s="192" t="s">
        <v>237</v>
      </c>
      <c r="P74" s="193" t="s">
        <v>248</v>
      </c>
      <c r="Q74" s="193" t="s">
        <v>237</v>
      </c>
      <c r="R74" s="193" t="s">
        <v>237</v>
      </c>
      <c r="S74" s="193" t="s">
        <v>237</v>
      </c>
      <c r="T74" s="193" t="s">
        <v>237</v>
      </c>
      <c r="U74" s="193" t="s">
        <v>237</v>
      </c>
      <c r="V74" s="193" t="s">
        <v>264</v>
      </c>
    </row>
    <row r="75" spans="1:22" ht="14.5" customHeight="1" x14ac:dyDescent="0.35">
      <c r="A75" s="78">
        <v>74</v>
      </c>
      <c r="B75" s="141" t="s">
        <v>203</v>
      </c>
      <c r="C75" s="107">
        <v>90719522</v>
      </c>
      <c r="D75" s="171" t="str">
        <f>_xlfn.XLOOKUP(C75,Sheet2!B:B,Sheet2!A:A)</f>
        <v>Himabindu.G@rockwellautomation.com</v>
      </c>
      <c r="E75" s="107" t="s">
        <v>249</v>
      </c>
      <c r="F75" s="107" t="s">
        <v>244</v>
      </c>
      <c r="G75" s="184"/>
      <c r="H75" s="151" t="s">
        <v>439</v>
      </c>
      <c r="I75" s="167">
        <f t="shared" si="5"/>
        <v>8</v>
      </c>
      <c r="J75" s="163" t="s">
        <v>311</v>
      </c>
      <c r="K75" s="161">
        <v>43789</v>
      </c>
      <c r="L75" s="165">
        <f t="shared" ca="1" si="4"/>
        <v>8.58</v>
      </c>
      <c r="M75" s="148" t="s">
        <v>440</v>
      </c>
      <c r="N75" s="75"/>
      <c r="O75" s="192" t="s">
        <v>254</v>
      </c>
      <c r="P75" s="193" t="s">
        <v>248</v>
      </c>
      <c r="Q75" s="193" t="s">
        <v>237</v>
      </c>
      <c r="R75" s="193" t="s">
        <v>237</v>
      </c>
      <c r="S75" s="193" t="s">
        <v>237</v>
      </c>
      <c r="T75" s="193" t="s">
        <v>237</v>
      </c>
      <c r="U75" s="193" t="s">
        <v>237</v>
      </c>
      <c r="V75" s="193" t="s">
        <v>237</v>
      </c>
    </row>
    <row r="76" spans="1:22" ht="14.5" customHeight="1" x14ac:dyDescent="0.35">
      <c r="A76" s="78">
        <v>75</v>
      </c>
      <c r="B76" s="196" t="s">
        <v>168</v>
      </c>
      <c r="C76" s="107">
        <v>90719400</v>
      </c>
      <c r="D76" s="171" t="str">
        <f>_xlfn.XLOOKUP(C76,Sheet2!B:B,Sheet2!A:A)</f>
        <v>Gaurav.K.Singh@rockwellautomation.com</v>
      </c>
      <c r="E76" s="107" t="s">
        <v>249</v>
      </c>
      <c r="F76" s="107" t="s">
        <v>244</v>
      </c>
      <c r="G76" s="184"/>
      <c r="H76" s="151" t="s">
        <v>441</v>
      </c>
      <c r="I76" s="167">
        <f t="shared" si="5"/>
        <v>8.6666666666666661</v>
      </c>
      <c r="J76" s="163" t="s">
        <v>266</v>
      </c>
      <c r="K76" s="161">
        <v>43200</v>
      </c>
      <c r="L76" s="165">
        <f t="shared" ca="1" si="4"/>
        <v>9.17</v>
      </c>
      <c r="M76" s="148" t="s">
        <v>442</v>
      </c>
      <c r="N76" s="75"/>
      <c r="O76" s="192" t="s">
        <v>237</v>
      </c>
      <c r="P76" s="193" t="s">
        <v>237</v>
      </c>
      <c r="Q76" s="193" t="s">
        <v>237</v>
      </c>
      <c r="R76" s="193" t="s">
        <v>237</v>
      </c>
      <c r="S76" s="193" t="s">
        <v>237</v>
      </c>
      <c r="T76" s="193" t="s">
        <v>237</v>
      </c>
      <c r="U76" s="193" t="s">
        <v>237</v>
      </c>
      <c r="V76" s="193" t="s">
        <v>237</v>
      </c>
    </row>
    <row r="77" spans="1:22" ht="14.5" customHeight="1" x14ac:dyDescent="0.35">
      <c r="A77" s="78">
        <v>76</v>
      </c>
      <c r="B77" s="141" t="s">
        <v>443</v>
      </c>
      <c r="C77" s="107">
        <v>90719744</v>
      </c>
      <c r="D77" s="171" t="str">
        <f>_xlfn.XLOOKUP(C77,Sheet2!B:B,Sheet2!A:A)</f>
        <v>Gayathri.Suresh@rockwellautomation.com</v>
      </c>
      <c r="E77" s="107" t="s">
        <v>232</v>
      </c>
      <c r="F77" s="107" t="s">
        <v>300</v>
      </c>
      <c r="G77" s="184"/>
      <c r="H77" s="151" t="s">
        <v>444</v>
      </c>
      <c r="I77" s="167">
        <f t="shared" si="5"/>
        <v>4.5</v>
      </c>
      <c r="J77" s="163" t="s">
        <v>235</v>
      </c>
      <c r="K77" s="161">
        <v>44348</v>
      </c>
      <c r="L77" s="165">
        <f t="shared" ca="1" si="4"/>
        <v>5</v>
      </c>
      <c r="M77" s="148" t="s">
        <v>445</v>
      </c>
      <c r="N77" s="75"/>
      <c r="O77" s="192" t="s">
        <v>237</v>
      </c>
      <c r="P77" s="193" t="s">
        <v>237</v>
      </c>
      <c r="Q77" s="193" t="s">
        <v>237</v>
      </c>
      <c r="R77" s="193" t="s">
        <v>237</v>
      </c>
      <c r="S77" s="193" t="s">
        <v>237</v>
      </c>
      <c r="T77" s="193" t="s">
        <v>237</v>
      </c>
      <c r="U77" s="193" t="s">
        <v>300</v>
      </c>
      <c r="V77" s="193" t="s">
        <v>237</v>
      </c>
    </row>
    <row r="78" spans="1:22" ht="14.5" customHeight="1" x14ac:dyDescent="0.35">
      <c r="A78" s="78">
        <v>77</v>
      </c>
      <c r="B78" s="205" t="s">
        <v>446</v>
      </c>
      <c r="C78" s="180">
        <v>90732306</v>
      </c>
      <c r="D78" s="171" t="str">
        <f>_xlfn.XLOOKUP(C78,Sheet2!B:B,Sheet2!A:A)</f>
        <v>Georgekutty.Sebastian@rockwellautomation.com</v>
      </c>
      <c r="E78" s="107" t="s">
        <v>232</v>
      </c>
      <c r="F78" s="107" t="s">
        <v>251</v>
      </c>
      <c r="G78" s="184"/>
      <c r="H78" s="151" t="s">
        <v>246</v>
      </c>
      <c r="I78" s="167">
        <f t="shared" si="5"/>
        <v>0.25</v>
      </c>
      <c r="J78" s="163" t="e">
        <v>#N/A</v>
      </c>
      <c r="K78" s="161">
        <v>45891</v>
      </c>
      <c r="L78" s="165" t="e">
        <f t="shared" ca="1" si="4"/>
        <v>#N/A</v>
      </c>
      <c r="M78" s="148" t="s">
        <v>447</v>
      </c>
      <c r="N78" s="75"/>
      <c r="O78" s="192" t="s">
        <v>254</v>
      </c>
      <c r="P78" s="193" t="s">
        <v>237</v>
      </c>
      <c r="Q78" s="193" t="s">
        <v>402</v>
      </c>
      <c r="R78" s="193" t="s">
        <v>237</v>
      </c>
      <c r="S78" s="193" t="s">
        <v>237</v>
      </c>
      <c r="T78" s="193" t="s">
        <v>237</v>
      </c>
      <c r="U78" s="193" t="s">
        <v>237</v>
      </c>
      <c r="V78" s="193" t="s">
        <v>237</v>
      </c>
    </row>
    <row r="79" spans="1:22" ht="14.5" customHeight="1" x14ac:dyDescent="0.35">
      <c r="A79" s="78">
        <v>78</v>
      </c>
      <c r="B79" s="141" t="s">
        <v>448</v>
      </c>
      <c r="C79" s="107">
        <v>90719594</v>
      </c>
      <c r="D79" s="171" t="str">
        <f>_xlfn.XLOOKUP(C79,Sheet2!B:B,Sheet2!A:A)</f>
        <v>Ginse.Joy@rockwellautomation.com</v>
      </c>
      <c r="E79" s="107" t="s">
        <v>232</v>
      </c>
      <c r="F79" s="107" t="s">
        <v>233</v>
      </c>
      <c r="G79" s="184"/>
      <c r="H79" s="151" t="s">
        <v>449</v>
      </c>
      <c r="I79" s="167">
        <f t="shared" si="5"/>
        <v>5.166666666666667</v>
      </c>
      <c r="J79" s="163" t="s">
        <v>235</v>
      </c>
      <c r="K79" s="161">
        <v>44097</v>
      </c>
      <c r="L79" s="165">
        <f t="shared" ca="1" si="4"/>
        <v>5.75</v>
      </c>
      <c r="M79" s="148" t="s">
        <v>450</v>
      </c>
      <c r="N79" s="75"/>
      <c r="O79" s="192" t="s">
        <v>237</v>
      </c>
      <c r="P79" s="193" t="s">
        <v>237</v>
      </c>
      <c r="Q79" s="193" t="s">
        <v>237</v>
      </c>
      <c r="R79" s="193" t="s">
        <v>237</v>
      </c>
      <c r="S79" s="193" t="s">
        <v>237</v>
      </c>
      <c r="T79" s="193" t="s">
        <v>263</v>
      </c>
      <c r="U79" s="193" t="s">
        <v>237</v>
      </c>
      <c r="V79" s="193" t="s">
        <v>237</v>
      </c>
    </row>
    <row r="80" spans="1:22" ht="14.5" customHeight="1" x14ac:dyDescent="0.35">
      <c r="A80" s="78">
        <v>79</v>
      </c>
      <c r="B80" s="141" t="s">
        <v>451</v>
      </c>
      <c r="C80" s="107">
        <v>90719892</v>
      </c>
      <c r="D80" s="171" t="str">
        <f>_xlfn.XLOOKUP(C80,Sheet2!B:B,Sheet2!A:A)</f>
        <v>Githu.Varghese@rockwellautomation.com</v>
      </c>
      <c r="E80" s="107" t="s">
        <v>232</v>
      </c>
      <c r="F80" s="107" t="s">
        <v>223</v>
      </c>
      <c r="G80" s="184"/>
      <c r="H80" s="151" t="s">
        <v>304</v>
      </c>
      <c r="I80" s="167">
        <f t="shared" si="5"/>
        <v>2.9166666666666665</v>
      </c>
      <c r="J80" s="163" t="s">
        <v>235</v>
      </c>
      <c r="K80" s="161">
        <v>44928</v>
      </c>
      <c r="L80" s="165">
        <f t="shared" ca="1" si="4"/>
        <v>3.42</v>
      </c>
      <c r="M80" s="148" t="s">
        <v>452</v>
      </c>
      <c r="N80" s="75"/>
      <c r="O80" s="192" t="s">
        <v>254</v>
      </c>
      <c r="P80" s="193" t="s">
        <v>237</v>
      </c>
      <c r="Q80" s="193" t="s">
        <v>268</v>
      </c>
      <c r="R80" s="193" t="s">
        <v>237</v>
      </c>
      <c r="S80" s="193" t="s">
        <v>237</v>
      </c>
      <c r="T80" s="193" t="s">
        <v>453</v>
      </c>
      <c r="U80" s="193" t="s">
        <v>237</v>
      </c>
      <c r="V80" s="193" t="s">
        <v>237</v>
      </c>
    </row>
    <row r="81" spans="1:22" ht="14.5" customHeight="1" x14ac:dyDescent="0.35">
      <c r="A81" s="78">
        <v>80</v>
      </c>
      <c r="B81" s="141" t="s">
        <v>454</v>
      </c>
      <c r="C81" s="107">
        <v>90719905</v>
      </c>
      <c r="D81" s="171" t="str">
        <f>_xlfn.XLOOKUP(C81,Sheet2!B:B,Sheet2!A:A)</f>
        <v>Gokkul.RR@rockwellautomation.com</v>
      </c>
      <c r="E81" s="107" t="s">
        <v>232</v>
      </c>
      <c r="F81" s="107" t="s">
        <v>223</v>
      </c>
      <c r="G81" s="184" t="s">
        <v>245</v>
      </c>
      <c r="H81" s="151" t="s">
        <v>283</v>
      </c>
      <c r="I81" s="167">
        <f t="shared" si="5"/>
        <v>2.1666666666666665</v>
      </c>
      <c r="J81" s="163" t="s">
        <v>235</v>
      </c>
      <c r="K81" s="161">
        <v>45205</v>
      </c>
      <c r="L81" s="165">
        <f t="shared" ca="1" si="4"/>
        <v>2.67</v>
      </c>
      <c r="M81" s="148" t="s">
        <v>455</v>
      </c>
      <c r="N81" s="75"/>
      <c r="O81" s="192" t="s">
        <v>254</v>
      </c>
      <c r="P81" s="193" t="s">
        <v>237</v>
      </c>
      <c r="Q81" s="193" t="s">
        <v>237</v>
      </c>
      <c r="R81" s="193" t="s">
        <v>237</v>
      </c>
      <c r="S81" s="193" t="s">
        <v>237</v>
      </c>
      <c r="T81" s="193" t="s">
        <v>237</v>
      </c>
      <c r="U81" s="193" t="s">
        <v>237</v>
      </c>
      <c r="V81" s="193" t="s">
        <v>237</v>
      </c>
    </row>
    <row r="82" spans="1:22" ht="14.5" customHeight="1" x14ac:dyDescent="0.35">
      <c r="A82" s="78">
        <v>81</v>
      </c>
      <c r="B82" s="141" t="s">
        <v>456</v>
      </c>
      <c r="C82" s="107">
        <v>20104555</v>
      </c>
      <c r="D82" s="171" t="str">
        <f>_xlfn.XLOOKUP(C82,Sheet2!B:B,Sheet2!A:A)</f>
        <v>GKrishn3@rockwellautomation.com</v>
      </c>
      <c r="E82" s="107" t="s">
        <v>308</v>
      </c>
      <c r="F82" s="107" t="s">
        <v>309</v>
      </c>
      <c r="G82" s="184"/>
      <c r="H82" s="151" t="s">
        <v>457</v>
      </c>
      <c r="I82" s="167">
        <f t="shared" si="5"/>
        <v>24.916666666666668</v>
      </c>
      <c r="J82" s="163" t="s">
        <v>458</v>
      </c>
      <c r="K82" s="161">
        <v>43456</v>
      </c>
      <c r="L82" s="165">
        <f t="shared" ca="1" si="4"/>
        <v>25.5</v>
      </c>
      <c r="M82" s="148" t="e">
        <v>#N/A</v>
      </c>
      <c r="N82" s="75"/>
      <c r="O82" s="192" t="s">
        <v>237</v>
      </c>
      <c r="P82" s="193" t="s">
        <v>237</v>
      </c>
      <c r="Q82" s="193" t="s">
        <v>237</v>
      </c>
      <c r="R82" s="193" t="s">
        <v>237</v>
      </c>
      <c r="S82" s="193" t="s">
        <v>237</v>
      </c>
      <c r="T82" s="193" t="s">
        <v>237</v>
      </c>
      <c r="U82" s="193" t="s">
        <v>237</v>
      </c>
      <c r="V82" s="193" t="s">
        <v>237</v>
      </c>
    </row>
    <row r="83" spans="1:22" ht="14.5" customHeight="1" x14ac:dyDescent="0.35">
      <c r="A83" s="78">
        <v>82</v>
      </c>
      <c r="B83" s="141" t="s">
        <v>459</v>
      </c>
      <c r="C83" s="107">
        <v>90719238</v>
      </c>
      <c r="D83" s="171" t="str">
        <f>_xlfn.XLOOKUP(C83,Sheet2!B:B,Sheet2!A:A)</f>
        <v>Guruprasad.R@rockwellautomation.com</v>
      </c>
      <c r="E83" s="107" t="s">
        <v>249</v>
      </c>
      <c r="F83" s="107" t="s">
        <v>223</v>
      </c>
      <c r="G83" s="184"/>
      <c r="H83" s="151" t="s">
        <v>460</v>
      </c>
      <c r="I83" s="167">
        <f t="shared" si="5"/>
        <v>7.916666666666667</v>
      </c>
      <c r="J83" s="163" t="s">
        <v>235</v>
      </c>
      <c r="K83" s="161">
        <v>43087</v>
      </c>
      <c r="L83" s="165">
        <f t="shared" ca="1" si="4"/>
        <v>8.5</v>
      </c>
      <c r="M83" s="148" t="s">
        <v>461</v>
      </c>
      <c r="N83" s="75"/>
      <c r="O83" s="192" t="s">
        <v>254</v>
      </c>
      <c r="P83" s="193" t="s">
        <v>237</v>
      </c>
      <c r="Q83" s="193" t="s">
        <v>237</v>
      </c>
      <c r="R83" s="193" t="s">
        <v>237</v>
      </c>
      <c r="S83" s="193" t="s">
        <v>237</v>
      </c>
      <c r="T83" s="193" t="s">
        <v>358</v>
      </c>
      <c r="U83" s="193" t="s">
        <v>237</v>
      </c>
      <c r="V83" s="193" t="s">
        <v>342</v>
      </c>
    </row>
    <row r="84" spans="1:22" ht="14.5" customHeight="1" x14ac:dyDescent="0.35">
      <c r="A84" s="78">
        <v>83</v>
      </c>
      <c r="B84" s="196" t="s">
        <v>169</v>
      </c>
      <c r="C84" s="107">
        <v>90719455</v>
      </c>
      <c r="D84" s="171" t="str">
        <f>_xlfn.XLOOKUP(C84,Sheet2!B:B,Sheet2!A:A)</f>
        <v>Habib.Khan@rockwellautomation.com</v>
      </c>
      <c r="E84" s="107" t="s">
        <v>232</v>
      </c>
      <c r="F84" s="107" t="s">
        <v>251</v>
      </c>
      <c r="G84" s="184"/>
      <c r="H84" s="151" t="s">
        <v>462</v>
      </c>
      <c r="I84" s="167">
        <f t="shared" si="5"/>
        <v>9.9166666666666661</v>
      </c>
      <c r="J84" s="163" t="s">
        <v>428</v>
      </c>
      <c r="K84" s="161">
        <v>43514</v>
      </c>
      <c r="L84" s="165">
        <f t="shared" ca="1" si="4"/>
        <v>10.5</v>
      </c>
      <c r="M84" s="148" t="s">
        <v>463</v>
      </c>
      <c r="N84" s="75"/>
      <c r="O84" s="192" t="s">
        <v>237</v>
      </c>
      <c r="P84" s="193" t="s">
        <v>237</v>
      </c>
      <c r="Q84" s="193" t="s">
        <v>237</v>
      </c>
      <c r="R84" s="193" t="s">
        <v>237</v>
      </c>
      <c r="S84" s="193" t="s">
        <v>237</v>
      </c>
      <c r="T84" s="193" t="s">
        <v>237</v>
      </c>
      <c r="U84" s="193" t="s">
        <v>237</v>
      </c>
      <c r="V84" s="193" t="s">
        <v>237</v>
      </c>
    </row>
    <row r="85" spans="1:22" ht="14.5" customHeight="1" x14ac:dyDescent="0.35">
      <c r="A85" s="78">
        <v>84</v>
      </c>
      <c r="B85" s="176" t="s">
        <v>464</v>
      </c>
      <c r="C85" s="180">
        <v>90732307</v>
      </c>
      <c r="D85" s="171" t="str">
        <f>_xlfn.XLOOKUP(C85,Sheet2!B:B,Sheet2!A:A)</f>
        <v>Haripriya.Maddela@rockwellautomation.com</v>
      </c>
      <c r="E85" s="107" t="s">
        <v>232</v>
      </c>
      <c r="F85" s="107" t="s">
        <v>251</v>
      </c>
      <c r="G85" s="184"/>
      <c r="H85" s="151" t="s">
        <v>246</v>
      </c>
      <c r="I85" s="167">
        <f t="shared" si="5"/>
        <v>0.25</v>
      </c>
      <c r="J85" s="163" t="e">
        <v>#N/A</v>
      </c>
      <c r="K85" s="161">
        <v>45891</v>
      </c>
      <c r="L85" s="165" t="e">
        <f t="shared" ca="1" si="4"/>
        <v>#N/A</v>
      </c>
      <c r="M85" s="148" t="s">
        <v>465</v>
      </c>
      <c r="N85" s="75"/>
      <c r="O85" s="192" t="s">
        <v>254</v>
      </c>
      <c r="P85" s="193" t="s">
        <v>237</v>
      </c>
      <c r="Q85" s="193" t="s">
        <v>373</v>
      </c>
      <c r="R85" s="193" t="s">
        <v>237</v>
      </c>
      <c r="S85" s="193" t="s">
        <v>237</v>
      </c>
      <c r="T85" s="193" t="s">
        <v>237</v>
      </c>
      <c r="U85" s="193" t="s">
        <v>237</v>
      </c>
      <c r="V85" s="193" t="s">
        <v>237</v>
      </c>
    </row>
    <row r="86" spans="1:22" ht="14.5" customHeight="1" x14ac:dyDescent="0.35">
      <c r="A86" s="78">
        <v>85</v>
      </c>
      <c r="B86" s="141" t="s">
        <v>466</v>
      </c>
      <c r="C86" s="107">
        <v>90719953</v>
      </c>
      <c r="D86" s="171" t="str">
        <f>_xlfn.XLOOKUP(C86,Sheet2!B:B,Sheet2!A:A)</f>
        <v>Harshada.Deshmukh@rockwellautomation.com</v>
      </c>
      <c r="E86" s="107" t="s">
        <v>232</v>
      </c>
      <c r="F86" s="107" t="s">
        <v>223</v>
      </c>
      <c r="G86" s="184" t="s">
        <v>245</v>
      </c>
      <c r="H86" s="151" t="s">
        <v>283</v>
      </c>
      <c r="I86" s="167">
        <f t="shared" si="5"/>
        <v>2.1666666666666665</v>
      </c>
      <c r="J86" s="163" t="s">
        <v>235</v>
      </c>
      <c r="K86" s="161">
        <v>45205</v>
      </c>
      <c r="L86" s="165">
        <f t="shared" ca="1" si="4"/>
        <v>2.67</v>
      </c>
      <c r="M86" s="148" t="s">
        <v>467</v>
      </c>
      <c r="N86" s="75"/>
      <c r="O86" s="192" t="s">
        <v>254</v>
      </c>
      <c r="P86" s="193" t="s">
        <v>237</v>
      </c>
      <c r="Q86" s="193" t="s">
        <v>255</v>
      </c>
      <c r="R86" s="193" t="s">
        <v>237</v>
      </c>
      <c r="S86" s="193" t="s">
        <v>237</v>
      </c>
      <c r="T86" s="193" t="s">
        <v>237</v>
      </c>
      <c r="U86" s="193" t="s">
        <v>237</v>
      </c>
      <c r="V86" s="193" t="s">
        <v>237</v>
      </c>
    </row>
    <row r="87" spans="1:22" ht="14.5" customHeight="1" x14ac:dyDescent="0.35">
      <c r="A87" s="78">
        <v>86</v>
      </c>
      <c r="B87" s="176" t="s">
        <v>468</v>
      </c>
      <c r="C87" s="180">
        <v>90732296</v>
      </c>
      <c r="D87" s="171" t="str">
        <f>_xlfn.XLOOKUP(C87,Sheet2!B:B,Sheet2!A:A)</f>
        <v>Harshitha.KM@rockwellautomation.com</v>
      </c>
      <c r="E87" s="107" t="s">
        <v>232</v>
      </c>
      <c r="F87" s="107" t="s">
        <v>251</v>
      </c>
      <c r="G87" s="184"/>
      <c r="H87" s="151" t="s">
        <v>246</v>
      </c>
      <c r="I87" s="167">
        <f t="shared" si="5"/>
        <v>0.25</v>
      </c>
      <c r="J87" s="163" t="e">
        <v>#N/A</v>
      </c>
      <c r="K87" s="161">
        <v>45891</v>
      </c>
      <c r="L87" s="165" t="e">
        <f t="shared" ca="1" si="4"/>
        <v>#N/A</v>
      </c>
      <c r="M87" s="148" t="s">
        <v>469</v>
      </c>
      <c r="N87" s="75"/>
      <c r="O87" s="192" t="s">
        <v>254</v>
      </c>
      <c r="P87" s="193" t="s">
        <v>237</v>
      </c>
      <c r="Q87" s="193" t="s">
        <v>268</v>
      </c>
      <c r="R87" s="193" t="s">
        <v>237</v>
      </c>
      <c r="S87" s="193" t="s">
        <v>237</v>
      </c>
      <c r="T87" s="193" t="s">
        <v>237</v>
      </c>
      <c r="U87" s="193" t="s">
        <v>237</v>
      </c>
      <c r="V87" s="193" t="s">
        <v>237</v>
      </c>
    </row>
    <row r="88" spans="1:22" ht="14.5" customHeight="1" x14ac:dyDescent="0.35">
      <c r="A88" s="78">
        <v>87</v>
      </c>
      <c r="B88" s="141" t="s">
        <v>178</v>
      </c>
      <c r="C88" s="107">
        <v>90719777</v>
      </c>
      <c r="D88" s="171" t="str">
        <f>_xlfn.XLOOKUP(C88,Sheet2!B:B,Sheet2!A:A)</f>
        <v>HeenaKouser.S@rockwellautomation.com</v>
      </c>
      <c r="E88" s="107" t="s">
        <v>232</v>
      </c>
      <c r="F88" s="107" t="s">
        <v>223</v>
      </c>
      <c r="G88" s="184"/>
      <c r="H88" s="151" t="s">
        <v>370</v>
      </c>
      <c r="I88" s="167">
        <f t="shared" si="5"/>
        <v>4.333333333333333</v>
      </c>
      <c r="J88" s="163" t="s">
        <v>470</v>
      </c>
      <c r="K88" s="161">
        <v>44621</v>
      </c>
      <c r="L88" s="165">
        <f t="shared" ca="1" si="4"/>
        <v>4.83</v>
      </c>
      <c r="M88" s="148" t="s">
        <v>471</v>
      </c>
      <c r="N88" s="75"/>
      <c r="O88" s="192" t="s">
        <v>254</v>
      </c>
      <c r="P88" s="193" t="s">
        <v>237</v>
      </c>
      <c r="Q88" s="193" t="s">
        <v>237</v>
      </c>
      <c r="R88" s="193" t="s">
        <v>237</v>
      </c>
      <c r="S88" s="193" t="s">
        <v>237</v>
      </c>
      <c r="T88" s="193" t="s">
        <v>237</v>
      </c>
      <c r="U88" s="193" t="s">
        <v>237</v>
      </c>
      <c r="V88" s="193" t="s">
        <v>237</v>
      </c>
    </row>
    <row r="89" spans="1:22" ht="14.5" customHeight="1" x14ac:dyDescent="0.35">
      <c r="A89" s="78">
        <v>88</v>
      </c>
      <c r="B89" s="141" t="s">
        <v>472</v>
      </c>
      <c r="C89" s="107">
        <v>90727249</v>
      </c>
      <c r="D89" s="171" t="str">
        <f>_xlfn.XLOOKUP(C89,Sheet2!B:B,Sheet2!A:A)</f>
        <v>anandhaselvam.j@rockwellautomation.com</v>
      </c>
      <c r="E89" s="107" t="s">
        <v>232</v>
      </c>
      <c r="F89" s="107" t="s">
        <v>233</v>
      </c>
      <c r="G89" s="184"/>
      <c r="H89" s="151" t="s">
        <v>393</v>
      </c>
      <c r="I89" s="167">
        <f t="shared" si="5"/>
        <v>4.416666666666667</v>
      </c>
      <c r="J89" s="163" t="s">
        <v>473</v>
      </c>
      <c r="K89" s="161">
        <v>45481</v>
      </c>
      <c r="L89" s="165">
        <f t="shared" ca="1" si="4"/>
        <v>4.92</v>
      </c>
      <c r="M89" s="148" t="s">
        <v>474</v>
      </c>
      <c r="N89" s="75"/>
      <c r="O89" s="192" t="s">
        <v>237</v>
      </c>
      <c r="P89" s="193" t="s">
        <v>237</v>
      </c>
      <c r="Q89" s="193" t="s">
        <v>237</v>
      </c>
      <c r="R89" s="193" t="s">
        <v>237</v>
      </c>
      <c r="S89" s="193" t="s">
        <v>237</v>
      </c>
      <c r="T89" s="193" t="s">
        <v>237</v>
      </c>
      <c r="U89" s="193" t="s">
        <v>237</v>
      </c>
      <c r="V89" s="193" t="s">
        <v>237</v>
      </c>
    </row>
    <row r="90" spans="1:22" ht="14.5" customHeight="1" x14ac:dyDescent="0.35">
      <c r="A90" s="78">
        <v>89</v>
      </c>
      <c r="B90" s="141" t="s">
        <v>475</v>
      </c>
      <c r="C90" s="107">
        <v>90732274</v>
      </c>
      <c r="D90" s="171" t="str">
        <f>_xlfn.XLOOKUP(C90,Sheet2!B:B,Sheet2!A:A)</f>
        <v>JAGYANSENEE.KARAN@rockwellautomation.com</v>
      </c>
      <c r="E90" s="107" t="s">
        <v>232</v>
      </c>
      <c r="F90" s="107" t="s">
        <v>251</v>
      </c>
      <c r="G90" s="184"/>
      <c r="H90" s="151" t="s">
        <v>246</v>
      </c>
      <c r="I90" s="167">
        <f t="shared" si="5"/>
        <v>0.25</v>
      </c>
      <c r="J90" s="163">
        <v>0</v>
      </c>
      <c r="K90" s="161">
        <v>45891</v>
      </c>
      <c r="L90" s="165">
        <f t="shared" ca="1" si="4"/>
        <v>0.83</v>
      </c>
      <c r="M90" s="148" t="s">
        <v>476</v>
      </c>
      <c r="N90" s="75"/>
      <c r="O90" s="192" t="s">
        <v>254</v>
      </c>
      <c r="P90" s="193" t="s">
        <v>237</v>
      </c>
      <c r="Q90" s="193" t="s">
        <v>255</v>
      </c>
      <c r="R90" s="193" t="s">
        <v>237</v>
      </c>
      <c r="S90" s="193" t="s">
        <v>237</v>
      </c>
      <c r="T90" s="193" t="s">
        <v>237</v>
      </c>
      <c r="U90" s="193" t="s">
        <v>237</v>
      </c>
      <c r="V90" s="193" t="s">
        <v>237</v>
      </c>
    </row>
    <row r="91" spans="1:22" ht="14.5" customHeight="1" x14ac:dyDescent="0.35">
      <c r="A91" s="78">
        <v>90</v>
      </c>
      <c r="B91" s="141" t="s">
        <v>477</v>
      </c>
      <c r="C91" s="107">
        <v>90718853</v>
      </c>
      <c r="D91" s="171" t="str">
        <f>_xlfn.XLOOKUP(C91,Sheet2!B:B,Sheet2!A:A)</f>
        <v>Jasir.A@rockwellautomation.com</v>
      </c>
      <c r="E91" s="107" t="s">
        <v>308</v>
      </c>
      <c r="F91" s="107" t="s">
        <v>309</v>
      </c>
      <c r="G91" s="184"/>
      <c r="H91" s="151" t="s">
        <v>478</v>
      </c>
      <c r="I91" s="167">
        <f t="shared" si="5"/>
        <v>10.25</v>
      </c>
      <c r="J91" s="163" t="s">
        <v>479</v>
      </c>
      <c r="K91" s="161">
        <v>42430</v>
      </c>
      <c r="L91" s="165">
        <f t="shared" ca="1" si="4"/>
        <v>10.75</v>
      </c>
      <c r="M91" s="148" t="e">
        <v>#N/A</v>
      </c>
      <c r="N91" s="75"/>
      <c r="O91" s="192" t="s">
        <v>237</v>
      </c>
      <c r="P91" s="193" t="s">
        <v>237</v>
      </c>
      <c r="Q91" s="193" t="s">
        <v>237</v>
      </c>
      <c r="R91" s="193" t="s">
        <v>237</v>
      </c>
      <c r="S91" s="193" t="s">
        <v>237</v>
      </c>
      <c r="T91" s="193" t="s">
        <v>237</v>
      </c>
      <c r="U91" s="193" t="s">
        <v>237</v>
      </c>
      <c r="V91" s="193" t="s">
        <v>237</v>
      </c>
    </row>
    <row r="92" spans="1:22" ht="14.5" customHeight="1" x14ac:dyDescent="0.35">
      <c r="A92" s="78">
        <v>91</v>
      </c>
      <c r="B92" s="141" t="s">
        <v>480</v>
      </c>
      <c r="C92" s="107">
        <v>90719940</v>
      </c>
      <c r="D92" s="171" t="str">
        <f>_xlfn.XLOOKUP(C92,Sheet2!B:B,Sheet2!A:A)</f>
        <v>Jayashree.S1@rockwellautomation.com</v>
      </c>
      <c r="E92" s="107" t="s">
        <v>232</v>
      </c>
      <c r="F92" s="107" t="s">
        <v>233</v>
      </c>
      <c r="G92" s="184"/>
      <c r="H92" s="151" t="s">
        <v>283</v>
      </c>
      <c r="I92" s="167">
        <f t="shared" si="5"/>
        <v>2.1666666666666665</v>
      </c>
      <c r="J92" s="163" t="s">
        <v>235</v>
      </c>
      <c r="K92" s="161">
        <v>45205</v>
      </c>
      <c r="L92" s="165">
        <f t="shared" ca="1" si="4"/>
        <v>2.67</v>
      </c>
      <c r="M92" s="148" t="e">
        <v>#N/A</v>
      </c>
      <c r="N92" s="75"/>
      <c r="O92" s="192" t="s">
        <v>254</v>
      </c>
      <c r="P92" s="193" t="s">
        <v>237</v>
      </c>
      <c r="Q92" s="193" t="s">
        <v>268</v>
      </c>
      <c r="R92" s="193" t="s">
        <v>237</v>
      </c>
      <c r="S92" s="193" t="s">
        <v>227</v>
      </c>
      <c r="T92" s="193" t="s">
        <v>453</v>
      </c>
      <c r="U92" s="193" t="s">
        <v>300</v>
      </c>
      <c r="V92" s="193" t="s">
        <v>237</v>
      </c>
    </row>
    <row r="93" spans="1:22" ht="14.5" customHeight="1" x14ac:dyDescent="0.35">
      <c r="A93" s="78">
        <v>92</v>
      </c>
      <c r="B93" s="201" t="s">
        <v>148</v>
      </c>
      <c r="C93" s="107">
        <v>90718971</v>
      </c>
      <c r="D93" s="171" t="str">
        <f>_xlfn.XLOOKUP(C93,Sheet2!B:B,Sheet2!A:A)</f>
        <v>Jebby.John@rockwellautomation.com</v>
      </c>
      <c r="E93" s="107" t="s">
        <v>249</v>
      </c>
      <c r="F93" s="107" t="s">
        <v>314</v>
      </c>
      <c r="G93" s="184"/>
      <c r="H93" s="151" t="s">
        <v>481</v>
      </c>
      <c r="I93" s="167">
        <f t="shared" si="5"/>
        <v>11.916666666666666</v>
      </c>
      <c r="J93" s="163" t="s">
        <v>347</v>
      </c>
      <c r="K93" s="161">
        <v>43836</v>
      </c>
      <c r="L93" s="165">
        <f t="shared" ca="1" si="4"/>
        <v>12.42</v>
      </c>
      <c r="M93" s="148" t="s">
        <v>482</v>
      </c>
      <c r="N93" s="75"/>
      <c r="O93" s="192" t="s">
        <v>254</v>
      </c>
      <c r="P93" s="193" t="s">
        <v>237</v>
      </c>
      <c r="Q93" s="193" t="s">
        <v>255</v>
      </c>
      <c r="R93" s="193" t="s">
        <v>237</v>
      </c>
      <c r="S93" s="193" t="s">
        <v>237</v>
      </c>
      <c r="T93" s="193" t="s">
        <v>237</v>
      </c>
      <c r="U93" s="193" t="s">
        <v>237</v>
      </c>
      <c r="V93" s="193" t="s">
        <v>237</v>
      </c>
    </row>
    <row r="94" spans="1:22" ht="14.5" customHeight="1" x14ac:dyDescent="0.35">
      <c r="A94" s="78">
        <v>93</v>
      </c>
      <c r="B94" s="141" t="s">
        <v>483</v>
      </c>
      <c r="C94" s="107">
        <v>90719937</v>
      </c>
      <c r="D94" s="171" t="str">
        <f>_xlfn.XLOOKUP(C94,Sheet2!B:B,Sheet2!A:A)</f>
        <v>JeevanAkshay.B@rockwellautomation.com</v>
      </c>
      <c r="E94" s="107" t="s">
        <v>232</v>
      </c>
      <c r="F94" s="107" t="s">
        <v>223</v>
      </c>
      <c r="G94" s="184" t="s">
        <v>245</v>
      </c>
      <c r="H94" s="151" t="s">
        <v>283</v>
      </c>
      <c r="I94" s="167">
        <f t="shared" si="5"/>
        <v>2.1666666666666665</v>
      </c>
      <c r="J94" s="163" t="s">
        <v>235</v>
      </c>
      <c r="K94" s="161">
        <v>45205</v>
      </c>
      <c r="L94" s="165">
        <f t="shared" ca="1" si="4"/>
        <v>2.67</v>
      </c>
      <c r="M94" s="148" t="s">
        <v>484</v>
      </c>
      <c r="N94" s="75"/>
      <c r="O94" s="192" t="s">
        <v>254</v>
      </c>
      <c r="P94" s="193" t="s">
        <v>237</v>
      </c>
      <c r="Q94" s="193" t="s">
        <v>255</v>
      </c>
      <c r="R94" s="193" t="s">
        <v>237</v>
      </c>
      <c r="S94" s="193" t="s">
        <v>237</v>
      </c>
      <c r="T94" s="193" t="s">
        <v>237</v>
      </c>
      <c r="U94" s="193" t="s">
        <v>237</v>
      </c>
      <c r="V94" s="193" t="s">
        <v>237</v>
      </c>
    </row>
    <row r="95" spans="1:22" ht="14.5" customHeight="1" x14ac:dyDescent="0.35">
      <c r="A95" s="78">
        <v>94</v>
      </c>
      <c r="B95" s="141" t="s">
        <v>485</v>
      </c>
      <c r="C95" s="107">
        <v>90719885</v>
      </c>
      <c r="D95" s="171" t="str">
        <f>_xlfn.XLOOKUP(C95,Sheet2!B:B,Sheet2!A:A)</f>
        <v>Jerry.John@rockwellautomation.com</v>
      </c>
      <c r="E95" s="107" t="s">
        <v>232</v>
      </c>
      <c r="F95" s="107" t="s">
        <v>223</v>
      </c>
      <c r="G95" s="184"/>
      <c r="H95" s="151" t="s">
        <v>304</v>
      </c>
      <c r="I95" s="167">
        <f t="shared" si="5"/>
        <v>2.9166666666666665</v>
      </c>
      <c r="J95" s="163" t="s">
        <v>235</v>
      </c>
      <c r="K95" s="161">
        <v>44928</v>
      </c>
      <c r="L95" s="165">
        <f t="shared" ca="1" si="4"/>
        <v>3.42</v>
      </c>
      <c r="M95" s="148" t="e">
        <v>#N/A</v>
      </c>
      <c r="N95" s="75"/>
      <c r="O95" s="192" t="s">
        <v>254</v>
      </c>
      <c r="P95" s="193" t="s">
        <v>237</v>
      </c>
      <c r="Q95" s="193" t="s">
        <v>237</v>
      </c>
      <c r="R95" s="193" t="s">
        <v>237</v>
      </c>
      <c r="S95" s="193" t="s">
        <v>237</v>
      </c>
      <c r="T95" s="193" t="s">
        <v>237</v>
      </c>
      <c r="U95" s="193" t="s">
        <v>237</v>
      </c>
      <c r="V95" s="193" t="s">
        <v>237</v>
      </c>
    </row>
    <row r="96" spans="1:22" ht="14.5" customHeight="1" x14ac:dyDescent="0.35">
      <c r="A96" s="78">
        <v>95</v>
      </c>
      <c r="B96" s="205" t="s">
        <v>486</v>
      </c>
      <c r="C96" s="180">
        <v>90732275</v>
      </c>
      <c r="D96" s="171" t="str">
        <f>_xlfn.XLOOKUP(C96,Sheet2!B:B,Sheet2!A:A)</f>
        <v>JHANVI.SONDHI@rockwellautomation.com</v>
      </c>
      <c r="E96" s="107" t="s">
        <v>232</v>
      </c>
      <c r="F96" s="107" t="s">
        <v>251</v>
      </c>
      <c r="G96" s="184" t="s">
        <v>245</v>
      </c>
      <c r="H96" s="151" t="s">
        <v>246</v>
      </c>
      <c r="I96" s="167">
        <f t="shared" si="5"/>
        <v>0.25</v>
      </c>
      <c r="J96" s="163">
        <v>0</v>
      </c>
      <c r="K96" s="161">
        <v>45891</v>
      </c>
      <c r="L96" s="165">
        <f t="shared" ca="1" si="4"/>
        <v>0.83</v>
      </c>
      <c r="M96" s="148" t="s">
        <v>487</v>
      </c>
      <c r="N96" s="75"/>
      <c r="O96" s="192" t="s">
        <v>254</v>
      </c>
      <c r="P96" s="193" t="s">
        <v>237</v>
      </c>
      <c r="Q96" s="193" t="s">
        <v>237</v>
      </c>
      <c r="R96" s="193" t="s">
        <v>237</v>
      </c>
      <c r="S96" s="193" t="s">
        <v>237</v>
      </c>
      <c r="T96" s="193" t="s">
        <v>237</v>
      </c>
      <c r="U96" s="193" t="s">
        <v>237</v>
      </c>
      <c r="V96" s="193" t="s">
        <v>237</v>
      </c>
    </row>
    <row r="97" spans="1:22" ht="14.5" customHeight="1" x14ac:dyDescent="0.35">
      <c r="A97" s="78">
        <v>96</v>
      </c>
      <c r="B97" s="196" t="s">
        <v>175</v>
      </c>
      <c r="C97" s="107">
        <v>90719853</v>
      </c>
      <c r="D97" s="171" t="str">
        <f>_xlfn.XLOOKUP(C97,Sheet2!B:B,Sheet2!A:A)</f>
        <v>Jhenkar.HG@rockwellautomation.com</v>
      </c>
      <c r="E97" s="107" t="s">
        <v>232</v>
      </c>
      <c r="F97" s="107" t="s">
        <v>223</v>
      </c>
      <c r="G97" s="184"/>
      <c r="H97" s="151" t="s">
        <v>271</v>
      </c>
      <c r="I97" s="167">
        <f t="shared" si="5"/>
        <v>3.3333333333333335</v>
      </c>
      <c r="J97" s="163" t="s">
        <v>235</v>
      </c>
      <c r="K97" s="161">
        <v>44781</v>
      </c>
      <c r="L97" s="165">
        <f t="shared" ca="1" si="4"/>
        <v>3.83</v>
      </c>
      <c r="M97" s="148" t="s">
        <v>488</v>
      </c>
      <c r="N97" s="75"/>
      <c r="O97" s="192" t="s">
        <v>237</v>
      </c>
      <c r="P97" s="193" t="s">
        <v>237</v>
      </c>
      <c r="Q97" s="193" t="s">
        <v>237</v>
      </c>
      <c r="R97" s="193" t="s">
        <v>237</v>
      </c>
      <c r="S97" s="193" t="s">
        <v>237</v>
      </c>
      <c r="T97" s="193" t="s">
        <v>237</v>
      </c>
      <c r="U97" s="193" t="s">
        <v>237</v>
      </c>
      <c r="V97" s="193" t="s">
        <v>237</v>
      </c>
    </row>
    <row r="98" spans="1:22" ht="14.5" customHeight="1" x14ac:dyDescent="0.35">
      <c r="A98" s="78">
        <v>97</v>
      </c>
      <c r="B98" s="154" t="s">
        <v>489</v>
      </c>
      <c r="C98" s="107">
        <v>90719710</v>
      </c>
      <c r="D98" s="171" t="str">
        <f>_xlfn.XLOOKUP(C98,Sheet2!B:B,Sheet2!A:A)</f>
        <v>Jismariya.Jose@rockwellautomation.com</v>
      </c>
      <c r="E98" s="107" t="s">
        <v>232</v>
      </c>
      <c r="F98" s="107" t="s">
        <v>233</v>
      </c>
      <c r="G98" s="184"/>
      <c r="H98" s="151" t="s">
        <v>490</v>
      </c>
      <c r="I98" s="167">
        <f t="shared" si="5"/>
        <v>4.25</v>
      </c>
      <c r="J98" s="163" t="s">
        <v>235</v>
      </c>
      <c r="K98" s="161">
        <v>44447</v>
      </c>
      <c r="L98" s="165">
        <f t="shared" ca="1" si="4"/>
        <v>4.75</v>
      </c>
      <c r="M98" s="148" t="s">
        <v>491</v>
      </c>
      <c r="N98" s="75"/>
      <c r="O98" s="192" t="s">
        <v>237</v>
      </c>
      <c r="P98" s="193" t="s">
        <v>237</v>
      </c>
      <c r="Q98" s="193" t="s">
        <v>237</v>
      </c>
      <c r="R98" s="193" t="s">
        <v>237</v>
      </c>
      <c r="S98" s="193" t="s">
        <v>237</v>
      </c>
      <c r="T98" s="193" t="s">
        <v>263</v>
      </c>
      <c r="U98" s="193" t="s">
        <v>237</v>
      </c>
      <c r="V98" s="193" t="s">
        <v>237</v>
      </c>
    </row>
    <row r="99" spans="1:22" ht="14.5" customHeight="1" x14ac:dyDescent="0.35">
      <c r="A99" s="78">
        <v>98</v>
      </c>
      <c r="B99" s="141" t="s">
        <v>492</v>
      </c>
      <c r="C99" s="107">
        <v>90719587</v>
      </c>
      <c r="D99" s="171" t="str">
        <f>_xlfn.XLOOKUP(C99,Sheet2!B:B,Sheet2!A:A)</f>
        <v>Jithin.SS@rockwellautomation.com</v>
      </c>
      <c r="E99" s="107" t="s">
        <v>232</v>
      </c>
      <c r="F99" s="107" t="s">
        <v>300</v>
      </c>
      <c r="G99" s="184"/>
      <c r="H99" s="151" t="s">
        <v>242</v>
      </c>
      <c r="I99" s="167" t="str">
        <f t="shared" si="5"/>
        <v/>
      </c>
      <c r="J99" s="163" t="e">
        <v>#N/A</v>
      </c>
      <c r="K99" s="161" t="e">
        <v>#N/A</v>
      </c>
      <c r="L99" s="165" t="e">
        <f t="shared" ca="1" si="4"/>
        <v>#N/A</v>
      </c>
      <c r="M99" s="148" t="s">
        <v>493</v>
      </c>
      <c r="N99" s="75"/>
      <c r="O99" s="192" t="s">
        <v>237</v>
      </c>
      <c r="P99" s="193" t="s">
        <v>237</v>
      </c>
      <c r="Q99" s="193" t="s">
        <v>237</v>
      </c>
      <c r="R99" s="193" t="s">
        <v>237</v>
      </c>
      <c r="S99" s="193" t="s">
        <v>237</v>
      </c>
      <c r="T99" s="193" t="s">
        <v>237</v>
      </c>
      <c r="U99" s="193" t="s">
        <v>300</v>
      </c>
      <c r="V99" s="193" t="s">
        <v>237</v>
      </c>
    </row>
    <row r="100" spans="1:22" ht="14.5" customHeight="1" x14ac:dyDescent="0.35">
      <c r="A100" s="78">
        <v>99</v>
      </c>
      <c r="B100" s="154" t="s">
        <v>494</v>
      </c>
      <c r="C100" s="107">
        <v>20111413</v>
      </c>
      <c r="D100" s="171" t="str">
        <f>_xlfn.XLOOKUP(C100,Sheet2!B:B,Sheet2!A:A)</f>
        <v>Jobin.Jose@rockwellautomation.com</v>
      </c>
      <c r="E100" s="107" t="s">
        <v>308</v>
      </c>
      <c r="F100" s="107" t="s">
        <v>309</v>
      </c>
      <c r="G100" s="184"/>
      <c r="H100" s="151" t="s">
        <v>495</v>
      </c>
      <c r="I100" s="167">
        <f t="shared" si="5"/>
        <v>10.583333333333334</v>
      </c>
      <c r="J100" s="163" t="s">
        <v>235</v>
      </c>
      <c r="K100" s="161">
        <v>42121</v>
      </c>
      <c r="L100" s="165">
        <f t="shared" ca="1" si="4"/>
        <v>11.08</v>
      </c>
      <c r="M100" s="148" t="s">
        <v>496</v>
      </c>
      <c r="N100" s="75"/>
      <c r="O100" s="192" t="s">
        <v>237</v>
      </c>
      <c r="P100" s="193" t="s">
        <v>237</v>
      </c>
      <c r="Q100" s="193" t="s">
        <v>237</v>
      </c>
      <c r="R100" s="193" t="s">
        <v>237</v>
      </c>
      <c r="S100" s="193" t="s">
        <v>237</v>
      </c>
      <c r="T100" s="193" t="s">
        <v>237</v>
      </c>
      <c r="U100" s="193" t="s">
        <v>237</v>
      </c>
      <c r="V100" s="193" t="s">
        <v>320</v>
      </c>
    </row>
    <row r="101" spans="1:22" ht="14.5" customHeight="1" x14ac:dyDescent="0.35">
      <c r="A101" s="78">
        <v>100</v>
      </c>
      <c r="B101" s="141" t="s">
        <v>497</v>
      </c>
      <c r="C101" s="107">
        <v>90719782</v>
      </c>
      <c r="D101" s="171" t="str">
        <f>_xlfn.XLOOKUP(C101,Sheet2!B:B,Sheet2!A:A)</f>
        <v>Jyothish.K@rockwellautomation.com</v>
      </c>
      <c r="E101" s="107" t="s">
        <v>232</v>
      </c>
      <c r="F101" s="107" t="s">
        <v>239</v>
      </c>
      <c r="G101" s="184"/>
      <c r="H101" s="151" t="s">
        <v>370</v>
      </c>
      <c r="I101" s="167">
        <f t="shared" si="5"/>
        <v>4.333333333333333</v>
      </c>
      <c r="J101" s="163" t="s">
        <v>235</v>
      </c>
      <c r="K101" s="161">
        <v>44419</v>
      </c>
      <c r="L101" s="165">
        <f t="shared" ca="1" si="4"/>
        <v>4.83</v>
      </c>
      <c r="M101" s="148" t="e">
        <v>#N/A</v>
      </c>
      <c r="N101" s="75"/>
      <c r="O101" s="192" t="s">
        <v>237</v>
      </c>
      <c r="P101" s="193" t="s">
        <v>237</v>
      </c>
      <c r="Q101" s="193" t="s">
        <v>237</v>
      </c>
      <c r="R101" s="193" t="s">
        <v>237</v>
      </c>
      <c r="S101" s="193" t="s">
        <v>227</v>
      </c>
      <c r="T101" s="193" t="s">
        <v>237</v>
      </c>
      <c r="U101" s="193" t="s">
        <v>237</v>
      </c>
      <c r="V101" s="193" t="s">
        <v>237</v>
      </c>
    </row>
    <row r="102" spans="1:22" ht="14.5" customHeight="1" x14ac:dyDescent="0.35">
      <c r="A102" s="78">
        <v>101</v>
      </c>
      <c r="B102" s="141" t="s">
        <v>498</v>
      </c>
      <c r="C102" s="107">
        <v>90732277</v>
      </c>
      <c r="D102" s="171" t="str">
        <f>_xlfn.XLOOKUP(C102,Sheet2!B:B,Sheet2!A:A)</f>
        <v>Jyothsna.Narra@rockwellautomation.com</v>
      </c>
      <c r="E102" s="107" t="s">
        <v>232</v>
      </c>
      <c r="F102" s="107" t="s">
        <v>251</v>
      </c>
      <c r="G102" s="184" t="s">
        <v>245</v>
      </c>
      <c r="H102" s="151" t="s">
        <v>499</v>
      </c>
      <c r="I102" s="167">
        <f t="shared" si="5"/>
        <v>3.75</v>
      </c>
      <c r="J102" s="163" t="s">
        <v>297</v>
      </c>
      <c r="K102" s="161">
        <v>45891</v>
      </c>
      <c r="L102" s="165">
        <f t="shared" ca="1" si="4"/>
        <v>4.25</v>
      </c>
      <c r="M102" s="148" t="s">
        <v>500</v>
      </c>
      <c r="N102" s="75"/>
      <c r="O102" s="192" t="s">
        <v>254</v>
      </c>
      <c r="P102" s="193" t="s">
        <v>237</v>
      </c>
      <c r="Q102" s="193" t="s">
        <v>255</v>
      </c>
      <c r="R102" s="193" t="s">
        <v>237</v>
      </c>
      <c r="S102" s="193" t="s">
        <v>237</v>
      </c>
      <c r="T102" s="193" t="s">
        <v>237</v>
      </c>
      <c r="U102" s="193" t="s">
        <v>237</v>
      </c>
      <c r="V102" s="193" t="s">
        <v>237</v>
      </c>
    </row>
    <row r="103" spans="1:22" ht="14.5" customHeight="1" x14ac:dyDescent="0.35">
      <c r="A103" s="78">
        <v>102</v>
      </c>
      <c r="B103" s="141" t="s">
        <v>202</v>
      </c>
      <c r="C103" s="107">
        <v>80114706</v>
      </c>
      <c r="D103" s="171" t="str">
        <f>_xlfn.XLOOKUP(C103,Sheet2!B:B,Sheet2!A:A)</f>
        <v>Prasanna.Kamasani@rockwellautomation.com</v>
      </c>
      <c r="E103" s="107" t="s">
        <v>249</v>
      </c>
      <c r="F103" s="107" t="s">
        <v>244</v>
      </c>
      <c r="G103" s="184" t="s">
        <v>245</v>
      </c>
      <c r="H103" s="151" t="s">
        <v>501</v>
      </c>
      <c r="I103" s="167">
        <f t="shared" si="5"/>
        <v>6.583333333333333</v>
      </c>
      <c r="J103" s="163" t="s">
        <v>235</v>
      </c>
      <c r="K103" s="161">
        <v>43587</v>
      </c>
      <c r="L103" s="165">
        <f t="shared" ca="1" si="4"/>
        <v>7.08</v>
      </c>
      <c r="M103" s="148" t="s">
        <v>502</v>
      </c>
      <c r="N103" s="75"/>
      <c r="O103" s="192" t="s">
        <v>237</v>
      </c>
      <c r="P103" s="193" t="s">
        <v>248</v>
      </c>
      <c r="Q103" s="193" t="s">
        <v>237</v>
      </c>
      <c r="R103" s="193" t="s">
        <v>237</v>
      </c>
      <c r="S103" s="193" t="s">
        <v>237</v>
      </c>
      <c r="T103" s="193" t="s">
        <v>237</v>
      </c>
      <c r="U103" s="193" t="s">
        <v>237</v>
      </c>
      <c r="V103" s="193" t="s">
        <v>237</v>
      </c>
    </row>
    <row r="104" spans="1:22" ht="14.5" customHeight="1" x14ac:dyDescent="0.35">
      <c r="A104" s="78">
        <v>103</v>
      </c>
      <c r="B104" s="141" t="s">
        <v>503</v>
      </c>
      <c r="C104" s="107">
        <v>90727248</v>
      </c>
      <c r="D104" s="171" t="str">
        <f>_xlfn.XLOOKUP(C104,Sheet2!B:B,Sheet2!A:A)</f>
        <v>karthikprakash.hudedamani@rockwellautomation.com</v>
      </c>
      <c r="E104" s="107" t="s">
        <v>232</v>
      </c>
      <c r="F104" s="107" t="s">
        <v>233</v>
      </c>
      <c r="G104" s="184"/>
      <c r="H104" s="151" t="s">
        <v>350</v>
      </c>
      <c r="I104" s="167">
        <f t="shared" si="5"/>
        <v>6.083333333333333</v>
      </c>
      <c r="J104" s="163" t="s">
        <v>504</v>
      </c>
      <c r="K104" s="161">
        <v>45481</v>
      </c>
      <c r="L104" s="165">
        <f t="shared" ca="1" si="4"/>
        <v>6.58</v>
      </c>
      <c r="M104" s="148" t="s">
        <v>505</v>
      </c>
      <c r="N104" s="75"/>
      <c r="O104" s="192" t="s">
        <v>254</v>
      </c>
      <c r="P104" s="193" t="s">
        <v>237</v>
      </c>
      <c r="Q104" s="193" t="s">
        <v>268</v>
      </c>
      <c r="R104" s="193" t="s">
        <v>237</v>
      </c>
      <c r="S104" s="193" t="s">
        <v>237</v>
      </c>
      <c r="T104" s="193" t="s">
        <v>237</v>
      </c>
      <c r="U104" s="193" t="s">
        <v>237</v>
      </c>
      <c r="V104" s="193" t="s">
        <v>237</v>
      </c>
    </row>
    <row r="105" spans="1:22" ht="14.5" customHeight="1" x14ac:dyDescent="0.35">
      <c r="A105" s="78">
        <v>104</v>
      </c>
      <c r="B105" s="154" t="s">
        <v>506</v>
      </c>
      <c r="C105" s="107">
        <v>90719938</v>
      </c>
      <c r="D105" s="171" t="str">
        <f>_xlfn.XLOOKUP(C105,Sheet2!B:B,Sheet2!A:A)</f>
        <v>Kavini.P@rockwellautomation.com</v>
      </c>
      <c r="E105" s="107" t="s">
        <v>232</v>
      </c>
      <c r="F105" s="107" t="s">
        <v>233</v>
      </c>
      <c r="G105" s="184"/>
      <c r="H105" s="151" t="s">
        <v>283</v>
      </c>
      <c r="I105" s="167">
        <f t="shared" si="5"/>
        <v>2.1666666666666665</v>
      </c>
      <c r="J105" s="163" t="s">
        <v>235</v>
      </c>
      <c r="K105" s="161">
        <v>45205</v>
      </c>
      <c r="L105" s="165">
        <f t="shared" ca="1" si="4"/>
        <v>2.67</v>
      </c>
      <c r="M105" s="148" t="s">
        <v>507</v>
      </c>
      <c r="N105" s="75"/>
      <c r="O105" s="192" t="s">
        <v>508</v>
      </c>
      <c r="P105" s="193" t="s">
        <v>237</v>
      </c>
      <c r="Q105" s="193" t="s">
        <v>237</v>
      </c>
      <c r="R105" s="193" t="s">
        <v>237</v>
      </c>
      <c r="S105" s="193" t="s">
        <v>227</v>
      </c>
      <c r="T105" s="193" t="s">
        <v>509</v>
      </c>
      <c r="U105" s="193" t="s">
        <v>237</v>
      </c>
      <c r="V105" s="193" t="s">
        <v>237</v>
      </c>
    </row>
    <row r="106" spans="1:22" ht="14.5" customHeight="1" x14ac:dyDescent="0.35">
      <c r="A106" s="78">
        <v>105</v>
      </c>
      <c r="B106" s="201" t="s">
        <v>510</v>
      </c>
      <c r="C106" s="107">
        <v>90727175</v>
      </c>
      <c r="D106" s="171" t="str">
        <f>_xlfn.XLOOKUP(C106,Sheet2!B:B,Sheet2!A:A)</f>
        <v>Keerthi.H@rockwellautomation.com</v>
      </c>
      <c r="E106" s="107" t="s">
        <v>232</v>
      </c>
      <c r="F106" s="107" t="s">
        <v>233</v>
      </c>
      <c r="G106" s="184"/>
      <c r="H106" s="151" t="s">
        <v>344</v>
      </c>
      <c r="I106" s="167">
        <f t="shared" si="5"/>
        <v>2.4166666666666665</v>
      </c>
      <c r="J106" s="163" t="s">
        <v>511</v>
      </c>
      <c r="K106" s="161">
        <v>45488</v>
      </c>
      <c r="L106" s="165">
        <f t="shared" ca="1" si="4"/>
        <v>3</v>
      </c>
      <c r="M106" s="148" t="s">
        <v>512</v>
      </c>
      <c r="N106" s="75"/>
      <c r="O106" s="192" t="s">
        <v>273</v>
      </c>
      <c r="P106" s="193" t="s">
        <v>237</v>
      </c>
      <c r="Q106" s="193" t="s">
        <v>237</v>
      </c>
      <c r="R106" s="193" t="s">
        <v>237</v>
      </c>
      <c r="S106" s="193" t="s">
        <v>237</v>
      </c>
      <c r="T106" s="193" t="s">
        <v>237</v>
      </c>
      <c r="U106" s="193" t="s">
        <v>237</v>
      </c>
      <c r="V106" s="193" t="s">
        <v>237</v>
      </c>
    </row>
    <row r="107" spans="1:22" ht="14.5" customHeight="1" x14ac:dyDescent="0.35">
      <c r="A107" s="78">
        <v>106</v>
      </c>
      <c r="B107" s="154" t="s">
        <v>513</v>
      </c>
      <c r="C107" s="107">
        <v>90727178</v>
      </c>
      <c r="D107" s="171" t="str">
        <f>_xlfn.XLOOKUP(C107,Sheet2!B:B,Sheet2!A:A)</f>
        <v>Keerti.Ronad@rockwellautomation.com</v>
      </c>
      <c r="E107" s="107" t="s">
        <v>232</v>
      </c>
      <c r="F107" s="107" t="s">
        <v>233</v>
      </c>
      <c r="G107" s="184"/>
      <c r="H107" s="151" t="s">
        <v>297</v>
      </c>
      <c r="I107" s="167">
        <f t="shared" si="5"/>
        <v>3.4166666666666665</v>
      </c>
      <c r="J107" s="163" t="s">
        <v>514</v>
      </c>
      <c r="K107" s="161">
        <v>45488</v>
      </c>
      <c r="L107" s="165">
        <f t="shared" ca="1" si="4"/>
        <v>4</v>
      </c>
      <c r="M107" s="148" t="e">
        <v>#N/A</v>
      </c>
      <c r="N107" s="75"/>
      <c r="O107" s="192" t="s">
        <v>273</v>
      </c>
      <c r="P107" s="193" t="s">
        <v>237</v>
      </c>
      <c r="Q107" s="193" t="s">
        <v>237</v>
      </c>
      <c r="R107" s="193" t="s">
        <v>237</v>
      </c>
      <c r="S107" s="193" t="s">
        <v>227</v>
      </c>
      <c r="T107" s="193" t="s">
        <v>237</v>
      </c>
      <c r="U107" s="193" t="s">
        <v>237</v>
      </c>
      <c r="V107" s="193" t="s">
        <v>237</v>
      </c>
    </row>
    <row r="108" spans="1:22" ht="14.5" customHeight="1" x14ac:dyDescent="0.35">
      <c r="A108" s="78">
        <v>107</v>
      </c>
      <c r="B108" s="141" t="s">
        <v>515</v>
      </c>
      <c r="C108" s="107">
        <v>90719530</v>
      </c>
      <c r="D108" s="171" t="str">
        <f>_xlfn.XLOOKUP(C108,Sheet2!B:B,Sheet2!A:A)</f>
        <v>NaveenKumar.Kirikari@rockwellautomation.com</v>
      </c>
      <c r="E108" s="107" t="s">
        <v>232</v>
      </c>
      <c r="F108" s="107" t="s">
        <v>516</v>
      </c>
      <c r="G108" s="184"/>
      <c r="H108" s="151" t="s">
        <v>347</v>
      </c>
      <c r="I108" s="167">
        <f t="shared" si="5"/>
        <v>6</v>
      </c>
      <c r="J108" s="163" t="s">
        <v>235</v>
      </c>
      <c r="K108" s="161">
        <v>43800</v>
      </c>
      <c r="L108" s="165">
        <f t="shared" ca="1" si="4"/>
        <v>6.5</v>
      </c>
      <c r="M108" s="148" t="e">
        <v>#N/A</v>
      </c>
      <c r="N108" s="75"/>
      <c r="O108" s="192" t="s">
        <v>237</v>
      </c>
      <c r="P108" s="193" t="s">
        <v>237</v>
      </c>
      <c r="Q108" s="193" t="s">
        <v>237</v>
      </c>
      <c r="R108" s="193" t="s">
        <v>237</v>
      </c>
      <c r="S108" s="193" t="s">
        <v>237</v>
      </c>
      <c r="T108" s="193" t="s">
        <v>237</v>
      </c>
      <c r="U108" s="193" t="s">
        <v>237</v>
      </c>
      <c r="V108" s="193" t="s">
        <v>237</v>
      </c>
    </row>
    <row r="109" spans="1:22" ht="14.5" customHeight="1" x14ac:dyDescent="0.35">
      <c r="A109" s="78">
        <v>108</v>
      </c>
      <c r="B109" s="141" t="s">
        <v>517</v>
      </c>
      <c r="C109" s="107">
        <v>90719718</v>
      </c>
      <c r="D109" s="171" t="str">
        <f>_xlfn.XLOOKUP(C109,Sheet2!B:B,Sheet2!A:A)</f>
        <v>Kokila.D@rockwellautomation.com</v>
      </c>
      <c r="E109" s="107" t="s">
        <v>232</v>
      </c>
      <c r="F109" s="107" t="s">
        <v>244</v>
      </c>
      <c r="G109" s="184"/>
      <c r="H109" s="151" t="s">
        <v>518</v>
      </c>
      <c r="I109" s="167">
        <f t="shared" si="5"/>
        <v>4</v>
      </c>
      <c r="J109" s="163" t="s">
        <v>235</v>
      </c>
      <c r="K109" s="161">
        <v>44522</v>
      </c>
      <c r="L109" s="165">
        <f t="shared" ca="1" si="4"/>
        <v>4.58</v>
      </c>
      <c r="M109" s="148" t="e">
        <v>#N/A</v>
      </c>
      <c r="N109" s="75"/>
      <c r="O109" s="192" t="s">
        <v>237</v>
      </c>
      <c r="P109" s="193" t="s">
        <v>248</v>
      </c>
      <c r="Q109" s="193" t="s">
        <v>237</v>
      </c>
      <c r="R109" s="193" t="s">
        <v>237</v>
      </c>
      <c r="S109" s="193" t="s">
        <v>237</v>
      </c>
      <c r="T109" s="193" t="s">
        <v>237</v>
      </c>
      <c r="U109" s="193" t="s">
        <v>237</v>
      </c>
      <c r="V109" s="193" t="s">
        <v>237</v>
      </c>
    </row>
    <row r="110" spans="1:22" ht="14.5" customHeight="1" x14ac:dyDescent="0.35">
      <c r="A110" s="78">
        <v>109</v>
      </c>
      <c r="B110" s="141" t="s">
        <v>519</v>
      </c>
      <c r="C110" s="107">
        <v>90719979</v>
      </c>
      <c r="D110" s="171" t="str">
        <f>_xlfn.XLOOKUP(C110,Sheet2!B:B,Sheet2!A:A)</f>
        <v>Harish.Kota@rockwellautomation.com</v>
      </c>
      <c r="E110" s="107" t="s">
        <v>232</v>
      </c>
      <c r="F110" s="107" t="s">
        <v>296</v>
      </c>
      <c r="G110" s="184"/>
      <c r="H110" s="151" t="s">
        <v>520</v>
      </c>
      <c r="I110" s="167">
        <f t="shared" si="5"/>
        <v>8.9166666666666661</v>
      </c>
      <c r="J110" s="163" t="s">
        <v>378</v>
      </c>
      <c r="K110" s="161">
        <v>43829</v>
      </c>
      <c r="L110" s="165">
        <f t="shared" ca="1" si="4"/>
        <v>9.42</v>
      </c>
      <c r="M110" s="148" t="e">
        <v>#N/A</v>
      </c>
      <c r="N110" s="75"/>
      <c r="O110" s="192" t="s">
        <v>237</v>
      </c>
      <c r="P110" s="193" t="s">
        <v>521</v>
      </c>
      <c r="Q110" s="193" t="s">
        <v>237</v>
      </c>
      <c r="R110" s="193" t="s">
        <v>237</v>
      </c>
      <c r="S110" s="193" t="s">
        <v>237</v>
      </c>
      <c r="T110" s="193" t="s">
        <v>237</v>
      </c>
      <c r="U110" s="193" t="s">
        <v>237</v>
      </c>
      <c r="V110" s="193" t="s">
        <v>237</v>
      </c>
    </row>
    <row r="111" spans="1:22" ht="14.5" customHeight="1" x14ac:dyDescent="0.35">
      <c r="A111" s="78">
        <v>110</v>
      </c>
      <c r="B111" s="176" t="s">
        <v>522</v>
      </c>
      <c r="C111" s="180">
        <v>20072996</v>
      </c>
      <c r="D111" s="171" t="str">
        <f>_xlfn.XLOOKUP(C111,Sheet2!B:B,Sheet2!A:A)</f>
        <v>KK1@rockwellautomation.com</v>
      </c>
      <c r="E111" s="107" t="s">
        <v>249</v>
      </c>
      <c r="F111" s="107" t="s">
        <v>223</v>
      </c>
      <c r="G111" s="184"/>
      <c r="H111" s="151" t="s">
        <v>242</v>
      </c>
      <c r="I111" s="167" t="str">
        <f t="shared" si="5"/>
        <v/>
      </c>
      <c r="J111" s="163">
        <v>0</v>
      </c>
      <c r="K111" s="161" t="e">
        <v>#N/A</v>
      </c>
      <c r="L111" s="165" t="e">
        <f t="shared" ca="1" si="4"/>
        <v>#N/A</v>
      </c>
      <c r="M111" s="148" t="s">
        <v>523</v>
      </c>
      <c r="N111" s="75"/>
      <c r="O111" s="192" t="s">
        <v>254</v>
      </c>
      <c r="P111" s="193" t="s">
        <v>237</v>
      </c>
      <c r="Q111" s="193" t="s">
        <v>268</v>
      </c>
      <c r="R111" s="193" t="s">
        <v>237</v>
      </c>
      <c r="S111" s="193" t="s">
        <v>237</v>
      </c>
      <c r="T111" s="193" t="s">
        <v>237</v>
      </c>
      <c r="U111" s="193" t="s">
        <v>237</v>
      </c>
      <c r="V111" s="193" t="s">
        <v>237</v>
      </c>
    </row>
    <row r="112" spans="1:22" ht="14.5" customHeight="1" x14ac:dyDescent="0.35">
      <c r="A112" s="78">
        <v>111</v>
      </c>
      <c r="B112" s="176" t="s">
        <v>524</v>
      </c>
      <c r="C112" s="180">
        <v>90732309</v>
      </c>
      <c r="D112" s="171" t="str">
        <f>_xlfn.XLOOKUP(C112,Sheet2!B:B,Sheet2!A:A)</f>
        <v>LakshmiDevi.Mudimela@rockwellautomation.com</v>
      </c>
      <c r="E112" s="107" t="s">
        <v>232</v>
      </c>
      <c r="F112" s="107" t="s">
        <v>239</v>
      </c>
      <c r="G112" s="184"/>
      <c r="H112" s="151" t="s">
        <v>246</v>
      </c>
      <c r="I112" s="167">
        <f t="shared" si="5"/>
        <v>0.25</v>
      </c>
      <c r="J112" s="163" t="e">
        <v>#N/A</v>
      </c>
      <c r="K112" s="161">
        <v>45891</v>
      </c>
      <c r="L112" s="165" t="e">
        <f t="shared" ca="1" si="4"/>
        <v>#N/A</v>
      </c>
      <c r="M112" s="148" t="e">
        <v>#N/A</v>
      </c>
      <c r="N112" s="75"/>
      <c r="O112" s="192" t="s">
        <v>237</v>
      </c>
      <c r="P112" s="193" t="s">
        <v>237</v>
      </c>
      <c r="Q112" s="193" t="s">
        <v>237</v>
      </c>
      <c r="R112" s="193" t="s">
        <v>237</v>
      </c>
      <c r="S112" s="193" t="s">
        <v>227</v>
      </c>
      <c r="T112" s="193" t="s">
        <v>237</v>
      </c>
      <c r="U112" s="193" t="s">
        <v>237</v>
      </c>
      <c r="V112" s="193" t="s">
        <v>237</v>
      </c>
    </row>
    <row r="113" spans="1:22" ht="14.5" customHeight="1" x14ac:dyDescent="0.35">
      <c r="A113" s="78">
        <v>112</v>
      </c>
      <c r="B113" s="141" t="s">
        <v>525</v>
      </c>
      <c r="C113" s="107">
        <v>90719677</v>
      </c>
      <c r="D113" s="171" t="str">
        <f>_xlfn.XLOOKUP(C113,Sheet2!B:B,Sheet2!A:A)</f>
        <v>ShabazAliKhan.Lavani@rockwellautomation.com</v>
      </c>
      <c r="E113" s="107" t="s">
        <v>232</v>
      </c>
      <c r="F113" s="107" t="s">
        <v>244</v>
      </c>
      <c r="G113" s="184"/>
      <c r="H113" s="151" t="s">
        <v>404</v>
      </c>
      <c r="I113" s="167">
        <f t="shared" si="5"/>
        <v>7.75</v>
      </c>
      <c r="J113" s="163" t="s">
        <v>526</v>
      </c>
      <c r="K113" s="161">
        <v>44410</v>
      </c>
      <c r="L113" s="165">
        <f t="shared" ca="1" si="4"/>
        <v>8.25</v>
      </c>
      <c r="M113" s="148" t="s">
        <v>527</v>
      </c>
      <c r="N113" s="75"/>
      <c r="O113" s="192" t="s">
        <v>237</v>
      </c>
      <c r="P113" s="193" t="s">
        <v>528</v>
      </c>
      <c r="Q113" s="193" t="s">
        <v>237</v>
      </c>
      <c r="R113" s="193" t="s">
        <v>237</v>
      </c>
      <c r="S113" s="193" t="s">
        <v>237</v>
      </c>
      <c r="T113" s="193" t="s">
        <v>237</v>
      </c>
      <c r="U113" s="193" t="s">
        <v>237</v>
      </c>
      <c r="V113" s="193" t="s">
        <v>237</v>
      </c>
    </row>
    <row r="114" spans="1:22" ht="14.5" customHeight="1" x14ac:dyDescent="0.35">
      <c r="A114" s="78">
        <v>113</v>
      </c>
      <c r="B114" s="141" t="s">
        <v>529</v>
      </c>
      <c r="C114" s="107">
        <v>90719769</v>
      </c>
      <c r="D114" s="171" t="str">
        <f>_xlfn.XLOOKUP(C114,Sheet2!B:B,Sheet2!A:A)</f>
        <v>Lavanya.HY@rockwellautomation.com</v>
      </c>
      <c r="E114" s="107" t="s">
        <v>232</v>
      </c>
      <c r="F114" s="107" t="s">
        <v>300</v>
      </c>
      <c r="G114" s="184" t="s">
        <v>245</v>
      </c>
      <c r="H114" s="151" t="s">
        <v>530</v>
      </c>
      <c r="I114" s="167">
        <f t="shared" si="5"/>
        <v>5</v>
      </c>
      <c r="J114" s="163" t="s">
        <v>531</v>
      </c>
      <c r="K114" s="161">
        <v>44690</v>
      </c>
      <c r="L114" s="165">
        <f t="shared" ca="1" si="4"/>
        <v>5.5</v>
      </c>
      <c r="M114" s="148" t="e">
        <v>#N/A</v>
      </c>
      <c r="N114" s="75"/>
      <c r="O114" s="192" t="s">
        <v>237</v>
      </c>
      <c r="P114" s="193" t="s">
        <v>237</v>
      </c>
      <c r="Q114" s="193" t="s">
        <v>237</v>
      </c>
      <c r="R114" s="193" t="s">
        <v>237</v>
      </c>
      <c r="S114" s="193" t="s">
        <v>237</v>
      </c>
      <c r="T114" s="193" t="s">
        <v>237</v>
      </c>
      <c r="U114" s="193" t="s">
        <v>300</v>
      </c>
      <c r="V114" s="193" t="s">
        <v>237</v>
      </c>
    </row>
    <row r="115" spans="1:22" ht="14.5" customHeight="1" x14ac:dyDescent="0.35">
      <c r="A115" s="78">
        <v>114</v>
      </c>
      <c r="B115" s="141" t="s">
        <v>532</v>
      </c>
      <c r="C115" s="107">
        <v>90719443</v>
      </c>
      <c r="D115" s="171" t="str">
        <f>_xlfn.XLOOKUP(C115,Sheet2!B:B,Sheet2!A:A)</f>
        <v>Lishobh.P@rockwellautomation.com</v>
      </c>
      <c r="E115" s="107" t="s">
        <v>232</v>
      </c>
      <c r="F115" s="107" t="s">
        <v>427</v>
      </c>
      <c r="G115" s="184" t="s">
        <v>245</v>
      </c>
      <c r="H115" s="151" t="s">
        <v>533</v>
      </c>
      <c r="I115" s="167">
        <f t="shared" si="5"/>
        <v>7.333333333333333</v>
      </c>
      <c r="J115" s="163" t="s">
        <v>386</v>
      </c>
      <c r="K115" s="161">
        <v>43444</v>
      </c>
      <c r="L115" s="165">
        <f t="shared" ca="1" si="4"/>
        <v>7.83</v>
      </c>
      <c r="M115" s="148" t="s">
        <v>534</v>
      </c>
      <c r="N115" s="75"/>
      <c r="O115" s="192" t="s">
        <v>535</v>
      </c>
      <c r="P115" s="193" t="s">
        <v>536</v>
      </c>
      <c r="Q115" s="193" t="s">
        <v>268</v>
      </c>
      <c r="R115" s="193" t="s">
        <v>237</v>
      </c>
      <c r="S115" s="193" t="s">
        <v>237</v>
      </c>
      <c r="T115" s="193" t="s">
        <v>237</v>
      </c>
      <c r="U115" s="193" t="s">
        <v>237</v>
      </c>
      <c r="V115" s="193" t="s">
        <v>237</v>
      </c>
    </row>
    <row r="116" spans="1:22" ht="14.5" customHeight="1" x14ac:dyDescent="0.35">
      <c r="A116" s="78">
        <v>115</v>
      </c>
      <c r="B116" s="141" t="s">
        <v>205</v>
      </c>
      <c r="C116" s="107">
        <v>90719444</v>
      </c>
      <c r="D116" s="171" t="str">
        <f>_xlfn.XLOOKUP(C116,Sheet2!B:B,Sheet2!A:A)</f>
        <v>Litesh.Kolte@rockwellautomation.com</v>
      </c>
      <c r="E116" s="107" t="s">
        <v>232</v>
      </c>
      <c r="F116" s="107" t="s">
        <v>300</v>
      </c>
      <c r="G116" s="184" t="s">
        <v>245</v>
      </c>
      <c r="H116" s="151" t="s">
        <v>537</v>
      </c>
      <c r="I116" s="167">
        <f t="shared" si="5"/>
        <v>8.5833333333333339</v>
      </c>
      <c r="J116" s="163" t="s">
        <v>538</v>
      </c>
      <c r="K116" s="161">
        <v>43452</v>
      </c>
      <c r="L116" s="165">
        <f t="shared" ca="1" si="4"/>
        <v>9.17</v>
      </c>
      <c r="M116" s="148" t="s">
        <v>539</v>
      </c>
      <c r="N116" s="75"/>
      <c r="O116" s="192" t="s">
        <v>237</v>
      </c>
      <c r="P116" s="193" t="s">
        <v>237</v>
      </c>
      <c r="Q116" s="193" t="s">
        <v>237</v>
      </c>
      <c r="R116" s="193" t="s">
        <v>237</v>
      </c>
      <c r="S116" s="193" t="s">
        <v>237</v>
      </c>
      <c r="T116" s="193" t="s">
        <v>237</v>
      </c>
      <c r="U116" s="193" t="s">
        <v>300</v>
      </c>
      <c r="V116" s="193" t="s">
        <v>264</v>
      </c>
    </row>
    <row r="117" spans="1:22" ht="14.5" customHeight="1" x14ac:dyDescent="0.35">
      <c r="A117" s="78">
        <v>116</v>
      </c>
      <c r="B117" s="176" t="s">
        <v>540</v>
      </c>
      <c r="C117" s="180">
        <v>90732280</v>
      </c>
      <c r="D117" s="171" t="str">
        <f>_xlfn.XLOOKUP(C117,Sheet2!B:B,Sheet2!A:A)</f>
        <v>MBhagatRaj.Singh@rockwellautomation.com</v>
      </c>
      <c r="E117" s="107" t="s">
        <v>232</v>
      </c>
      <c r="F117" s="107" t="s">
        <v>300</v>
      </c>
      <c r="G117" s="184"/>
      <c r="H117" s="151" t="s">
        <v>246</v>
      </c>
      <c r="I117" s="167">
        <f t="shared" si="5"/>
        <v>0.25</v>
      </c>
      <c r="J117" s="163" t="e">
        <v>#N/A</v>
      </c>
      <c r="K117" s="161">
        <v>45891</v>
      </c>
      <c r="L117" s="165" t="e">
        <f t="shared" ca="1" si="4"/>
        <v>#N/A</v>
      </c>
      <c r="M117" s="148" t="s">
        <v>541</v>
      </c>
      <c r="N117" s="75"/>
      <c r="O117" s="192" t="s">
        <v>237</v>
      </c>
      <c r="P117" s="193" t="s">
        <v>237</v>
      </c>
      <c r="Q117" s="193" t="s">
        <v>237</v>
      </c>
      <c r="R117" s="193" t="s">
        <v>237</v>
      </c>
      <c r="S117" s="193" t="s">
        <v>237</v>
      </c>
      <c r="T117" s="193" t="s">
        <v>237</v>
      </c>
      <c r="U117" s="193" t="s">
        <v>300</v>
      </c>
      <c r="V117" s="193" t="s">
        <v>237</v>
      </c>
    </row>
    <row r="118" spans="1:22" ht="14.5" customHeight="1" x14ac:dyDescent="0.35">
      <c r="A118" s="78">
        <v>117</v>
      </c>
      <c r="B118" s="141" t="s">
        <v>165</v>
      </c>
      <c r="C118" s="107">
        <v>90719514</v>
      </c>
      <c r="D118" s="171" t="str">
        <f>_xlfn.XLOOKUP(C118,Sheet2!B:B,Sheet2!A:A)</f>
        <v>SubramanyamDora.M@rockwellautomation.com</v>
      </c>
      <c r="E118" s="107" t="s">
        <v>249</v>
      </c>
      <c r="F118" s="107" t="s">
        <v>244</v>
      </c>
      <c r="G118" s="184" t="s">
        <v>245</v>
      </c>
      <c r="H118" s="151" t="s">
        <v>542</v>
      </c>
      <c r="I118" s="167">
        <f t="shared" si="5"/>
        <v>8.1666666666666661</v>
      </c>
      <c r="J118" s="163" t="s">
        <v>543</v>
      </c>
      <c r="K118" s="161">
        <v>43760</v>
      </c>
      <c r="L118" s="165">
        <f t="shared" ca="1" si="4"/>
        <v>8.75</v>
      </c>
      <c r="M118" s="148" t="s">
        <v>544</v>
      </c>
      <c r="N118" s="75"/>
      <c r="O118" s="192" t="s">
        <v>237</v>
      </c>
      <c r="P118" s="193" t="s">
        <v>248</v>
      </c>
      <c r="Q118" s="193" t="s">
        <v>237</v>
      </c>
      <c r="R118" s="193" t="s">
        <v>237</v>
      </c>
      <c r="S118" s="193" t="s">
        <v>237</v>
      </c>
      <c r="T118" s="193" t="s">
        <v>237</v>
      </c>
      <c r="U118" s="193" t="s">
        <v>237</v>
      </c>
      <c r="V118" s="193" t="s">
        <v>237</v>
      </c>
    </row>
    <row r="119" spans="1:22" ht="14.5" customHeight="1" x14ac:dyDescent="0.35">
      <c r="A119" s="78">
        <v>118</v>
      </c>
      <c r="B119" s="176" t="s">
        <v>545</v>
      </c>
      <c r="C119" s="180">
        <v>90732282</v>
      </c>
      <c r="D119" s="171" t="str">
        <f>_xlfn.XLOOKUP(C119,Sheet2!B:B,Sheet2!A:A)</f>
        <v>MVenkata.Poojitha@rockwellautomation.com</v>
      </c>
      <c r="E119" s="107" t="s">
        <v>232</v>
      </c>
      <c r="F119" s="107" t="s">
        <v>300</v>
      </c>
      <c r="G119" s="184"/>
      <c r="H119" s="151" t="s">
        <v>246</v>
      </c>
      <c r="I119" s="167">
        <f t="shared" si="5"/>
        <v>0.25</v>
      </c>
      <c r="J119" s="163" t="e">
        <v>#N/A</v>
      </c>
      <c r="K119" s="161">
        <v>45891</v>
      </c>
      <c r="L119" s="165" t="e">
        <f t="shared" ca="1" si="4"/>
        <v>#N/A</v>
      </c>
      <c r="M119" s="148" t="s">
        <v>546</v>
      </c>
      <c r="N119" s="75"/>
      <c r="O119" s="192" t="s">
        <v>237</v>
      </c>
      <c r="P119" s="193" t="s">
        <v>237</v>
      </c>
      <c r="Q119" s="193" t="s">
        <v>237</v>
      </c>
      <c r="R119" s="193" t="s">
        <v>237</v>
      </c>
      <c r="S119" s="193" t="s">
        <v>237</v>
      </c>
      <c r="T119" s="193" t="s">
        <v>237</v>
      </c>
      <c r="U119" s="193" t="s">
        <v>300</v>
      </c>
      <c r="V119" s="193" t="s">
        <v>237</v>
      </c>
    </row>
    <row r="120" spans="1:22" ht="14.5" customHeight="1" x14ac:dyDescent="0.35">
      <c r="A120" s="78">
        <v>119</v>
      </c>
      <c r="B120" s="201" t="s">
        <v>547</v>
      </c>
      <c r="C120" s="107">
        <v>90719326</v>
      </c>
      <c r="D120" s="171" t="str">
        <f>_xlfn.XLOOKUP(C120,Sheet2!B:B,Sheet2!A:A)</f>
        <v>LakshmiPrasanna.Maddike@rockwellautomation.com</v>
      </c>
      <c r="E120" s="107" t="s">
        <v>249</v>
      </c>
      <c r="F120" s="107" t="s">
        <v>251</v>
      </c>
      <c r="G120" s="184"/>
      <c r="H120" s="151" t="s">
        <v>537</v>
      </c>
      <c r="I120" s="167">
        <f t="shared" si="5"/>
        <v>8.5833333333333339</v>
      </c>
      <c r="J120" s="163" t="s">
        <v>235</v>
      </c>
      <c r="K120" s="161">
        <v>42865</v>
      </c>
      <c r="L120" s="165">
        <f t="shared" ca="1" si="4"/>
        <v>9.08</v>
      </c>
      <c r="M120" s="148" t="s">
        <v>548</v>
      </c>
      <c r="N120" s="75"/>
      <c r="O120" s="192" t="s">
        <v>254</v>
      </c>
      <c r="P120" s="193" t="s">
        <v>237</v>
      </c>
      <c r="Q120" s="193" t="s">
        <v>291</v>
      </c>
      <c r="R120" s="193" t="s">
        <v>237</v>
      </c>
      <c r="S120" s="193" t="s">
        <v>237</v>
      </c>
      <c r="T120" s="193" t="s">
        <v>237</v>
      </c>
      <c r="U120" s="193" t="s">
        <v>237</v>
      </c>
      <c r="V120" s="193" t="s">
        <v>264</v>
      </c>
    </row>
    <row r="121" spans="1:22" ht="14.5" customHeight="1" x14ac:dyDescent="0.35">
      <c r="A121" s="78">
        <v>120</v>
      </c>
      <c r="B121" s="141" t="s">
        <v>549</v>
      </c>
      <c r="C121" s="107">
        <v>90719479</v>
      </c>
      <c r="D121" s="171" t="str">
        <f>_xlfn.XLOOKUP(C121,Sheet2!B:B,Sheet2!A:A)</f>
        <v>Madhuri.M@rockwellautomation.com</v>
      </c>
      <c r="E121" s="107" t="s">
        <v>249</v>
      </c>
      <c r="F121" s="107" t="s">
        <v>244</v>
      </c>
      <c r="G121" s="184"/>
      <c r="H121" s="151" t="s">
        <v>501</v>
      </c>
      <c r="I121" s="167">
        <f t="shared" si="5"/>
        <v>6.583333333333333</v>
      </c>
      <c r="J121" s="163" t="s">
        <v>235</v>
      </c>
      <c r="K121" s="161">
        <v>43591</v>
      </c>
      <c r="L121" s="165">
        <f t="shared" ca="1" si="4"/>
        <v>7.08</v>
      </c>
      <c r="M121" s="148" t="s">
        <v>550</v>
      </c>
      <c r="N121" s="75"/>
      <c r="O121" s="192" t="s">
        <v>237</v>
      </c>
      <c r="P121" s="193" t="s">
        <v>248</v>
      </c>
      <c r="Q121" s="193" t="s">
        <v>237</v>
      </c>
      <c r="R121" s="193" t="s">
        <v>237</v>
      </c>
      <c r="S121" s="193" t="s">
        <v>237</v>
      </c>
      <c r="T121" s="193" t="s">
        <v>237</v>
      </c>
      <c r="U121" s="193" t="s">
        <v>237</v>
      </c>
      <c r="V121" s="193" t="s">
        <v>264</v>
      </c>
    </row>
    <row r="122" spans="1:22" ht="14.5" customHeight="1" x14ac:dyDescent="0.35">
      <c r="A122" s="78">
        <v>121</v>
      </c>
      <c r="B122" s="141" t="s">
        <v>551</v>
      </c>
      <c r="C122" s="107">
        <v>90719485</v>
      </c>
      <c r="D122" s="171" t="str">
        <f>_xlfn.XLOOKUP(C122,Sheet2!B:B,Sheet2!A:A)</f>
        <v>Madhuri.Yarrannagari@rockwellautomation.com</v>
      </c>
      <c r="E122" s="107" t="s">
        <v>249</v>
      </c>
      <c r="F122" s="107" t="s">
        <v>300</v>
      </c>
      <c r="G122" s="184"/>
      <c r="H122" s="151" t="s">
        <v>501</v>
      </c>
      <c r="I122" s="167">
        <f t="shared" si="5"/>
        <v>6.583333333333333</v>
      </c>
      <c r="J122" s="163" t="s">
        <v>235</v>
      </c>
      <c r="K122" s="161">
        <v>43593</v>
      </c>
      <c r="L122" s="165">
        <f t="shared" ca="1" si="4"/>
        <v>7.08</v>
      </c>
      <c r="M122" s="148" t="s">
        <v>552</v>
      </c>
      <c r="N122" s="75"/>
      <c r="O122" s="192" t="s">
        <v>237</v>
      </c>
      <c r="P122" s="193" t="s">
        <v>237</v>
      </c>
      <c r="Q122" s="193" t="s">
        <v>237</v>
      </c>
      <c r="R122" s="193" t="s">
        <v>237</v>
      </c>
      <c r="S122" s="193" t="s">
        <v>237</v>
      </c>
      <c r="T122" s="193" t="s">
        <v>237</v>
      </c>
      <c r="U122" s="193" t="s">
        <v>300</v>
      </c>
      <c r="V122" s="193" t="s">
        <v>237</v>
      </c>
    </row>
    <row r="123" spans="1:22" ht="14.5" customHeight="1" x14ac:dyDescent="0.35">
      <c r="A123" s="78">
        <v>122</v>
      </c>
      <c r="B123" s="207" t="s">
        <v>553</v>
      </c>
      <c r="C123" s="107">
        <v>90719934</v>
      </c>
      <c r="D123" s="171" t="str">
        <f>_xlfn.XLOOKUP(C123,Sheet2!B:B,Sheet2!A:A)</f>
        <v>Madhvi.Singh@rockwellautomation.com</v>
      </c>
      <c r="E123" s="107" t="s">
        <v>232</v>
      </c>
      <c r="F123" s="107" t="s">
        <v>233</v>
      </c>
      <c r="G123" s="184"/>
      <c r="H123" s="151" t="s">
        <v>283</v>
      </c>
      <c r="I123" s="167">
        <f t="shared" si="5"/>
        <v>2.1666666666666665</v>
      </c>
      <c r="J123" s="163" t="s">
        <v>235</v>
      </c>
      <c r="K123" s="161">
        <v>45205</v>
      </c>
      <c r="L123" s="165">
        <f t="shared" ca="1" si="4"/>
        <v>2.67</v>
      </c>
      <c r="M123" s="148" t="s">
        <v>554</v>
      </c>
      <c r="N123" s="75"/>
      <c r="O123" s="192" t="s">
        <v>254</v>
      </c>
      <c r="P123" s="193" t="s">
        <v>237</v>
      </c>
      <c r="Q123" s="193" t="s">
        <v>237</v>
      </c>
      <c r="R123" s="193" t="s">
        <v>237</v>
      </c>
      <c r="S123" s="193" t="s">
        <v>227</v>
      </c>
      <c r="T123" s="193" t="s">
        <v>555</v>
      </c>
      <c r="U123" s="193" t="s">
        <v>237</v>
      </c>
      <c r="V123" s="193" t="s">
        <v>237</v>
      </c>
    </row>
    <row r="124" spans="1:22" ht="14.5" customHeight="1" x14ac:dyDescent="0.35">
      <c r="A124" s="78">
        <v>123</v>
      </c>
      <c r="B124" s="141" t="s">
        <v>556</v>
      </c>
      <c r="C124" s="107">
        <v>90724671</v>
      </c>
      <c r="D124" s="172" t="s">
        <v>557</v>
      </c>
      <c r="E124" s="107" t="s">
        <v>232</v>
      </c>
      <c r="F124" s="107" t="s">
        <v>300</v>
      </c>
      <c r="G124" s="184"/>
      <c r="H124" s="151" t="s">
        <v>271</v>
      </c>
      <c r="I124" s="167">
        <f t="shared" si="5"/>
        <v>3.3333333333333335</v>
      </c>
      <c r="J124" s="163" t="s">
        <v>558</v>
      </c>
      <c r="K124" s="161">
        <v>45301</v>
      </c>
      <c r="L124" s="165">
        <f t="shared" ca="1" si="4"/>
        <v>3.92</v>
      </c>
      <c r="M124" s="148" t="e">
        <v>#N/A</v>
      </c>
      <c r="N124" s="75"/>
      <c r="O124" s="192" t="s">
        <v>237</v>
      </c>
      <c r="P124" s="193" t="s">
        <v>237</v>
      </c>
      <c r="Q124" s="193" t="s">
        <v>237</v>
      </c>
      <c r="R124" s="193" t="s">
        <v>237</v>
      </c>
      <c r="S124" s="193" t="s">
        <v>237</v>
      </c>
      <c r="T124" s="193" t="s">
        <v>237</v>
      </c>
      <c r="U124" s="193" t="s">
        <v>300</v>
      </c>
      <c r="V124" s="193" t="s">
        <v>237</v>
      </c>
    </row>
    <row r="125" spans="1:22" ht="14.5" customHeight="1" x14ac:dyDescent="0.35">
      <c r="A125" s="78">
        <v>124</v>
      </c>
      <c r="B125" s="141" t="s">
        <v>188</v>
      </c>
      <c r="C125" s="107">
        <v>90719749</v>
      </c>
      <c r="D125" s="171" t="str">
        <f>_xlfn.XLOOKUP(C125,Sheet2!B:B,Sheet2!A:A)</f>
        <v>Mahesh.Balikai@rockwellautomation.com</v>
      </c>
      <c r="E125" s="107" t="s">
        <v>232</v>
      </c>
      <c r="F125" s="107" t="s">
        <v>223</v>
      </c>
      <c r="G125" s="184"/>
      <c r="H125" s="151" t="s">
        <v>281</v>
      </c>
      <c r="I125" s="167">
        <f t="shared" si="5"/>
        <v>3.9166666666666665</v>
      </c>
      <c r="J125" s="163" t="s">
        <v>235</v>
      </c>
      <c r="K125" s="161">
        <v>44557</v>
      </c>
      <c r="L125" s="165">
        <f t="shared" ca="1" si="4"/>
        <v>4.42</v>
      </c>
      <c r="M125" s="148" t="s">
        <v>559</v>
      </c>
      <c r="N125" s="75"/>
      <c r="O125" s="192" t="s">
        <v>254</v>
      </c>
      <c r="P125" s="193" t="s">
        <v>237</v>
      </c>
      <c r="Q125" s="193" t="s">
        <v>237</v>
      </c>
      <c r="R125" s="193" t="s">
        <v>237</v>
      </c>
      <c r="S125" s="193" t="s">
        <v>237</v>
      </c>
      <c r="T125" s="193" t="s">
        <v>453</v>
      </c>
      <c r="U125" s="193" t="s">
        <v>237</v>
      </c>
      <c r="V125" s="193" t="s">
        <v>237</v>
      </c>
    </row>
    <row r="126" spans="1:22" ht="14.5" customHeight="1" x14ac:dyDescent="0.35">
      <c r="A126" s="78">
        <v>125</v>
      </c>
      <c r="B126" s="141" t="s">
        <v>560</v>
      </c>
      <c r="C126" s="107">
        <v>90719667</v>
      </c>
      <c r="D126" s="171" t="str">
        <f>_xlfn.XLOOKUP(C126,Sheet2!B:B,Sheet2!A:A)</f>
        <v>Omesh.Majety@rockwellautomation.com</v>
      </c>
      <c r="E126" s="107" t="s">
        <v>232</v>
      </c>
      <c r="F126" s="107" t="s">
        <v>561</v>
      </c>
      <c r="G126" s="184" t="s">
        <v>245</v>
      </c>
      <c r="H126" s="151" t="s">
        <v>444</v>
      </c>
      <c r="I126" s="167">
        <f t="shared" si="5"/>
        <v>4.5</v>
      </c>
      <c r="J126" s="163" t="s">
        <v>235</v>
      </c>
      <c r="K126" s="161">
        <v>44348</v>
      </c>
      <c r="L126" s="165">
        <f t="shared" ca="1" si="4"/>
        <v>5</v>
      </c>
      <c r="M126" s="148" t="s">
        <v>562</v>
      </c>
      <c r="N126" s="75"/>
      <c r="O126" s="192" t="s">
        <v>254</v>
      </c>
      <c r="P126" s="193" t="s">
        <v>237</v>
      </c>
      <c r="Q126" s="193" t="s">
        <v>237</v>
      </c>
      <c r="R126" s="193" t="s">
        <v>237</v>
      </c>
      <c r="S126" s="193" t="s">
        <v>237</v>
      </c>
      <c r="T126" s="193" t="s">
        <v>237</v>
      </c>
      <c r="U126" s="193" t="s">
        <v>237</v>
      </c>
      <c r="V126" s="193" t="s">
        <v>237</v>
      </c>
    </row>
    <row r="127" spans="1:22" ht="14.5" customHeight="1" x14ac:dyDescent="0.35">
      <c r="A127" s="78">
        <v>126</v>
      </c>
      <c r="B127" s="154" t="s">
        <v>563</v>
      </c>
      <c r="C127" s="107">
        <v>90719784</v>
      </c>
      <c r="D127" s="171" t="str">
        <f>_xlfn.XLOOKUP(C127,Sheet2!B:B,Sheet2!A:A)</f>
        <v>Malavika.Mahendran@rockwellautomation.com</v>
      </c>
      <c r="E127" s="107" t="s">
        <v>232</v>
      </c>
      <c r="F127" s="107" t="s">
        <v>244</v>
      </c>
      <c r="G127" s="184"/>
      <c r="H127" s="151" t="s">
        <v>564</v>
      </c>
      <c r="I127" s="167">
        <f t="shared" si="5"/>
        <v>3.5</v>
      </c>
      <c r="J127" s="163" t="s">
        <v>235</v>
      </c>
      <c r="K127" s="161">
        <v>44718</v>
      </c>
      <c r="L127" s="165">
        <f t="shared" ca="1" si="4"/>
        <v>4</v>
      </c>
      <c r="M127" s="148" t="e">
        <v>#N/A</v>
      </c>
      <c r="N127" s="75"/>
      <c r="O127" s="192" t="s">
        <v>237</v>
      </c>
      <c r="P127" s="193" t="s">
        <v>248</v>
      </c>
      <c r="Q127" s="193" t="s">
        <v>237</v>
      </c>
      <c r="R127" s="193" t="s">
        <v>237</v>
      </c>
      <c r="S127" s="193" t="s">
        <v>237</v>
      </c>
      <c r="T127" s="193" t="s">
        <v>237</v>
      </c>
      <c r="U127" s="193" t="s">
        <v>237</v>
      </c>
      <c r="V127" s="193" t="s">
        <v>237</v>
      </c>
    </row>
    <row r="128" spans="1:22" ht="14.5" customHeight="1" x14ac:dyDescent="0.35">
      <c r="A128" s="78">
        <v>127</v>
      </c>
      <c r="B128" s="196" t="s">
        <v>154</v>
      </c>
      <c r="C128" s="107">
        <v>90719604</v>
      </c>
      <c r="D128" s="171" t="str">
        <f>_xlfn.XLOOKUP(C128,Sheet2!B:B,Sheet2!A:A)</f>
        <v>SaiReethi.Mallela@rockwellautomation.com</v>
      </c>
      <c r="E128" s="107" t="s">
        <v>232</v>
      </c>
      <c r="F128" s="107" t="s">
        <v>223</v>
      </c>
      <c r="G128" s="184"/>
      <c r="H128" s="151" t="s">
        <v>530</v>
      </c>
      <c r="I128" s="167">
        <f t="shared" si="5"/>
        <v>5</v>
      </c>
      <c r="J128" s="163" t="s">
        <v>235</v>
      </c>
      <c r="K128" s="161">
        <v>44153</v>
      </c>
      <c r="L128" s="165">
        <f t="shared" ca="1" si="4"/>
        <v>5.58</v>
      </c>
      <c r="M128" s="148" t="s">
        <v>565</v>
      </c>
      <c r="N128" s="75"/>
      <c r="O128" s="192" t="s">
        <v>237</v>
      </c>
      <c r="P128" s="193" t="s">
        <v>237</v>
      </c>
      <c r="Q128" s="193" t="s">
        <v>237</v>
      </c>
      <c r="R128" s="193" t="s">
        <v>237</v>
      </c>
      <c r="S128" s="193" t="s">
        <v>237</v>
      </c>
      <c r="T128" s="193" t="s">
        <v>237</v>
      </c>
      <c r="U128" s="193" t="s">
        <v>237</v>
      </c>
      <c r="V128" s="193" t="s">
        <v>237</v>
      </c>
    </row>
    <row r="129" spans="1:22" ht="14.5" customHeight="1" x14ac:dyDescent="0.35">
      <c r="A129" s="78">
        <v>128</v>
      </c>
      <c r="B129" s="141" t="s">
        <v>164</v>
      </c>
      <c r="C129" s="107">
        <v>80119778</v>
      </c>
      <c r="D129" s="171" t="str">
        <f>_xlfn.XLOOKUP(C129,Sheet2!B:B,Sheet2!A:A)</f>
        <v>Maneesha.Peddireddy@rockwellautomation.com</v>
      </c>
      <c r="E129" s="107" t="s">
        <v>249</v>
      </c>
      <c r="F129" s="107" t="s">
        <v>223</v>
      </c>
      <c r="G129" s="184" t="s">
        <v>245</v>
      </c>
      <c r="H129" s="151" t="s">
        <v>537</v>
      </c>
      <c r="I129" s="167">
        <f t="shared" si="5"/>
        <v>8.5833333333333339</v>
      </c>
      <c r="J129" s="163" t="s">
        <v>235</v>
      </c>
      <c r="K129" s="161">
        <v>42865</v>
      </c>
      <c r="L129" s="165">
        <f t="shared" ca="1" si="4"/>
        <v>9.08</v>
      </c>
      <c r="M129" s="148" t="s">
        <v>566</v>
      </c>
      <c r="N129" s="75"/>
      <c r="O129" s="192" t="s">
        <v>254</v>
      </c>
      <c r="P129" s="193" t="s">
        <v>237</v>
      </c>
      <c r="Q129" s="193" t="s">
        <v>237</v>
      </c>
      <c r="R129" s="193" t="s">
        <v>237</v>
      </c>
      <c r="S129" s="193" t="s">
        <v>237</v>
      </c>
      <c r="T129" s="193" t="s">
        <v>237</v>
      </c>
      <c r="U129" s="193" t="s">
        <v>237</v>
      </c>
      <c r="V129" s="193" t="s">
        <v>237</v>
      </c>
    </row>
    <row r="130" spans="1:22" ht="14.5" customHeight="1" x14ac:dyDescent="0.35">
      <c r="A130" s="78">
        <v>129</v>
      </c>
      <c r="B130" s="196" t="s">
        <v>176</v>
      </c>
      <c r="C130" s="107">
        <v>90719406</v>
      </c>
      <c r="D130" s="171" t="str">
        <f>_xlfn.XLOOKUP(C130,Sheet2!B:B,Sheet2!A:A)</f>
        <v>Manisha.Pedhaguntlapalli@rockwellautomation.com</v>
      </c>
      <c r="E130" s="107" t="s">
        <v>232</v>
      </c>
      <c r="F130" s="107" t="s">
        <v>251</v>
      </c>
      <c r="G130" s="184"/>
      <c r="H130" s="151" t="s">
        <v>252</v>
      </c>
      <c r="I130" s="167">
        <f t="shared" si="5"/>
        <v>7.5</v>
      </c>
      <c r="J130" s="163" t="s">
        <v>235</v>
      </c>
      <c r="K130" s="161">
        <v>43252</v>
      </c>
      <c r="L130" s="165">
        <f t="shared" ca="1" si="4"/>
        <v>8</v>
      </c>
      <c r="M130" s="148" t="s">
        <v>567</v>
      </c>
      <c r="N130" s="75"/>
      <c r="O130" s="192" t="s">
        <v>237</v>
      </c>
      <c r="P130" s="193" t="s">
        <v>237</v>
      </c>
      <c r="Q130" s="193" t="s">
        <v>237</v>
      </c>
      <c r="R130" s="193" t="s">
        <v>237</v>
      </c>
      <c r="S130" s="193" t="s">
        <v>237</v>
      </c>
      <c r="T130" s="193" t="s">
        <v>237</v>
      </c>
      <c r="U130" s="193" t="s">
        <v>237</v>
      </c>
      <c r="V130" s="193" t="s">
        <v>237</v>
      </c>
    </row>
    <row r="131" spans="1:22" ht="14.5" customHeight="1" x14ac:dyDescent="0.35">
      <c r="A131" s="78">
        <v>130</v>
      </c>
      <c r="B131" s="141" t="s">
        <v>568</v>
      </c>
      <c r="C131" s="107">
        <v>20104603</v>
      </c>
      <c r="D131" s="171" t="str">
        <f>_xlfn.XLOOKUP(C131,Sheet2!B:B,Sheet2!A:A)</f>
        <v>MMenon@rockwellautomation.com</v>
      </c>
      <c r="E131" s="107" t="s">
        <v>308</v>
      </c>
      <c r="F131" s="107" t="s">
        <v>314</v>
      </c>
      <c r="G131" s="184" t="s">
        <v>245</v>
      </c>
      <c r="H131" s="151" t="s">
        <v>569</v>
      </c>
      <c r="I131" s="167">
        <f t="shared" si="5"/>
        <v>9.4166666666666661</v>
      </c>
      <c r="J131" s="163" t="s">
        <v>570</v>
      </c>
      <c r="K131" s="161" t="e">
        <v>#N/A</v>
      </c>
      <c r="L131" s="165" t="e">
        <f t="shared" ref="L131:L194" ca="1" si="6">IF(OR(J131="",K131=""),"",
ROUND(
IFERROR(
--J131,
VALUE(LEFT(J131,FIND("years",J131)-1))
+ VALUE(MID(J131,FIND("years",J131)+6,FIND("months",J131)-FIND("years",J131)-6))/12
)
+ DATEDIF(K131,TODAY(),"y")
+ DATEDIF(K131,TODAY(),"ym")/12,2))</f>
        <v>#N/A</v>
      </c>
      <c r="M131" s="148" t="s">
        <v>571</v>
      </c>
      <c r="N131" s="75"/>
      <c r="O131" s="192" t="s">
        <v>254</v>
      </c>
      <c r="P131" s="193" t="s">
        <v>237</v>
      </c>
      <c r="Q131" s="193" t="s">
        <v>291</v>
      </c>
      <c r="R131" s="193" t="s">
        <v>237</v>
      </c>
      <c r="S131" s="193" t="s">
        <v>237</v>
      </c>
      <c r="T131" s="193" t="s">
        <v>237</v>
      </c>
      <c r="U131" s="193" t="s">
        <v>237</v>
      </c>
      <c r="V131" s="193" t="s">
        <v>320</v>
      </c>
    </row>
    <row r="132" spans="1:22" ht="14.5" customHeight="1" x14ac:dyDescent="0.35">
      <c r="A132" s="78">
        <v>131</v>
      </c>
      <c r="B132" s="141" t="s">
        <v>572</v>
      </c>
      <c r="C132" s="107">
        <v>90732332</v>
      </c>
      <c r="D132" s="171" t="str">
        <f>_xlfn.XLOOKUP(C132,Sheet2!B:B,Sheet2!A:A)</f>
        <v>MaryJiny.D@rockwellautomation.com</v>
      </c>
      <c r="E132" s="107" t="s">
        <v>232</v>
      </c>
      <c r="F132" s="107" t="s">
        <v>314</v>
      </c>
      <c r="G132" s="184" t="s">
        <v>245</v>
      </c>
      <c r="H132" s="151" t="s">
        <v>573</v>
      </c>
      <c r="I132" s="167">
        <f t="shared" si="5"/>
        <v>3.4166666666666665</v>
      </c>
      <c r="J132" s="163" t="s">
        <v>294</v>
      </c>
      <c r="K132" s="161">
        <v>45898</v>
      </c>
      <c r="L132" s="165">
        <f t="shared" ca="1" si="6"/>
        <v>3.92</v>
      </c>
      <c r="M132" s="148" t="s">
        <v>574</v>
      </c>
      <c r="N132" s="75"/>
      <c r="O132" s="192" t="s">
        <v>254</v>
      </c>
      <c r="P132" s="193" t="s">
        <v>237</v>
      </c>
      <c r="Q132" s="193" t="s">
        <v>255</v>
      </c>
      <c r="R132" s="193" t="s">
        <v>237</v>
      </c>
      <c r="S132" s="193" t="s">
        <v>237</v>
      </c>
      <c r="T132" s="193" t="s">
        <v>237</v>
      </c>
      <c r="U132" s="193" t="s">
        <v>237</v>
      </c>
      <c r="V132" s="193" t="s">
        <v>237</v>
      </c>
    </row>
    <row r="133" spans="1:22" ht="14.5" customHeight="1" x14ac:dyDescent="0.35">
      <c r="A133" s="78">
        <v>132</v>
      </c>
      <c r="B133" s="141" t="s">
        <v>575</v>
      </c>
      <c r="C133" s="107">
        <v>90724640</v>
      </c>
      <c r="D133" s="171" t="str">
        <f>_xlfn.XLOOKUP(C133,Sheet2!B:B,Sheet2!A:A)</f>
        <v>MDFaizan.Alam@rockwellautomation.com</v>
      </c>
      <c r="E133" s="107" t="s">
        <v>232</v>
      </c>
      <c r="F133" s="107" t="s">
        <v>223</v>
      </c>
      <c r="G133" s="184"/>
      <c r="H133" s="151" t="s">
        <v>234</v>
      </c>
      <c r="I133" s="167">
        <f t="shared" si="5"/>
        <v>1.3333333333333333</v>
      </c>
      <c r="J133" s="163" t="s">
        <v>235</v>
      </c>
      <c r="K133" s="161">
        <v>45490</v>
      </c>
      <c r="L133" s="165">
        <f t="shared" ca="1" si="6"/>
        <v>1.92</v>
      </c>
      <c r="M133" s="148" t="s">
        <v>576</v>
      </c>
      <c r="N133" s="75"/>
      <c r="O133" s="192" t="s">
        <v>254</v>
      </c>
      <c r="P133" s="193" t="s">
        <v>237</v>
      </c>
      <c r="Q133" s="193" t="s">
        <v>237</v>
      </c>
      <c r="R133" s="193" t="s">
        <v>237</v>
      </c>
      <c r="S133" s="193" t="s">
        <v>237</v>
      </c>
      <c r="T133" s="193" t="s">
        <v>237</v>
      </c>
      <c r="U133" s="193" t="s">
        <v>237</v>
      </c>
      <c r="V133" s="193" t="s">
        <v>237</v>
      </c>
    </row>
    <row r="134" spans="1:22" ht="14.5" customHeight="1" x14ac:dyDescent="0.35">
      <c r="A134" s="78">
        <v>133</v>
      </c>
      <c r="B134" s="141" t="s">
        <v>577</v>
      </c>
      <c r="C134" s="107">
        <v>90725456</v>
      </c>
      <c r="D134" s="171" t="str">
        <f>_xlfn.XLOOKUP(C134,Sheet2!B:B,Sheet2!A:A)</f>
        <v>Megha.D@rockwellautomation.com</v>
      </c>
      <c r="E134" s="107" t="s">
        <v>232</v>
      </c>
      <c r="F134" s="107" t="s">
        <v>300</v>
      </c>
      <c r="G134" s="184"/>
      <c r="H134" s="151" t="s">
        <v>578</v>
      </c>
      <c r="I134" s="167">
        <f t="shared" si="5"/>
        <v>1.8333333333333335</v>
      </c>
      <c r="J134" s="163" t="s">
        <v>579</v>
      </c>
      <c r="K134" s="161">
        <v>45329</v>
      </c>
      <c r="L134" s="165">
        <f t="shared" ca="1" si="6"/>
        <v>3.17</v>
      </c>
      <c r="M134" s="148" t="e">
        <v>#N/A</v>
      </c>
      <c r="N134" s="75"/>
      <c r="O134" s="192" t="s">
        <v>237</v>
      </c>
      <c r="P134" s="193" t="s">
        <v>237</v>
      </c>
      <c r="Q134" s="193" t="s">
        <v>237</v>
      </c>
      <c r="R134" s="193" t="s">
        <v>237</v>
      </c>
      <c r="S134" s="193" t="s">
        <v>237</v>
      </c>
      <c r="T134" s="193" t="s">
        <v>237</v>
      </c>
      <c r="U134" s="193" t="s">
        <v>300</v>
      </c>
      <c r="V134" s="193" t="s">
        <v>237</v>
      </c>
    </row>
    <row r="135" spans="1:22" ht="14.5" customHeight="1" x14ac:dyDescent="0.35">
      <c r="A135" s="78">
        <v>134</v>
      </c>
      <c r="B135" s="141" t="s">
        <v>580</v>
      </c>
      <c r="C135" s="107">
        <v>90732285</v>
      </c>
      <c r="D135" s="171" t="str">
        <f>_xlfn.XLOOKUP(C135,Sheet2!B:B,Sheet2!A:A)</f>
        <v>Miruthula.Chandrasekaran@rockwellautomation.com</v>
      </c>
      <c r="E135" s="107" t="s">
        <v>232</v>
      </c>
      <c r="F135" s="107" t="s">
        <v>244</v>
      </c>
      <c r="G135" s="184" t="s">
        <v>245</v>
      </c>
      <c r="H135" s="151" t="s">
        <v>581</v>
      </c>
      <c r="I135" s="167">
        <f t="shared" si="5"/>
        <v>3.25</v>
      </c>
      <c r="J135" s="163" t="s">
        <v>294</v>
      </c>
      <c r="K135" s="161">
        <v>45891</v>
      </c>
      <c r="L135" s="165">
        <f t="shared" ca="1" si="6"/>
        <v>4</v>
      </c>
      <c r="M135" s="148" t="s">
        <v>582</v>
      </c>
      <c r="N135" s="75"/>
      <c r="O135" s="192" t="s">
        <v>254</v>
      </c>
      <c r="P135" s="193" t="s">
        <v>248</v>
      </c>
      <c r="Q135" s="193" t="s">
        <v>237</v>
      </c>
      <c r="R135" s="193" t="s">
        <v>237</v>
      </c>
      <c r="S135" s="193" t="s">
        <v>237</v>
      </c>
      <c r="T135" s="193" t="s">
        <v>237</v>
      </c>
      <c r="U135" s="193" t="s">
        <v>237</v>
      </c>
      <c r="V135" s="193" t="s">
        <v>237</v>
      </c>
    </row>
    <row r="136" spans="1:22" ht="14.5" customHeight="1" x14ac:dyDescent="0.35">
      <c r="A136" s="78">
        <v>135</v>
      </c>
      <c r="B136" s="141" t="s">
        <v>583</v>
      </c>
      <c r="C136" s="107">
        <v>90719563</v>
      </c>
      <c r="D136" s="171" t="str">
        <f>_xlfn.XLOOKUP(C136,Sheet2!B:B,Sheet2!A:A)</f>
        <v>Mithun.V@rockwellautomation.com</v>
      </c>
      <c r="E136" s="107" t="s">
        <v>232</v>
      </c>
      <c r="F136" s="107" t="s">
        <v>223</v>
      </c>
      <c r="G136" s="184"/>
      <c r="H136" s="151" t="s">
        <v>390</v>
      </c>
      <c r="I136" s="167">
        <f t="shared" si="5"/>
        <v>5.5</v>
      </c>
      <c r="J136" s="163" t="s">
        <v>235</v>
      </c>
      <c r="K136" s="161">
        <v>43983</v>
      </c>
      <c r="L136" s="165">
        <f t="shared" ca="1" si="6"/>
        <v>6</v>
      </c>
      <c r="M136" s="148" t="e">
        <v>#N/A</v>
      </c>
      <c r="N136" s="75"/>
      <c r="O136" s="192" t="s">
        <v>236</v>
      </c>
      <c r="P136" s="193" t="s">
        <v>237</v>
      </c>
      <c r="Q136" s="193" t="s">
        <v>237</v>
      </c>
      <c r="R136" s="193" t="s">
        <v>237</v>
      </c>
      <c r="S136" s="193" t="s">
        <v>237</v>
      </c>
      <c r="T136" s="193" t="s">
        <v>263</v>
      </c>
      <c r="U136" s="193" t="s">
        <v>237</v>
      </c>
      <c r="V136" s="193" t="s">
        <v>237</v>
      </c>
    </row>
    <row r="137" spans="1:22" ht="14.5" customHeight="1" x14ac:dyDescent="0.35">
      <c r="A137" s="78">
        <v>136</v>
      </c>
      <c r="B137" s="141" t="s">
        <v>584</v>
      </c>
      <c r="C137" s="107">
        <v>90719672</v>
      </c>
      <c r="D137" s="171" t="str">
        <f>_xlfn.XLOOKUP(C137,Sheet2!B:B,Sheet2!A:A)</f>
        <v>MohammadSharique.Ali@rockwellautomation.com</v>
      </c>
      <c r="E137" s="107" t="s">
        <v>232</v>
      </c>
      <c r="F137" s="107" t="s">
        <v>244</v>
      </c>
      <c r="G137" s="184"/>
      <c r="H137" s="151" t="s">
        <v>444</v>
      </c>
      <c r="I137" s="167">
        <f t="shared" ref="I137:I200" si="7">IF(
   OR(H137="",H137="NA"),
   "",
   VALUE(LEFT(H137,FIND("years",H137)-1)) +
   VALUE(MID(H137,FIND("years",H137)+5,FIND("months",H137)-FIND("years",H137)-5))/12
)</f>
        <v>4.5</v>
      </c>
      <c r="J137" s="163" t="s">
        <v>235</v>
      </c>
      <c r="K137" s="161">
        <v>44349</v>
      </c>
      <c r="L137" s="165">
        <f t="shared" ca="1" si="6"/>
        <v>5</v>
      </c>
      <c r="M137" s="148" t="e">
        <v>#N/A</v>
      </c>
      <c r="N137" s="75"/>
      <c r="O137" s="192" t="s">
        <v>237</v>
      </c>
      <c r="P137" s="193" t="s">
        <v>248</v>
      </c>
      <c r="Q137" s="193" t="s">
        <v>237</v>
      </c>
      <c r="R137" s="193" t="s">
        <v>237</v>
      </c>
      <c r="S137" s="193" t="s">
        <v>237</v>
      </c>
      <c r="T137" s="193" t="s">
        <v>237</v>
      </c>
      <c r="U137" s="193" t="s">
        <v>237</v>
      </c>
      <c r="V137" s="193" t="s">
        <v>237</v>
      </c>
    </row>
    <row r="138" spans="1:22" ht="14.5" customHeight="1" x14ac:dyDescent="0.35">
      <c r="A138" s="78">
        <v>137</v>
      </c>
      <c r="B138" s="142" t="s">
        <v>585</v>
      </c>
      <c r="C138" s="107">
        <v>90719555</v>
      </c>
      <c r="D138" s="171" t="str">
        <f>_xlfn.XLOOKUP(C138,Sheet2!B:B,Sheet2!A:A)</f>
        <v>Mohammad.Taufeeq@rockwellautomation.com</v>
      </c>
      <c r="E138" s="107" t="s">
        <v>232</v>
      </c>
      <c r="F138" s="107" t="s">
        <v>223</v>
      </c>
      <c r="G138" s="184"/>
      <c r="H138" s="151" t="s">
        <v>390</v>
      </c>
      <c r="I138" s="167">
        <f t="shared" si="7"/>
        <v>5.5</v>
      </c>
      <c r="J138" s="163" t="s">
        <v>235</v>
      </c>
      <c r="K138" s="161">
        <v>43983</v>
      </c>
      <c r="L138" s="165">
        <f t="shared" ca="1" si="6"/>
        <v>6</v>
      </c>
      <c r="M138" s="148" t="e">
        <v>#N/A</v>
      </c>
      <c r="N138" s="75"/>
      <c r="O138" s="192" t="s">
        <v>254</v>
      </c>
      <c r="P138" s="193" t="s">
        <v>237</v>
      </c>
      <c r="Q138" s="193" t="s">
        <v>237</v>
      </c>
      <c r="R138" s="193" t="s">
        <v>237</v>
      </c>
      <c r="S138" s="193" t="s">
        <v>237</v>
      </c>
      <c r="T138" s="193" t="s">
        <v>237</v>
      </c>
      <c r="U138" s="193" t="s">
        <v>237</v>
      </c>
      <c r="V138" s="193" t="s">
        <v>237</v>
      </c>
    </row>
    <row r="139" spans="1:22" ht="14.5" customHeight="1" x14ac:dyDescent="0.35">
      <c r="A139" s="78">
        <v>138</v>
      </c>
      <c r="B139" s="178" t="s">
        <v>586</v>
      </c>
      <c r="C139" s="174">
        <v>90727173</v>
      </c>
      <c r="D139" s="171" t="str">
        <f>_xlfn.XLOOKUP(C139,Sheet2!B:B,Sheet2!A:A)</f>
        <v>MohammedSaqib.Baig@rockwellautomation.com</v>
      </c>
      <c r="E139" s="107" t="s">
        <v>232</v>
      </c>
      <c r="F139" s="107" t="s">
        <v>233</v>
      </c>
      <c r="G139" s="184"/>
      <c r="H139" s="151" t="s">
        <v>234</v>
      </c>
      <c r="I139" s="167">
        <f t="shared" si="7"/>
        <v>1.3333333333333333</v>
      </c>
      <c r="J139" s="163" t="s">
        <v>235</v>
      </c>
      <c r="K139" s="161">
        <v>45488</v>
      </c>
      <c r="L139" s="165">
        <f t="shared" ca="1" si="6"/>
        <v>1.92</v>
      </c>
      <c r="M139" s="148" t="e">
        <v>#N/A</v>
      </c>
      <c r="N139" s="75"/>
      <c r="O139" s="192" t="s">
        <v>254</v>
      </c>
      <c r="P139" s="193" t="s">
        <v>237</v>
      </c>
      <c r="Q139" s="193" t="s">
        <v>237</v>
      </c>
      <c r="R139" s="193" t="s">
        <v>237</v>
      </c>
      <c r="S139" s="193" t="s">
        <v>237</v>
      </c>
      <c r="T139" s="193" t="s">
        <v>237</v>
      </c>
      <c r="U139" s="193" t="s">
        <v>237</v>
      </c>
      <c r="V139" s="193" t="s">
        <v>237</v>
      </c>
    </row>
    <row r="140" spans="1:22" ht="14.5" customHeight="1" x14ac:dyDescent="0.35">
      <c r="A140" s="78">
        <v>139</v>
      </c>
      <c r="B140" s="198" t="s">
        <v>162</v>
      </c>
      <c r="C140" s="107">
        <v>90719602</v>
      </c>
      <c r="D140" s="171" t="str">
        <f>_xlfn.XLOOKUP(C140,Sheet2!B:B,Sheet2!A:A)</f>
        <v>MohammedShahidShariff.M@rockwellautomation.com</v>
      </c>
      <c r="E140" s="107" t="s">
        <v>232</v>
      </c>
      <c r="F140" s="107" t="s">
        <v>300</v>
      </c>
      <c r="G140" s="184"/>
      <c r="H140" s="151" t="s">
        <v>289</v>
      </c>
      <c r="I140" s="167">
        <f t="shared" si="7"/>
        <v>8.4166666666666661</v>
      </c>
      <c r="J140" s="163" t="s">
        <v>587</v>
      </c>
      <c r="K140" s="161">
        <v>44145</v>
      </c>
      <c r="L140" s="165">
        <f t="shared" ca="1" si="6"/>
        <v>8.92</v>
      </c>
      <c r="M140" s="148" t="s">
        <v>588</v>
      </c>
      <c r="N140" s="75"/>
      <c r="O140" s="192" t="s">
        <v>237</v>
      </c>
      <c r="P140" s="193" t="s">
        <v>237</v>
      </c>
      <c r="Q140" s="193" t="s">
        <v>237</v>
      </c>
      <c r="R140" s="193" t="s">
        <v>237</v>
      </c>
      <c r="S140" s="193" t="s">
        <v>237</v>
      </c>
      <c r="T140" s="193" t="s">
        <v>237</v>
      </c>
      <c r="U140" s="193" t="s">
        <v>237</v>
      </c>
      <c r="V140" s="193" t="s">
        <v>237</v>
      </c>
    </row>
    <row r="141" spans="1:22" ht="14.5" customHeight="1" x14ac:dyDescent="0.35">
      <c r="A141" s="78">
        <v>140</v>
      </c>
      <c r="B141" s="141" t="s">
        <v>589</v>
      </c>
      <c r="C141" s="107">
        <v>90719904</v>
      </c>
      <c r="D141" s="171" t="str">
        <f>_xlfn.XLOOKUP(C141,Sheet2!B:B,Sheet2!A:A)</f>
        <v>MohammedShibili.O@rockwellautomation.com</v>
      </c>
      <c r="E141" s="107" t="s">
        <v>232</v>
      </c>
      <c r="F141" s="107" t="s">
        <v>223</v>
      </c>
      <c r="G141" s="184" t="s">
        <v>245</v>
      </c>
      <c r="H141" s="151" t="s">
        <v>344</v>
      </c>
      <c r="I141" s="167">
        <f t="shared" si="7"/>
        <v>2.4166666666666665</v>
      </c>
      <c r="J141" s="163" t="s">
        <v>235</v>
      </c>
      <c r="K141" s="161">
        <v>45107</v>
      </c>
      <c r="L141" s="165">
        <f t="shared" ca="1" si="6"/>
        <v>2.92</v>
      </c>
      <c r="M141" s="148" t="s">
        <v>590</v>
      </c>
      <c r="N141" s="75"/>
      <c r="O141" s="192" t="s">
        <v>254</v>
      </c>
      <c r="P141" s="193" t="s">
        <v>237</v>
      </c>
      <c r="Q141" s="193" t="s">
        <v>255</v>
      </c>
      <c r="R141" s="193" t="s">
        <v>237</v>
      </c>
      <c r="S141" s="193" t="s">
        <v>237</v>
      </c>
      <c r="T141" s="193" t="s">
        <v>237</v>
      </c>
      <c r="U141" s="193" t="s">
        <v>237</v>
      </c>
      <c r="V141" s="193" t="s">
        <v>237</v>
      </c>
    </row>
    <row r="142" spans="1:22" ht="14.5" customHeight="1" x14ac:dyDescent="0.35">
      <c r="A142" s="78">
        <v>141</v>
      </c>
      <c r="B142" s="141" t="s">
        <v>591</v>
      </c>
      <c r="C142" s="107">
        <v>90719521</v>
      </c>
      <c r="D142" s="171" t="str">
        <f>_xlfn.XLOOKUP(C142,Sheet2!B:B,Sheet2!A:A)</f>
        <v>Mohan.Guntur@rockwellautomation.com</v>
      </c>
      <c r="E142" s="107" t="s">
        <v>249</v>
      </c>
      <c r="F142" s="107" t="s">
        <v>223</v>
      </c>
      <c r="G142" s="184"/>
      <c r="H142" s="151" t="s">
        <v>441</v>
      </c>
      <c r="I142" s="167">
        <f t="shared" si="7"/>
        <v>8.6666666666666661</v>
      </c>
      <c r="J142" s="163" t="s">
        <v>592</v>
      </c>
      <c r="K142" s="161">
        <v>43780</v>
      </c>
      <c r="L142" s="165">
        <f t="shared" ca="1" si="6"/>
        <v>9.17</v>
      </c>
      <c r="M142" s="148" t="s">
        <v>593</v>
      </c>
      <c r="N142" s="75"/>
      <c r="O142" s="192" t="s">
        <v>254</v>
      </c>
      <c r="P142" s="193" t="s">
        <v>237</v>
      </c>
      <c r="Q142" s="193" t="s">
        <v>237</v>
      </c>
      <c r="R142" s="193" t="s">
        <v>237</v>
      </c>
      <c r="S142" s="193" t="s">
        <v>237</v>
      </c>
      <c r="T142" s="193" t="s">
        <v>237</v>
      </c>
      <c r="U142" s="193" t="s">
        <v>237</v>
      </c>
      <c r="V142" s="193" t="s">
        <v>264</v>
      </c>
    </row>
    <row r="143" spans="1:22" ht="14.5" customHeight="1" x14ac:dyDescent="0.35">
      <c r="A143" s="78">
        <v>142</v>
      </c>
      <c r="B143" s="154" t="s">
        <v>196</v>
      </c>
      <c r="C143" s="107">
        <v>90719576</v>
      </c>
      <c r="D143" s="171" t="str">
        <f>_xlfn.XLOOKUP(C143,Sheet2!B:B,Sheet2!A:A)</f>
        <v>Mohan.N@rockwellautomation.com</v>
      </c>
      <c r="E143" s="107" t="s">
        <v>232</v>
      </c>
      <c r="F143" s="107" t="s">
        <v>244</v>
      </c>
      <c r="G143" s="184" t="s">
        <v>245</v>
      </c>
      <c r="H143" s="151" t="s">
        <v>252</v>
      </c>
      <c r="I143" s="167">
        <f t="shared" si="7"/>
        <v>7.5</v>
      </c>
      <c r="J143" s="163" t="s">
        <v>594</v>
      </c>
      <c r="K143" s="161">
        <v>44070</v>
      </c>
      <c r="L143" s="165">
        <f t="shared" ca="1" si="6"/>
        <v>8</v>
      </c>
      <c r="M143" s="148" t="s">
        <v>595</v>
      </c>
      <c r="N143" s="75"/>
      <c r="O143" s="192" t="s">
        <v>237</v>
      </c>
      <c r="P143" s="193" t="s">
        <v>248</v>
      </c>
      <c r="Q143" s="193" t="s">
        <v>237</v>
      </c>
      <c r="R143" s="193" t="s">
        <v>237</v>
      </c>
      <c r="S143" s="193" t="s">
        <v>237</v>
      </c>
      <c r="T143" s="193" t="s">
        <v>237</v>
      </c>
      <c r="U143" s="193" t="s">
        <v>237</v>
      </c>
      <c r="V143" s="193" t="s">
        <v>237</v>
      </c>
    </row>
    <row r="144" spans="1:22" ht="14.5" customHeight="1" x14ac:dyDescent="0.35">
      <c r="A144" s="78">
        <v>143</v>
      </c>
      <c r="B144" s="141" t="s">
        <v>596</v>
      </c>
      <c r="C144" s="107">
        <v>90719943</v>
      </c>
      <c r="D144" s="171" t="str">
        <f>_xlfn.XLOOKUP(C144,Sheet2!B:B,Sheet2!A:A)</f>
        <v>MukhulKrishna.MB@rockwellautomation.com</v>
      </c>
      <c r="E144" s="107" t="s">
        <v>232</v>
      </c>
      <c r="F144" s="107" t="s">
        <v>223</v>
      </c>
      <c r="G144" s="184"/>
      <c r="H144" s="151" t="s">
        <v>283</v>
      </c>
      <c r="I144" s="167">
        <f t="shared" si="7"/>
        <v>2.1666666666666665</v>
      </c>
      <c r="J144" s="163" t="s">
        <v>235</v>
      </c>
      <c r="K144" s="161">
        <v>45205</v>
      </c>
      <c r="L144" s="165">
        <f t="shared" ca="1" si="6"/>
        <v>2.67</v>
      </c>
      <c r="M144" s="148" t="s">
        <v>597</v>
      </c>
      <c r="N144" s="75"/>
      <c r="O144" s="192" t="s">
        <v>254</v>
      </c>
      <c r="P144" s="193" t="s">
        <v>237</v>
      </c>
      <c r="Q144" s="193" t="s">
        <v>237</v>
      </c>
      <c r="R144" s="193" t="s">
        <v>237</v>
      </c>
      <c r="S144" s="193" t="s">
        <v>237</v>
      </c>
      <c r="T144" s="193" t="s">
        <v>358</v>
      </c>
      <c r="U144" s="193" t="s">
        <v>237</v>
      </c>
      <c r="V144" s="193" t="s">
        <v>237</v>
      </c>
    </row>
    <row r="145" spans="1:22" ht="14.5" customHeight="1" x14ac:dyDescent="0.35">
      <c r="A145" s="78">
        <v>144</v>
      </c>
      <c r="B145" s="196" t="s">
        <v>598</v>
      </c>
      <c r="C145" s="107">
        <v>90719557</v>
      </c>
      <c r="D145" s="171" t="str">
        <f>_xlfn.XLOOKUP(C145,Sheet2!B:B,Sheet2!A:A)</f>
        <v>Divya.Mummasani@rockwellautomation.com</v>
      </c>
      <c r="E145" s="107" t="s">
        <v>232</v>
      </c>
      <c r="F145" s="107" t="s">
        <v>223</v>
      </c>
      <c r="G145" s="184"/>
      <c r="H145" s="151" t="s">
        <v>390</v>
      </c>
      <c r="I145" s="167">
        <f t="shared" si="7"/>
        <v>5.5</v>
      </c>
      <c r="J145" s="163" t="s">
        <v>235</v>
      </c>
      <c r="K145" s="161">
        <v>43983</v>
      </c>
      <c r="L145" s="165">
        <f t="shared" ca="1" si="6"/>
        <v>6</v>
      </c>
      <c r="M145" s="148" t="s">
        <v>423</v>
      </c>
      <c r="N145" s="75"/>
      <c r="O145" s="192" t="s">
        <v>237</v>
      </c>
      <c r="P145" s="193" t="s">
        <v>237</v>
      </c>
      <c r="Q145" s="193" t="s">
        <v>237</v>
      </c>
      <c r="R145" s="193" t="s">
        <v>237</v>
      </c>
      <c r="S145" s="193" t="s">
        <v>237</v>
      </c>
      <c r="T145" s="193" t="s">
        <v>237</v>
      </c>
      <c r="U145" s="193" t="s">
        <v>237</v>
      </c>
      <c r="V145" s="193" t="s">
        <v>237</v>
      </c>
    </row>
    <row r="146" spans="1:22" ht="14.5" customHeight="1" x14ac:dyDescent="0.35">
      <c r="A146" s="78">
        <v>145</v>
      </c>
      <c r="B146" s="141" t="s">
        <v>599</v>
      </c>
      <c r="C146" s="107">
        <v>90727247</v>
      </c>
      <c r="D146" s="171" t="str">
        <f>_xlfn.XLOOKUP(C146,Sheet2!B:B,Sheet2!A:A)</f>
        <v>naganagouda.kenchanagoudra@rockwellautomation.com</v>
      </c>
      <c r="E146" s="107" t="s">
        <v>232</v>
      </c>
      <c r="F146" s="107" t="s">
        <v>233</v>
      </c>
      <c r="G146" s="184"/>
      <c r="H146" s="151" t="s">
        <v>600</v>
      </c>
      <c r="I146" s="167">
        <f t="shared" si="7"/>
        <v>5.416666666666667</v>
      </c>
      <c r="J146" s="163" t="s">
        <v>601</v>
      </c>
      <c r="K146" s="161">
        <v>45481</v>
      </c>
      <c r="L146" s="165">
        <f t="shared" ca="1" si="6"/>
        <v>5.92</v>
      </c>
      <c r="M146" s="148" t="s">
        <v>602</v>
      </c>
      <c r="N146" s="75"/>
      <c r="O146" s="192" t="s">
        <v>254</v>
      </c>
      <c r="P146" s="193" t="s">
        <v>237</v>
      </c>
      <c r="Q146" s="193" t="s">
        <v>268</v>
      </c>
      <c r="R146" s="193" t="s">
        <v>237</v>
      </c>
      <c r="S146" s="193" t="s">
        <v>237</v>
      </c>
      <c r="T146" s="193" t="s">
        <v>237</v>
      </c>
      <c r="U146" s="193" t="s">
        <v>237</v>
      </c>
      <c r="V146" s="193" t="s">
        <v>237</v>
      </c>
    </row>
    <row r="147" spans="1:22" ht="14.5" customHeight="1" x14ac:dyDescent="0.35">
      <c r="A147" s="78">
        <v>146</v>
      </c>
      <c r="B147" s="141" t="s">
        <v>603</v>
      </c>
      <c r="C147" s="107">
        <v>90727181</v>
      </c>
      <c r="D147" s="171" t="str">
        <f>_xlfn.XLOOKUP(C147,Sheet2!B:B,Sheet2!A:A)</f>
        <v>Nakul.Kumar@rockwellautomation.com</v>
      </c>
      <c r="E147" s="107" t="s">
        <v>232</v>
      </c>
      <c r="F147" s="107" t="s">
        <v>233</v>
      </c>
      <c r="G147" s="184"/>
      <c r="H147" s="151" t="s">
        <v>234</v>
      </c>
      <c r="I147" s="167">
        <f t="shared" si="7"/>
        <v>1.3333333333333333</v>
      </c>
      <c r="J147" s="163" t="s">
        <v>235</v>
      </c>
      <c r="K147" s="161">
        <v>45488</v>
      </c>
      <c r="L147" s="165">
        <f t="shared" ca="1" si="6"/>
        <v>1.92</v>
      </c>
      <c r="M147" s="148" t="e">
        <v>#N/A</v>
      </c>
      <c r="N147" s="75"/>
      <c r="O147" s="192" t="s">
        <v>237</v>
      </c>
      <c r="P147" s="193" t="s">
        <v>237</v>
      </c>
      <c r="Q147" s="193" t="s">
        <v>237</v>
      </c>
      <c r="R147" s="193" t="s">
        <v>237</v>
      </c>
      <c r="S147" s="193" t="s">
        <v>237</v>
      </c>
      <c r="T147" s="193" t="s">
        <v>237</v>
      </c>
      <c r="U147" s="193" t="s">
        <v>237</v>
      </c>
      <c r="V147" s="193" t="s">
        <v>237</v>
      </c>
    </row>
    <row r="148" spans="1:22" ht="14.5" customHeight="1" x14ac:dyDescent="0.35">
      <c r="A148" s="78">
        <v>147</v>
      </c>
      <c r="B148" s="141" t="s">
        <v>604</v>
      </c>
      <c r="C148" s="107">
        <v>90727255</v>
      </c>
      <c r="D148" s="171" t="str">
        <f>_xlfn.XLOOKUP(C148,Sheet2!B:B,Sheet2!A:A)</f>
        <v>naresh.naresh@rockwellautomation.com</v>
      </c>
      <c r="E148" s="107" t="s">
        <v>249</v>
      </c>
      <c r="F148" s="107" t="s">
        <v>309</v>
      </c>
      <c r="G148" s="184" t="s">
        <v>245</v>
      </c>
      <c r="H148" s="151" t="s">
        <v>605</v>
      </c>
      <c r="I148" s="167">
        <f t="shared" si="7"/>
        <v>10.416666666666666</v>
      </c>
      <c r="J148" s="163" t="s">
        <v>606</v>
      </c>
      <c r="K148" s="161" t="e">
        <v>#N/A</v>
      </c>
      <c r="L148" s="165" t="e">
        <f t="shared" ca="1" si="6"/>
        <v>#N/A</v>
      </c>
      <c r="M148" s="148" t="s">
        <v>607</v>
      </c>
      <c r="N148" s="75"/>
      <c r="O148" s="192" t="s">
        <v>237</v>
      </c>
      <c r="P148" s="193" t="s">
        <v>237</v>
      </c>
      <c r="Q148" s="193" t="s">
        <v>237</v>
      </c>
      <c r="R148" s="193" t="s">
        <v>237</v>
      </c>
      <c r="S148" s="193" t="s">
        <v>237</v>
      </c>
      <c r="T148" s="193" t="s">
        <v>237</v>
      </c>
      <c r="U148" s="193" t="s">
        <v>237</v>
      </c>
      <c r="V148" s="193" t="s">
        <v>608</v>
      </c>
    </row>
    <row r="149" spans="1:22" ht="14.5" customHeight="1" x14ac:dyDescent="0.35">
      <c r="A149" s="78">
        <v>148</v>
      </c>
      <c r="B149" s="141" t="s">
        <v>609</v>
      </c>
      <c r="C149" s="107">
        <v>90719916</v>
      </c>
      <c r="D149" s="171" t="str">
        <f>_xlfn.XLOOKUP(C149,Sheet2!B:B,Sheet2!A:A)</f>
        <v>Naveen.MD@rockwellautomation.com</v>
      </c>
      <c r="E149" s="107" t="s">
        <v>232</v>
      </c>
      <c r="F149" s="107" t="s">
        <v>233</v>
      </c>
      <c r="G149" s="184"/>
      <c r="H149" s="151" t="s">
        <v>271</v>
      </c>
      <c r="I149" s="167">
        <f t="shared" si="7"/>
        <v>3.3333333333333335</v>
      </c>
      <c r="J149" s="163" t="s">
        <v>235</v>
      </c>
      <c r="K149" s="161">
        <v>44774</v>
      </c>
      <c r="L149" s="165">
        <f t="shared" ca="1" si="6"/>
        <v>3.83</v>
      </c>
      <c r="M149" s="148" t="s">
        <v>610</v>
      </c>
      <c r="N149" s="75"/>
      <c r="O149" s="192" t="s">
        <v>237</v>
      </c>
      <c r="P149" s="193" t="s">
        <v>237</v>
      </c>
      <c r="Q149" s="193" t="s">
        <v>237</v>
      </c>
      <c r="R149" s="193" t="s">
        <v>237</v>
      </c>
      <c r="S149" s="193" t="s">
        <v>237</v>
      </c>
      <c r="T149" s="193" t="s">
        <v>358</v>
      </c>
      <c r="U149" s="193" t="s">
        <v>237</v>
      </c>
      <c r="V149" s="193" t="s">
        <v>237</v>
      </c>
    </row>
    <row r="150" spans="1:22" ht="14.5" customHeight="1" x14ac:dyDescent="0.35">
      <c r="A150" s="78">
        <v>149</v>
      </c>
      <c r="B150" s="196" t="s">
        <v>194</v>
      </c>
      <c r="C150" s="107">
        <v>90719622</v>
      </c>
      <c r="D150" s="171" t="str">
        <f>_xlfn.XLOOKUP(C150,Sheet2!B:B,Sheet2!A:A)</f>
        <v>Nayan.Nikam@rockwellautomation.com</v>
      </c>
      <c r="E150" s="107" t="s">
        <v>232</v>
      </c>
      <c r="F150" s="107" t="s">
        <v>251</v>
      </c>
      <c r="G150" s="184"/>
      <c r="H150" s="151" t="s">
        <v>611</v>
      </c>
      <c r="I150" s="167">
        <f t="shared" si="7"/>
        <v>4.666666666666667</v>
      </c>
      <c r="J150" s="163" t="s">
        <v>235</v>
      </c>
      <c r="K150" s="161">
        <v>44270</v>
      </c>
      <c r="L150" s="165">
        <f t="shared" ca="1" si="6"/>
        <v>5.25</v>
      </c>
      <c r="M150" s="148" t="s">
        <v>612</v>
      </c>
      <c r="N150" s="75"/>
      <c r="O150" s="192" t="s">
        <v>237</v>
      </c>
      <c r="P150" s="193" t="s">
        <v>237</v>
      </c>
      <c r="Q150" s="193" t="s">
        <v>237</v>
      </c>
      <c r="R150" s="193" t="s">
        <v>237</v>
      </c>
      <c r="S150" s="193" t="s">
        <v>237</v>
      </c>
      <c r="T150" s="193" t="s">
        <v>237</v>
      </c>
      <c r="U150" s="193" t="s">
        <v>237</v>
      </c>
      <c r="V150" s="193" t="s">
        <v>237</v>
      </c>
    </row>
    <row r="151" spans="1:22" ht="14.5" customHeight="1" x14ac:dyDescent="0.35">
      <c r="A151" s="78">
        <v>150</v>
      </c>
      <c r="B151" s="176" t="s">
        <v>613</v>
      </c>
      <c r="C151" s="180">
        <v>90732331</v>
      </c>
      <c r="D151" s="171" t="str">
        <f>_xlfn.XLOOKUP(C151,Sheet2!B:B,Sheet2!A:A)</f>
        <v>Nayana.R@rockwellautomation.com</v>
      </c>
      <c r="E151" s="107" t="s">
        <v>232</v>
      </c>
      <c r="F151" s="107" t="s">
        <v>251</v>
      </c>
      <c r="G151" s="184" t="s">
        <v>245</v>
      </c>
      <c r="H151" s="151" t="s">
        <v>614</v>
      </c>
      <c r="I151" s="167">
        <f t="shared" si="7"/>
        <v>4.416666666666667</v>
      </c>
      <c r="J151" s="163" t="s">
        <v>518</v>
      </c>
      <c r="K151" s="161">
        <v>45898</v>
      </c>
      <c r="L151" s="165">
        <f t="shared" ca="1" si="6"/>
        <v>4.75</v>
      </c>
      <c r="M151" s="148" t="s">
        <v>615</v>
      </c>
      <c r="N151" s="75"/>
      <c r="O151" s="192" t="s">
        <v>254</v>
      </c>
      <c r="P151" s="193" t="s">
        <v>237</v>
      </c>
      <c r="Q151" s="193" t="s">
        <v>268</v>
      </c>
      <c r="R151" s="193" t="s">
        <v>237</v>
      </c>
      <c r="S151" s="193" t="s">
        <v>237</v>
      </c>
      <c r="T151" s="193" t="s">
        <v>237</v>
      </c>
      <c r="U151" s="193" t="s">
        <v>237</v>
      </c>
      <c r="V151" s="193" t="s">
        <v>237</v>
      </c>
    </row>
    <row r="152" spans="1:22" ht="14.5" customHeight="1" x14ac:dyDescent="0.35">
      <c r="A152" s="78">
        <v>151</v>
      </c>
      <c r="B152" s="141" t="s">
        <v>184</v>
      </c>
      <c r="C152" s="107">
        <v>90719657</v>
      </c>
      <c r="D152" s="171" t="str">
        <f>_xlfn.XLOOKUP(C152,Sheet2!B:B,Sheet2!A:A)</f>
        <v>KowshikBasha.Netturi@rockwellautomation.com</v>
      </c>
      <c r="E152" s="107" t="s">
        <v>232</v>
      </c>
      <c r="F152" s="107" t="s">
        <v>251</v>
      </c>
      <c r="G152" s="184"/>
      <c r="H152" s="151" t="s">
        <v>444</v>
      </c>
      <c r="I152" s="167">
        <f t="shared" si="7"/>
        <v>4.5</v>
      </c>
      <c r="J152" s="163" t="s">
        <v>235</v>
      </c>
      <c r="K152" s="161">
        <v>44348</v>
      </c>
      <c r="L152" s="165">
        <f t="shared" ca="1" si="6"/>
        <v>5</v>
      </c>
      <c r="M152" s="148" t="s">
        <v>616</v>
      </c>
      <c r="N152" s="75"/>
      <c r="O152" s="192" t="s">
        <v>254</v>
      </c>
      <c r="P152" s="193" t="s">
        <v>237</v>
      </c>
      <c r="Q152" s="193" t="s">
        <v>237</v>
      </c>
      <c r="R152" s="193" t="s">
        <v>237</v>
      </c>
      <c r="S152" s="193" t="s">
        <v>237</v>
      </c>
      <c r="T152" s="193" t="s">
        <v>237</v>
      </c>
      <c r="U152" s="193" t="s">
        <v>237</v>
      </c>
      <c r="V152" s="193" t="s">
        <v>237</v>
      </c>
    </row>
    <row r="153" spans="1:22" ht="14.5" customHeight="1" x14ac:dyDescent="0.35">
      <c r="A153" s="78">
        <v>152</v>
      </c>
      <c r="B153" s="154" t="s">
        <v>617</v>
      </c>
      <c r="C153" s="107">
        <v>90725487</v>
      </c>
      <c r="D153" s="171" t="str">
        <f>_xlfn.XLOOKUP(C153,Sheet2!B:B,Sheet2!A:A)</f>
        <v>NikhilHolla.R@rockwellautomation.com</v>
      </c>
      <c r="E153" s="107" t="s">
        <v>232</v>
      </c>
      <c r="F153" s="107" t="s">
        <v>239</v>
      </c>
      <c r="G153" s="184"/>
      <c r="H153" s="151" t="s">
        <v>242</v>
      </c>
      <c r="I153" s="167" t="str">
        <f t="shared" si="7"/>
        <v/>
      </c>
      <c r="J153" s="163" t="e">
        <v>#N/A</v>
      </c>
      <c r="K153" s="161" t="e">
        <v>#N/A</v>
      </c>
      <c r="L153" s="165" t="e">
        <f t="shared" ca="1" si="6"/>
        <v>#N/A</v>
      </c>
      <c r="M153" s="148" t="s">
        <v>618</v>
      </c>
      <c r="N153" s="75"/>
      <c r="O153" s="192" t="s">
        <v>237</v>
      </c>
      <c r="P153" s="193" t="s">
        <v>237</v>
      </c>
      <c r="Q153" s="193" t="s">
        <v>237</v>
      </c>
      <c r="R153" s="193" t="s">
        <v>237</v>
      </c>
      <c r="S153" s="193" t="s">
        <v>227</v>
      </c>
      <c r="T153" s="193" t="s">
        <v>237</v>
      </c>
      <c r="U153" s="193" t="s">
        <v>237</v>
      </c>
      <c r="V153" s="193" t="s">
        <v>237</v>
      </c>
    </row>
    <row r="154" spans="1:22" ht="14.5" customHeight="1" x14ac:dyDescent="0.35">
      <c r="A154" s="78">
        <v>153</v>
      </c>
      <c r="B154" s="154" t="s">
        <v>204</v>
      </c>
      <c r="C154" s="107">
        <v>90719211</v>
      </c>
      <c r="D154" s="171" t="str">
        <f>_xlfn.XLOOKUP(C154,Sheet2!B:B,Sheet2!A:A)</f>
        <v>Nisfan.Sabith@rockwellautomation.com</v>
      </c>
      <c r="E154" s="107" t="s">
        <v>308</v>
      </c>
      <c r="F154" s="107" t="s">
        <v>309</v>
      </c>
      <c r="G154" s="184"/>
      <c r="H154" s="151" t="s">
        <v>619</v>
      </c>
      <c r="I154" s="167">
        <f t="shared" si="7"/>
        <v>10.083333333333334</v>
      </c>
      <c r="J154" s="163" t="s">
        <v>235</v>
      </c>
      <c r="K154" s="161">
        <v>42296</v>
      </c>
      <c r="L154" s="165">
        <f t="shared" ca="1" si="6"/>
        <v>10.67</v>
      </c>
      <c r="M154" s="148" t="s">
        <v>620</v>
      </c>
      <c r="N154" s="75"/>
      <c r="O154" s="192" t="s">
        <v>237</v>
      </c>
      <c r="P154" s="193" t="s">
        <v>237</v>
      </c>
      <c r="Q154" s="193" t="s">
        <v>268</v>
      </c>
      <c r="R154" s="193" t="s">
        <v>237</v>
      </c>
      <c r="S154" s="193" t="s">
        <v>237</v>
      </c>
      <c r="T154" s="193" t="s">
        <v>358</v>
      </c>
      <c r="U154" s="193" t="s">
        <v>237</v>
      </c>
      <c r="V154" s="193" t="s">
        <v>621</v>
      </c>
    </row>
    <row r="155" spans="1:22" ht="14.5" customHeight="1" x14ac:dyDescent="0.35">
      <c r="A155" s="78">
        <v>154</v>
      </c>
      <c r="B155" s="141" t="s">
        <v>622</v>
      </c>
      <c r="C155" s="107">
        <v>90719482</v>
      </c>
      <c r="D155" s="171" t="str">
        <f>_xlfn.XLOOKUP(C155,Sheet2!B:B,Sheet2!A:A)</f>
        <v>Niyas.Ali@rockwellautomation.com</v>
      </c>
      <c r="E155" s="107" t="s">
        <v>232</v>
      </c>
      <c r="F155" s="107" t="s">
        <v>223</v>
      </c>
      <c r="G155" s="184" t="s">
        <v>245</v>
      </c>
      <c r="H155" s="151" t="s">
        <v>501</v>
      </c>
      <c r="I155" s="167">
        <f t="shared" si="7"/>
        <v>6.583333333333333</v>
      </c>
      <c r="J155" s="163" t="s">
        <v>235</v>
      </c>
      <c r="K155" s="161">
        <v>43591</v>
      </c>
      <c r="L155" s="165">
        <f t="shared" ca="1" si="6"/>
        <v>7.08</v>
      </c>
      <c r="M155" s="148" t="s">
        <v>623</v>
      </c>
      <c r="N155" s="75"/>
      <c r="O155" s="192" t="s">
        <v>254</v>
      </c>
      <c r="P155" s="193" t="s">
        <v>237</v>
      </c>
      <c r="Q155" s="193" t="s">
        <v>237</v>
      </c>
      <c r="R155" s="193" t="s">
        <v>237</v>
      </c>
      <c r="S155" s="193" t="s">
        <v>237</v>
      </c>
      <c r="T155" s="193" t="s">
        <v>237</v>
      </c>
      <c r="U155" s="193" t="s">
        <v>237</v>
      </c>
      <c r="V155" s="193" t="s">
        <v>264</v>
      </c>
    </row>
    <row r="156" spans="1:22" ht="14.5" customHeight="1" x14ac:dyDescent="0.35">
      <c r="A156" s="78">
        <v>155</v>
      </c>
      <c r="B156" s="141" t="s">
        <v>624</v>
      </c>
      <c r="C156" s="107">
        <v>90719826</v>
      </c>
      <c r="D156" s="171" t="str">
        <f>_xlfn.XLOOKUP(C156,Sheet2!B:B,Sheet2!A:A)</f>
        <v>Charitha.P@rockwellautomation.com</v>
      </c>
      <c r="E156" s="107" t="s">
        <v>232</v>
      </c>
      <c r="F156" s="107" t="s">
        <v>223</v>
      </c>
      <c r="G156" s="184" t="s">
        <v>245</v>
      </c>
      <c r="H156" s="151" t="s">
        <v>297</v>
      </c>
      <c r="I156" s="167">
        <f t="shared" si="7"/>
        <v>3.4166666666666665</v>
      </c>
      <c r="J156" s="163" t="s">
        <v>235</v>
      </c>
      <c r="K156" s="161">
        <v>44739</v>
      </c>
      <c r="L156" s="165">
        <f t="shared" ca="1" si="6"/>
        <v>3.92</v>
      </c>
      <c r="M156" s="148" t="e">
        <v>#N/A</v>
      </c>
      <c r="N156" s="75"/>
      <c r="O156" s="192" t="s">
        <v>254</v>
      </c>
      <c r="P156" s="193" t="s">
        <v>237</v>
      </c>
      <c r="Q156" s="193" t="s">
        <v>255</v>
      </c>
      <c r="R156" s="193" t="s">
        <v>237</v>
      </c>
      <c r="S156" s="193" t="s">
        <v>237</v>
      </c>
      <c r="T156" s="193" t="s">
        <v>237</v>
      </c>
      <c r="U156" s="193" t="s">
        <v>237</v>
      </c>
      <c r="V156" s="193" t="s">
        <v>237</v>
      </c>
    </row>
    <row r="157" spans="1:22" ht="14.5" customHeight="1" x14ac:dyDescent="0.35">
      <c r="A157" s="78">
        <v>156</v>
      </c>
      <c r="B157" s="141" t="s">
        <v>625</v>
      </c>
      <c r="C157" s="107">
        <v>90718952</v>
      </c>
      <c r="D157" s="171" t="str">
        <f>_xlfn.XLOOKUP(C157,Sheet2!B:B,Sheet2!A:A)</f>
        <v>Kishore.PG@rockwellautomation.com</v>
      </c>
      <c r="E157" s="107" t="s">
        <v>232</v>
      </c>
      <c r="F157" s="107" t="s">
        <v>300</v>
      </c>
      <c r="G157" s="184"/>
      <c r="H157" s="151" t="s">
        <v>626</v>
      </c>
      <c r="I157" s="167">
        <f t="shared" si="7"/>
        <v>10.75</v>
      </c>
      <c r="J157" s="163" t="s">
        <v>627</v>
      </c>
      <c r="K157" s="161">
        <v>43430</v>
      </c>
      <c r="L157" s="165">
        <f t="shared" ca="1" si="6"/>
        <v>11.25</v>
      </c>
      <c r="M157" s="148" t="s">
        <v>628</v>
      </c>
      <c r="N157" s="75"/>
      <c r="O157" s="192" t="s">
        <v>237</v>
      </c>
      <c r="P157" s="193" t="s">
        <v>237</v>
      </c>
      <c r="Q157" s="193" t="s">
        <v>237</v>
      </c>
      <c r="R157" s="193" t="s">
        <v>237</v>
      </c>
      <c r="S157" s="193" t="s">
        <v>237</v>
      </c>
      <c r="T157" s="193" t="s">
        <v>237</v>
      </c>
      <c r="U157" s="193" t="s">
        <v>300</v>
      </c>
      <c r="V157" s="193" t="s">
        <v>264</v>
      </c>
    </row>
    <row r="158" spans="1:22" ht="14.5" customHeight="1" x14ac:dyDescent="0.35">
      <c r="A158" s="78">
        <v>157</v>
      </c>
      <c r="B158" s="141" t="s">
        <v>629</v>
      </c>
      <c r="C158" s="107">
        <v>90719666</v>
      </c>
      <c r="D158" s="171" t="str">
        <f>_xlfn.XLOOKUP(C158,Sheet2!B:B,Sheet2!A:A)</f>
        <v>Paramasivam.S@rockwellautomation.com</v>
      </c>
      <c r="E158" s="107" t="s">
        <v>232</v>
      </c>
      <c r="F158" s="107" t="s">
        <v>251</v>
      </c>
      <c r="G158" s="184"/>
      <c r="H158" s="151" t="s">
        <v>285</v>
      </c>
      <c r="I158" s="167">
        <f t="shared" si="7"/>
        <v>4.583333333333333</v>
      </c>
      <c r="J158" s="163" t="s">
        <v>235</v>
      </c>
      <c r="K158" s="161">
        <v>44298</v>
      </c>
      <c r="L158" s="165">
        <f t="shared" ca="1" si="6"/>
        <v>5.17</v>
      </c>
      <c r="M158" s="148" t="e">
        <v>#N/A</v>
      </c>
      <c r="N158" s="75"/>
      <c r="O158" s="192" t="s">
        <v>254</v>
      </c>
      <c r="P158" s="193" t="s">
        <v>237</v>
      </c>
      <c r="Q158" s="193" t="s">
        <v>237</v>
      </c>
      <c r="R158" s="193" t="s">
        <v>237</v>
      </c>
      <c r="S158" s="193" t="s">
        <v>237</v>
      </c>
      <c r="T158" s="193" t="s">
        <v>237</v>
      </c>
      <c r="U158" s="193" t="s">
        <v>237</v>
      </c>
      <c r="V158" s="193" t="s">
        <v>237</v>
      </c>
    </row>
    <row r="159" spans="1:22" ht="14.5" customHeight="1" x14ac:dyDescent="0.35">
      <c r="A159" s="78">
        <v>158</v>
      </c>
      <c r="B159" s="141" t="s">
        <v>630</v>
      </c>
      <c r="C159" s="107">
        <v>90719008</v>
      </c>
      <c r="D159" s="171" t="str">
        <f>_xlfn.XLOOKUP(C159,Sheet2!B:B,Sheet2!A:A)</f>
        <v>Paresh.Mehra@rockwellautomation.com</v>
      </c>
      <c r="E159" s="107" t="s">
        <v>308</v>
      </c>
      <c r="F159" s="107" t="s">
        <v>309</v>
      </c>
      <c r="G159" s="184"/>
      <c r="H159" s="151" t="s">
        <v>631</v>
      </c>
      <c r="I159" s="167">
        <f t="shared" si="7"/>
        <v>13.25</v>
      </c>
      <c r="J159" s="163" t="s">
        <v>632</v>
      </c>
      <c r="K159" s="161">
        <v>43713</v>
      </c>
      <c r="L159" s="165">
        <f t="shared" ca="1" si="6"/>
        <v>13.75</v>
      </c>
      <c r="M159" s="148" t="s">
        <v>633</v>
      </c>
      <c r="N159" s="75"/>
      <c r="O159" s="192" t="s">
        <v>237</v>
      </c>
      <c r="P159" s="193" t="s">
        <v>237</v>
      </c>
      <c r="Q159" s="193" t="s">
        <v>237</v>
      </c>
      <c r="R159" s="193" t="s">
        <v>237</v>
      </c>
      <c r="S159" s="193" t="s">
        <v>237</v>
      </c>
      <c r="T159" s="193" t="s">
        <v>237</v>
      </c>
      <c r="U159" s="193" t="s">
        <v>237</v>
      </c>
      <c r="V159" s="193" t="s">
        <v>320</v>
      </c>
    </row>
    <row r="160" spans="1:22" ht="14.5" customHeight="1" x14ac:dyDescent="0.35">
      <c r="A160" s="78">
        <v>159</v>
      </c>
      <c r="B160" s="141" t="s">
        <v>634</v>
      </c>
      <c r="C160" s="107">
        <v>90719708</v>
      </c>
      <c r="D160" s="171" t="str">
        <f>_xlfn.XLOOKUP(C160,Sheet2!B:B,Sheet2!A:A)</f>
        <v>Paritosh.Sonkusare@rockwellautomation.com</v>
      </c>
      <c r="E160" s="107" t="s">
        <v>232</v>
      </c>
      <c r="F160" s="107" t="s">
        <v>239</v>
      </c>
      <c r="G160" s="184"/>
      <c r="H160" s="151" t="s">
        <v>635</v>
      </c>
      <c r="I160" s="167">
        <f t="shared" si="7"/>
        <v>4.083333333333333</v>
      </c>
      <c r="J160" s="163" t="s">
        <v>235</v>
      </c>
      <c r="K160" s="161">
        <v>44494</v>
      </c>
      <c r="L160" s="165">
        <f t="shared" ca="1" si="6"/>
        <v>4.58</v>
      </c>
      <c r="M160" s="148" t="s">
        <v>636</v>
      </c>
      <c r="N160" s="75"/>
      <c r="O160" s="192" t="s">
        <v>254</v>
      </c>
      <c r="P160" s="193" t="s">
        <v>237</v>
      </c>
      <c r="Q160" s="193" t="s">
        <v>268</v>
      </c>
      <c r="R160" s="193" t="s">
        <v>237</v>
      </c>
      <c r="S160" s="193" t="s">
        <v>227</v>
      </c>
      <c r="T160" s="193" t="s">
        <v>237</v>
      </c>
      <c r="U160" s="193" t="s">
        <v>237</v>
      </c>
      <c r="V160" s="193" t="s">
        <v>237</v>
      </c>
    </row>
    <row r="161" spans="1:22" ht="14.5" customHeight="1" x14ac:dyDescent="0.35">
      <c r="A161" s="78">
        <v>160</v>
      </c>
      <c r="B161" s="141" t="s">
        <v>637</v>
      </c>
      <c r="C161" s="107">
        <v>90725460</v>
      </c>
      <c r="D161" s="171" t="str">
        <f>_xlfn.XLOOKUP(C161,Sheet2!B:B,Sheet2!A:A)</f>
        <v>Pavanendu.M@rockwellautomation.com</v>
      </c>
      <c r="E161" s="107" t="s">
        <v>232</v>
      </c>
      <c r="F161" s="107" t="s">
        <v>638</v>
      </c>
      <c r="G161" s="184"/>
      <c r="H161" s="151" t="s">
        <v>242</v>
      </c>
      <c r="I161" s="167" t="str">
        <f t="shared" si="7"/>
        <v/>
      </c>
      <c r="J161" s="163">
        <v>0</v>
      </c>
      <c r="K161" s="161" t="e">
        <v>#N/A</v>
      </c>
      <c r="L161" s="165" t="e">
        <f t="shared" ca="1" si="6"/>
        <v>#N/A</v>
      </c>
      <c r="M161" s="148" t="e">
        <v>#N/A</v>
      </c>
      <c r="N161" s="75"/>
      <c r="O161" s="192" t="s">
        <v>273</v>
      </c>
      <c r="P161" s="193" t="s">
        <v>237</v>
      </c>
      <c r="Q161" s="193" t="s">
        <v>237</v>
      </c>
      <c r="R161" s="193" t="s">
        <v>237</v>
      </c>
      <c r="S161" s="193" t="s">
        <v>237</v>
      </c>
      <c r="T161" s="193" t="s">
        <v>237</v>
      </c>
      <c r="U161" s="193" t="s">
        <v>237</v>
      </c>
      <c r="V161" s="193" t="s">
        <v>237</v>
      </c>
    </row>
    <row r="162" spans="1:22" ht="14.5" customHeight="1" x14ac:dyDescent="0.35">
      <c r="A162" s="78">
        <v>161</v>
      </c>
      <c r="B162" s="196" t="s">
        <v>639</v>
      </c>
      <c r="C162" s="107">
        <v>90719649</v>
      </c>
      <c r="D162" s="171" t="str">
        <f>_xlfn.XLOOKUP(C162,Sheet2!B:B,Sheet2!A:A)</f>
        <v>Amit.Pawar@rockwellautomation.com</v>
      </c>
      <c r="E162" s="107" t="s">
        <v>232</v>
      </c>
      <c r="F162" s="107" t="s">
        <v>314</v>
      </c>
      <c r="G162" s="184"/>
      <c r="H162" s="151" t="s">
        <v>501</v>
      </c>
      <c r="I162" s="167">
        <f t="shared" si="7"/>
        <v>6.583333333333333</v>
      </c>
      <c r="J162" s="163" t="s">
        <v>543</v>
      </c>
      <c r="K162" s="161">
        <v>44348</v>
      </c>
      <c r="L162" s="165">
        <f t="shared" ca="1" si="6"/>
        <v>7.08</v>
      </c>
      <c r="M162" s="148" t="s">
        <v>640</v>
      </c>
      <c r="N162" s="75"/>
      <c r="O162" s="192" t="s">
        <v>237</v>
      </c>
      <c r="P162" s="193" t="s">
        <v>237</v>
      </c>
      <c r="Q162" s="193" t="s">
        <v>237</v>
      </c>
      <c r="R162" s="193" t="s">
        <v>237</v>
      </c>
      <c r="S162" s="193" t="s">
        <v>237</v>
      </c>
      <c r="T162" s="193" t="s">
        <v>237</v>
      </c>
      <c r="U162" s="193" t="s">
        <v>237</v>
      </c>
      <c r="V162" s="193" t="s">
        <v>237</v>
      </c>
    </row>
    <row r="163" spans="1:22" ht="14.5" customHeight="1" x14ac:dyDescent="0.35">
      <c r="A163" s="78">
        <v>162</v>
      </c>
      <c r="B163" s="141" t="s">
        <v>641</v>
      </c>
      <c r="C163" s="107">
        <v>90719413</v>
      </c>
      <c r="D163" s="171" t="str">
        <f>_xlfn.XLOOKUP(C163,Sheet2!B:B,Sheet2!A:A)</f>
        <v>NoushadBasha.Peddadevara@rockwellautomation.com</v>
      </c>
      <c r="E163" s="107" t="s">
        <v>232</v>
      </c>
      <c r="F163" s="107" t="s">
        <v>239</v>
      </c>
      <c r="G163" s="184"/>
      <c r="H163" s="151" t="s">
        <v>360</v>
      </c>
      <c r="I163" s="167">
        <f t="shared" si="7"/>
        <v>7.25</v>
      </c>
      <c r="J163" s="163" t="s">
        <v>235</v>
      </c>
      <c r="K163" s="161">
        <v>43328</v>
      </c>
      <c r="L163" s="165">
        <f t="shared" ca="1" si="6"/>
        <v>7.83</v>
      </c>
      <c r="M163" s="148" t="e">
        <v>#N/A</v>
      </c>
      <c r="N163" s="75"/>
      <c r="O163" s="192" t="s">
        <v>237</v>
      </c>
      <c r="P163" s="193" t="s">
        <v>237</v>
      </c>
      <c r="Q163" s="193" t="s">
        <v>237</v>
      </c>
      <c r="R163" s="193" t="s">
        <v>237</v>
      </c>
      <c r="S163" s="193" t="s">
        <v>227</v>
      </c>
      <c r="T163" s="193" t="s">
        <v>237</v>
      </c>
      <c r="U163" s="193" t="s">
        <v>237</v>
      </c>
      <c r="V163" s="193" t="s">
        <v>237</v>
      </c>
    </row>
    <row r="164" spans="1:22" ht="14.5" customHeight="1" x14ac:dyDescent="0.35">
      <c r="A164" s="78">
        <v>163</v>
      </c>
      <c r="B164" s="176" t="s">
        <v>642</v>
      </c>
      <c r="C164" s="180">
        <v>90732297</v>
      </c>
      <c r="D164" s="171" t="str">
        <f>_xlfn.XLOOKUP(C164,Sheet2!B:B,Sheet2!A:A)</f>
        <v>PONNANDHAKUMAR.P@rockwellautomation.com</v>
      </c>
      <c r="E164" s="107" t="s">
        <v>232</v>
      </c>
      <c r="F164" s="107" t="s">
        <v>239</v>
      </c>
      <c r="G164" s="184"/>
      <c r="H164" s="151" t="s">
        <v>246</v>
      </c>
      <c r="I164" s="167">
        <f t="shared" si="7"/>
        <v>0.25</v>
      </c>
      <c r="J164" s="163" t="e">
        <v>#N/A</v>
      </c>
      <c r="K164" s="161">
        <v>45891</v>
      </c>
      <c r="L164" s="165" t="e">
        <f t="shared" ca="1" si="6"/>
        <v>#N/A</v>
      </c>
      <c r="M164" s="148" t="e">
        <v>#N/A</v>
      </c>
      <c r="N164" s="75"/>
      <c r="O164" s="192" t="s">
        <v>254</v>
      </c>
      <c r="P164" s="193" t="s">
        <v>237</v>
      </c>
      <c r="Q164" s="193" t="s">
        <v>268</v>
      </c>
      <c r="R164" s="193" t="s">
        <v>237</v>
      </c>
      <c r="S164" s="193" t="s">
        <v>227</v>
      </c>
      <c r="T164" s="193" t="s">
        <v>237</v>
      </c>
      <c r="U164" s="193" t="s">
        <v>237</v>
      </c>
      <c r="V164" s="193" t="s">
        <v>237</v>
      </c>
    </row>
    <row r="165" spans="1:22" ht="14.5" customHeight="1" x14ac:dyDescent="0.35">
      <c r="A165" s="78">
        <v>164</v>
      </c>
      <c r="B165" s="141" t="s">
        <v>153</v>
      </c>
      <c r="C165" s="107">
        <v>90719629</v>
      </c>
      <c r="D165" s="172" t="s">
        <v>643</v>
      </c>
      <c r="E165" s="107" t="s">
        <v>232</v>
      </c>
      <c r="F165" s="107" t="s">
        <v>244</v>
      </c>
      <c r="G165" s="184" t="s">
        <v>245</v>
      </c>
      <c r="H165" s="151" t="s">
        <v>644</v>
      </c>
      <c r="I165" s="167">
        <f t="shared" si="7"/>
        <v>7.416666666666667</v>
      </c>
      <c r="J165" s="163" t="s">
        <v>645</v>
      </c>
      <c r="K165" s="161" t="e">
        <v>#N/A</v>
      </c>
      <c r="L165" s="165" t="e">
        <f t="shared" ca="1" si="6"/>
        <v>#N/A</v>
      </c>
      <c r="M165" s="148" t="s">
        <v>646</v>
      </c>
      <c r="N165" s="75"/>
      <c r="O165" s="192" t="s">
        <v>254</v>
      </c>
      <c r="P165" s="193" t="s">
        <v>248</v>
      </c>
      <c r="Q165" s="193" t="s">
        <v>237</v>
      </c>
      <c r="R165" s="193" t="s">
        <v>237</v>
      </c>
      <c r="S165" s="193" t="s">
        <v>237</v>
      </c>
      <c r="T165" s="193" t="s">
        <v>237</v>
      </c>
      <c r="U165" s="193" t="s">
        <v>237</v>
      </c>
      <c r="V165" s="193" t="s">
        <v>237</v>
      </c>
    </row>
    <row r="166" spans="1:22" ht="14.5" customHeight="1" x14ac:dyDescent="0.35">
      <c r="A166" s="78">
        <v>165</v>
      </c>
      <c r="B166" s="141" t="s">
        <v>647</v>
      </c>
      <c r="C166" s="107">
        <v>90724644</v>
      </c>
      <c r="D166" s="171" t="str">
        <f>_xlfn.XLOOKUP(C166,Sheet2!B:B,Sheet2!A:A)</f>
        <v>PRACHIRAJ.SINGH@rockwellautomation.com</v>
      </c>
      <c r="E166" s="107" t="s">
        <v>232</v>
      </c>
      <c r="F166" s="107" t="s">
        <v>233</v>
      </c>
      <c r="G166" s="184"/>
      <c r="H166" s="151" t="s">
        <v>234</v>
      </c>
      <c r="I166" s="167">
        <f t="shared" si="7"/>
        <v>1.3333333333333333</v>
      </c>
      <c r="J166" s="163" t="s">
        <v>235</v>
      </c>
      <c r="K166" s="161">
        <v>45490</v>
      </c>
      <c r="L166" s="165">
        <f t="shared" ca="1" si="6"/>
        <v>1.92</v>
      </c>
      <c r="M166" s="148" t="e">
        <v>#N/A</v>
      </c>
      <c r="N166" s="75"/>
      <c r="O166" s="192" t="s">
        <v>254</v>
      </c>
      <c r="P166" s="193" t="s">
        <v>237</v>
      </c>
      <c r="Q166" s="193" t="s">
        <v>373</v>
      </c>
      <c r="R166" s="193" t="s">
        <v>237</v>
      </c>
      <c r="S166" s="193" t="s">
        <v>237</v>
      </c>
      <c r="T166" s="193" t="s">
        <v>555</v>
      </c>
      <c r="U166" s="193" t="s">
        <v>237</v>
      </c>
      <c r="V166" s="193" t="s">
        <v>237</v>
      </c>
    </row>
    <row r="167" spans="1:22" ht="14.5" customHeight="1" x14ac:dyDescent="0.35">
      <c r="A167" s="78">
        <v>166</v>
      </c>
      <c r="B167" s="141" t="s">
        <v>192</v>
      </c>
      <c r="C167" s="107">
        <v>90719446</v>
      </c>
      <c r="D167" s="171" t="str">
        <f>_xlfn.XLOOKUP(C167,Sheet2!B:B,Sheet2!A:A)</f>
        <v>Pranjay.Singh@rockwellautomation.com</v>
      </c>
      <c r="E167" s="107" t="s">
        <v>232</v>
      </c>
      <c r="F167" s="107" t="s">
        <v>251</v>
      </c>
      <c r="G167" s="184" t="s">
        <v>245</v>
      </c>
      <c r="H167" s="151" t="s">
        <v>265</v>
      </c>
      <c r="I167" s="167">
        <f t="shared" si="7"/>
        <v>6.833333333333333</v>
      </c>
      <c r="J167" s="163" t="s">
        <v>235</v>
      </c>
      <c r="K167" s="161">
        <v>43500</v>
      </c>
      <c r="L167" s="165">
        <f t="shared" ca="1" si="6"/>
        <v>7.33</v>
      </c>
      <c r="M167" s="148" t="s">
        <v>648</v>
      </c>
      <c r="N167" s="75"/>
      <c r="O167" s="192" t="s">
        <v>254</v>
      </c>
      <c r="P167" s="193" t="s">
        <v>237</v>
      </c>
      <c r="Q167" s="193" t="s">
        <v>237</v>
      </c>
      <c r="R167" s="193" t="s">
        <v>237</v>
      </c>
      <c r="S167" s="193" t="s">
        <v>237</v>
      </c>
      <c r="T167" s="193" t="s">
        <v>237</v>
      </c>
      <c r="U167" s="193" t="s">
        <v>237</v>
      </c>
      <c r="V167" s="193" t="s">
        <v>237</v>
      </c>
    </row>
    <row r="168" spans="1:22" ht="14.5" customHeight="1" x14ac:dyDescent="0.35">
      <c r="A168" s="78">
        <v>167</v>
      </c>
      <c r="B168" s="141" t="s">
        <v>649</v>
      </c>
      <c r="C168" s="107">
        <v>90719643</v>
      </c>
      <c r="D168" s="171" t="str">
        <f>_xlfn.XLOOKUP(C168,Sheet2!B:B,Sheet2!A:A)</f>
        <v>Prapti.Buragohain@rockwellautomation.com</v>
      </c>
      <c r="E168" s="107" t="s">
        <v>232</v>
      </c>
      <c r="F168" s="107" t="s">
        <v>300</v>
      </c>
      <c r="G168" s="184"/>
      <c r="H168" s="151" t="s">
        <v>611</v>
      </c>
      <c r="I168" s="167">
        <f t="shared" si="7"/>
        <v>4.666666666666667</v>
      </c>
      <c r="J168" s="163" t="s">
        <v>235</v>
      </c>
      <c r="K168" s="161">
        <v>44291</v>
      </c>
      <c r="L168" s="165">
        <f t="shared" ca="1" si="6"/>
        <v>5.17</v>
      </c>
      <c r="M168" s="148" t="e">
        <v>#N/A</v>
      </c>
      <c r="N168" s="75"/>
      <c r="O168" s="192" t="s">
        <v>254</v>
      </c>
      <c r="P168" s="193" t="s">
        <v>237</v>
      </c>
      <c r="Q168" s="193" t="s">
        <v>237</v>
      </c>
      <c r="R168" s="193" t="s">
        <v>237</v>
      </c>
      <c r="S168" s="193" t="s">
        <v>237</v>
      </c>
      <c r="T168" s="193" t="s">
        <v>237</v>
      </c>
      <c r="U168" s="193" t="s">
        <v>300</v>
      </c>
      <c r="V168" s="193" t="s">
        <v>237</v>
      </c>
    </row>
    <row r="169" spans="1:22" ht="14.5" customHeight="1" x14ac:dyDescent="0.35">
      <c r="A169" s="78">
        <v>168</v>
      </c>
      <c r="B169" s="141" t="s">
        <v>650</v>
      </c>
      <c r="C169" s="107">
        <v>90719518</v>
      </c>
      <c r="D169" s="171" t="str">
        <f>_xlfn.XLOOKUP(C169,Sheet2!B:B,Sheet2!A:A)</f>
        <v>Prashant.Badwe@rockwellautomation.com</v>
      </c>
      <c r="E169" s="107" t="s">
        <v>232</v>
      </c>
      <c r="F169" s="107" t="s">
        <v>251</v>
      </c>
      <c r="G169" s="184"/>
      <c r="H169" s="151" t="s">
        <v>404</v>
      </c>
      <c r="I169" s="167">
        <f t="shared" si="7"/>
        <v>7.75</v>
      </c>
      <c r="J169" s="163" t="s">
        <v>538</v>
      </c>
      <c r="K169" s="161">
        <v>43767</v>
      </c>
      <c r="L169" s="165">
        <f t="shared" ca="1" si="6"/>
        <v>8.25</v>
      </c>
      <c r="M169" s="148" t="s">
        <v>651</v>
      </c>
      <c r="N169" s="75"/>
      <c r="O169" s="192" t="s">
        <v>254</v>
      </c>
      <c r="P169" s="193" t="s">
        <v>237</v>
      </c>
      <c r="Q169" s="193" t="s">
        <v>237</v>
      </c>
      <c r="R169" s="193" t="s">
        <v>237</v>
      </c>
      <c r="S169" s="193" t="s">
        <v>237</v>
      </c>
      <c r="T169" s="193" t="s">
        <v>237</v>
      </c>
      <c r="U169" s="193" t="s">
        <v>237</v>
      </c>
      <c r="V169" s="193" t="s">
        <v>264</v>
      </c>
    </row>
    <row r="170" spans="1:22" ht="14.5" customHeight="1" x14ac:dyDescent="0.35">
      <c r="A170" s="78">
        <v>169</v>
      </c>
      <c r="B170" s="141" t="s">
        <v>652</v>
      </c>
      <c r="C170" s="107">
        <v>90719621</v>
      </c>
      <c r="D170" s="171" t="str">
        <f>_xlfn.XLOOKUP(C170,Sheet2!B:B,Sheet2!A:A)</f>
        <v>Prashant.Shakya@rockwellautomation.com</v>
      </c>
      <c r="E170" s="107" t="s">
        <v>232</v>
      </c>
      <c r="F170" s="107" t="s">
        <v>239</v>
      </c>
      <c r="G170" s="184"/>
      <c r="H170" s="151" t="s">
        <v>653</v>
      </c>
      <c r="I170" s="167">
        <f t="shared" si="7"/>
        <v>4.75</v>
      </c>
      <c r="J170" s="163" t="s">
        <v>235</v>
      </c>
      <c r="K170" s="161">
        <v>44249</v>
      </c>
      <c r="L170" s="165">
        <f t="shared" ca="1" si="6"/>
        <v>5.33</v>
      </c>
      <c r="M170" s="148" t="s">
        <v>654</v>
      </c>
      <c r="N170" s="75"/>
      <c r="O170" s="192" t="s">
        <v>237</v>
      </c>
      <c r="P170" s="193" t="s">
        <v>237</v>
      </c>
      <c r="Q170" s="193" t="s">
        <v>237</v>
      </c>
      <c r="R170" s="193" t="s">
        <v>237</v>
      </c>
      <c r="S170" s="193" t="s">
        <v>227</v>
      </c>
      <c r="T170" s="193" t="s">
        <v>237</v>
      </c>
      <c r="U170" s="193" t="s">
        <v>237</v>
      </c>
      <c r="V170" s="193" t="s">
        <v>237</v>
      </c>
    </row>
    <row r="171" spans="1:22" ht="14.5" customHeight="1" x14ac:dyDescent="0.35">
      <c r="A171" s="78">
        <v>170</v>
      </c>
      <c r="B171" s="141" t="s">
        <v>655</v>
      </c>
      <c r="C171" s="107">
        <v>90719911</v>
      </c>
      <c r="D171" s="171" t="str">
        <f>_xlfn.XLOOKUP(C171,Sheet2!B:B,Sheet2!A:A)</f>
        <v>PraveenKumar.J@rockwellautomation.com</v>
      </c>
      <c r="E171" s="107" t="s">
        <v>232</v>
      </c>
      <c r="F171" s="107" t="s">
        <v>223</v>
      </c>
      <c r="G171" s="184" t="s">
        <v>245</v>
      </c>
      <c r="H171" s="151" t="s">
        <v>283</v>
      </c>
      <c r="I171" s="167">
        <f t="shared" si="7"/>
        <v>2.1666666666666665</v>
      </c>
      <c r="J171" s="163" t="s">
        <v>235</v>
      </c>
      <c r="K171" s="161">
        <v>45205</v>
      </c>
      <c r="L171" s="165">
        <f t="shared" ca="1" si="6"/>
        <v>2.67</v>
      </c>
      <c r="M171" s="148" t="s">
        <v>656</v>
      </c>
      <c r="N171" s="75"/>
      <c r="O171" s="192" t="s">
        <v>254</v>
      </c>
      <c r="P171" s="193" t="s">
        <v>237</v>
      </c>
      <c r="Q171" s="193" t="s">
        <v>255</v>
      </c>
      <c r="R171" s="193" t="s">
        <v>237</v>
      </c>
      <c r="S171" s="193" t="s">
        <v>237</v>
      </c>
      <c r="T171" s="193" t="s">
        <v>237</v>
      </c>
      <c r="U171" s="193" t="s">
        <v>237</v>
      </c>
      <c r="V171" s="193" t="s">
        <v>237</v>
      </c>
    </row>
    <row r="172" spans="1:22" ht="14.5" customHeight="1" x14ac:dyDescent="0.35">
      <c r="A172" s="78">
        <v>171</v>
      </c>
      <c r="B172" s="141" t="s">
        <v>657</v>
      </c>
      <c r="C172" s="107">
        <v>90719945</v>
      </c>
      <c r="D172" s="171" t="str">
        <f>_xlfn.XLOOKUP(C172,Sheet2!B:B,Sheet2!A:A)</f>
        <v>PrithiviRaj.P@rockwellautomation.com</v>
      </c>
      <c r="E172" s="107" t="s">
        <v>232</v>
      </c>
      <c r="F172" s="107" t="s">
        <v>223</v>
      </c>
      <c r="G172" s="184"/>
      <c r="H172" s="151" t="s">
        <v>283</v>
      </c>
      <c r="I172" s="167">
        <f t="shared" si="7"/>
        <v>2.1666666666666665</v>
      </c>
      <c r="J172" s="163" t="s">
        <v>235</v>
      </c>
      <c r="K172" s="161">
        <v>45205</v>
      </c>
      <c r="L172" s="165">
        <f t="shared" ca="1" si="6"/>
        <v>2.67</v>
      </c>
      <c r="M172" s="148" t="e">
        <v>#N/A</v>
      </c>
      <c r="N172" s="75"/>
      <c r="O172" s="194" t="s">
        <v>254</v>
      </c>
      <c r="P172" s="195" t="s">
        <v>237</v>
      </c>
      <c r="Q172" s="195" t="s">
        <v>237</v>
      </c>
      <c r="R172" s="195" t="s">
        <v>237</v>
      </c>
      <c r="S172" s="195" t="s">
        <v>237</v>
      </c>
      <c r="T172" s="195" t="s">
        <v>358</v>
      </c>
      <c r="U172" s="195" t="s">
        <v>237</v>
      </c>
      <c r="V172" s="195" t="s">
        <v>237</v>
      </c>
    </row>
    <row r="173" spans="1:22" ht="14.5" customHeight="1" x14ac:dyDescent="0.35">
      <c r="A173" s="78">
        <v>172</v>
      </c>
      <c r="B173" s="141" t="s">
        <v>658</v>
      </c>
      <c r="C173" s="107">
        <v>90718947</v>
      </c>
      <c r="D173" s="171" t="str">
        <f>_xlfn.XLOOKUP(C173,Sheet2!B:B,Sheet2!A:A)</f>
        <v>Pruthvi.Thatavarthi@rockwellautomation.com</v>
      </c>
      <c r="E173" s="107" t="s">
        <v>308</v>
      </c>
      <c r="F173" s="107" t="s">
        <v>309</v>
      </c>
      <c r="G173" s="184"/>
      <c r="H173" s="151" t="s">
        <v>462</v>
      </c>
      <c r="I173" s="167">
        <f t="shared" si="7"/>
        <v>9.9166666666666661</v>
      </c>
      <c r="J173" s="163" t="s">
        <v>235</v>
      </c>
      <c r="K173" s="161">
        <v>42353</v>
      </c>
      <c r="L173" s="165">
        <f t="shared" ca="1" si="6"/>
        <v>10.5</v>
      </c>
      <c r="M173" s="148" t="s">
        <v>659</v>
      </c>
      <c r="N173" s="75"/>
      <c r="O173" s="192" t="s">
        <v>237</v>
      </c>
      <c r="P173" s="193" t="s">
        <v>237</v>
      </c>
      <c r="Q173" s="193" t="s">
        <v>373</v>
      </c>
      <c r="R173" s="193" t="s">
        <v>237</v>
      </c>
      <c r="S173" s="193" t="s">
        <v>237</v>
      </c>
      <c r="T173" s="193" t="s">
        <v>358</v>
      </c>
      <c r="U173" s="193" t="s">
        <v>237</v>
      </c>
      <c r="V173" s="193" t="s">
        <v>621</v>
      </c>
    </row>
    <row r="174" spans="1:22" ht="14.5" customHeight="1" x14ac:dyDescent="0.35">
      <c r="A174" s="78">
        <v>173</v>
      </c>
      <c r="B174" s="141" t="s">
        <v>660</v>
      </c>
      <c r="C174" s="107">
        <v>90719384</v>
      </c>
      <c r="D174" s="171" t="str">
        <f>_xlfn.XLOOKUP(C174,Sheet2!B:B,Sheet2!A:A)</f>
        <v>PunithRaj.KP@rockwellautomation.com</v>
      </c>
      <c r="E174" s="107" t="s">
        <v>232</v>
      </c>
      <c r="F174" s="107" t="s">
        <v>239</v>
      </c>
      <c r="G174" s="184"/>
      <c r="H174" s="151" t="s">
        <v>318</v>
      </c>
      <c r="I174" s="167">
        <f t="shared" si="7"/>
        <v>8.0833333333333339</v>
      </c>
      <c r="J174" s="163" t="s">
        <v>235</v>
      </c>
      <c r="K174" s="161">
        <v>43031</v>
      </c>
      <c r="L174" s="165">
        <f t="shared" ca="1" si="6"/>
        <v>8.67</v>
      </c>
      <c r="M174" s="148" t="e">
        <v>#N/A</v>
      </c>
      <c r="N174" s="75"/>
      <c r="O174" s="192" t="s">
        <v>237</v>
      </c>
      <c r="P174" s="193" t="s">
        <v>237</v>
      </c>
      <c r="Q174" s="193" t="s">
        <v>237</v>
      </c>
      <c r="R174" s="193" t="s">
        <v>237</v>
      </c>
      <c r="S174" s="193" t="s">
        <v>227</v>
      </c>
      <c r="T174" s="193" t="s">
        <v>237</v>
      </c>
      <c r="U174" s="193" t="s">
        <v>237</v>
      </c>
      <c r="V174" s="193" t="s">
        <v>237</v>
      </c>
    </row>
    <row r="175" spans="1:22" ht="14.5" customHeight="1" x14ac:dyDescent="0.35">
      <c r="A175" s="78">
        <v>174</v>
      </c>
      <c r="B175" s="141" t="s">
        <v>661</v>
      </c>
      <c r="C175" s="107">
        <v>90719735</v>
      </c>
      <c r="D175" s="171" t="str">
        <f>_xlfn.XLOOKUP(C175,Sheet2!B:B,Sheet2!A:A)</f>
        <v>Ramanathan.R@rockwellautomation.com</v>
      </c>
      <c r="E175" s="107" t="s">
        <v>232</v>
      </c>
      <c r="F175" s="107" t="s">
        <v>233</v>
      </c>
      <c r="G175" s="184"/>
      <c r="H175" s="151" t="s">
        <v>281</v>
      </c>
      <c r="I175" s="167">
        <f t="shared" si="7"/>
        <v>3.9166666666666665</v>
      </c>
      <c r="J175" s="163" t="s">
        <v>235</v>
      </c>
      <c r="K175" s="161">
        <v>44552</v>
      </c>
      <c r="L175" s="165">
        <f t="shared" ca="1" si="6"/>
        <v>4.5</v>
      </c>
      <c r="M175" s="148" t="e">
        <v>#N/A</v>
      </c>
      <c r="N175" s="75"/>
      <c r="O175" s="192" t="s">
        <v>254</v>
      </c>
      <c r="P175" s="193" t="s">
        <v>237</v>
      </c>
      <c r="Q175" s="193" t="s">
        <v>237</v>
      </c>
      <c r="R175" s="193" t="s">
        <v>237</v>
      </c>
      <c r="S175" s="193" t="s">
        <v>237</v>
      </c>
      <c r="T175" s="193" t="s">
        <v>237</v>
      </c>
      <c r="U175" s="193" t="s">
        <v>237</v>
      </c>
      <c r="V175" s="193" t="s">
        <v>237</v>
      </c>
    </row>
    <row r="176" spans="1:22" ht="14.5" customHeight="1" x14ac:dyDescent="0.35">
      <c r="A176" s="78">
        <v>175</v>
      </c>
      <c r="B176" s="141" t="s">
        <v>662</v>
      </c>
      <c r="C176" s="107">
        <v>90719628</v>
      </c>
      <c r="D176" s="171" t="str">
        <f>_xlfn.XLOOKUP(C176,Sheet2!B:B,Sheet2!A:A)</f>
        <v>VamshiKrishna.R@rockwellautomation.com</v>
      </c>
      <c r="E176" s="107" t="s">
        <v>232</v>
      </c>
      <c r="F176" s="107" t="s">
        <v>244</v>
      </c>
      <c r="G176" s="184"/>
      <c r="H176" s="151" t="s">
        <v>663</v>
      </c>
      <c r="I176" s="167">
        <f t="shared" si="7"/>
        <v>7</v>
      </c>
      <c r="J176" s="163" t="s">
        <v>594</v>
      </c>
      <c r="K176" s="161">
        <v>44256</v>
      </c>
      <c r="L176" s="165">
        <f t="shared" ca="1" si="6"/>
        <v>7.5</v>
      </c>
      <c r="M176" s="148" t="e">
        <v>#N/A</v>
      </c>
      <c r="N176" s="75"/>
      <c r="O176" s="192" t="s">
        <v>237</v>
      </c>
      <c r="P176" s="193" t="s">
        <v>248</v>
      </c>
      <c r="Q176" s="193" t="s">
        <v>237</v>
      </c>
      <c r="R176" s="193" t="s">
        <v>237</v>
      </c>
      <c r="S176" s="193" t="s">
        <v>237</v>
      </c>
      <c r="T176" s="193" t="s">
        <v>237</v>
      </c>
      <c r="U176" s="193" t="s">
        <v>237</v>
      </c>
      <c r="V176" s="193" t="s">
        <v>237</v>
      </c>
    </row>
    <row r="177" spans="1:22" ht="14.5" customHeight="1" x14ac:dyDescent="0.35">
      <c r="A177" s="78">
        <v>176</v>
      </c>
      <c r="B177" s="141" t="s">
        <v>664</v>
      </c>
      <c r="C177" s="107">
        <v>90727544</v>
      </c>
      <c r="D177" s="171" t="str">
        <f>_xlfn.XLOOKUP(C177,Sheet2!B:B,Sheet2!A:A)</f>
        <v>RaghavendraPrasanna.M@rockwellautomation.com</v>
      </c>
      <c r="E177" s="107" t="s">
        <v>232</v>
      </c>
      <c r="F177" s="107" t="s">
        <v>233</v>
      </c>
      <c r="G177" s="184"/>
      <c r="H177" s="151" t="s">
        <v>242</v>
      </c>
      <c r="I177" s="167" t="str">
        <f t="shared" si="7"/>
        <v/>
      </c>
      <c r="J177" s="163" t="e">
        <v>#N/A</v>
      </c>
      <c r="K177" s="161" t="e">
        <v>#N/A</v>
      </c>
      <c r="L177" s="165" t="e">
        <f t="shared" ca="1" si="6"/>
        <v>#N/A</v>
      </c>
      <c r="M177" s="148" t="s">
        <v>665</v>
      </c>
      <c r="N177" s="75"/>
      <c r="O177" s="192" t="s">
        <v>254</v>
      </c>
      <c r="P177" s="193" t="s">
        <v>237</v>
      </c>
      <c r="Q177" s="193" t="s">
        <v>237</v>
      </c>
      <c r="R177" s="193" t="s">
        <v>237</v>
      </c>
      <c r="S177" s="193" t="s">
        <v>237</v>
      </c>
      <c r="T177" s="193" t="s">
        <v>237</v>
      </c>
      <c r="U177" s="193" t="s">
        <v>237</v>
      </c>
      <c r="V177" s="193" t="s">
        <v>237</v>
      </c>
    </row>
    <row r="178" spans="1:22" ht="14.5" customHeight="1" x14ac:dyDescent="0.35">
      <c r="A178" s="78">
        <v>177</v>
      </c>
      <c r="B178" s="141" t="s">
        <v>666</v>
      </c>
      <c r="C178" s="107">
        <v>90719931</v>
      </c>
      <c r="D178" s="171" t="str">
        <f>_xlfn.XLOOKUP(C178,Sheet2!B:B,Sheet2!A:A)</f>
        <v>RahulKumar.Hotta@rockwellautomation.com</v>
      </c>
      <c r="E178" s="107" t="s">
        <v>232</v>
      </c>
      <c r="F178" s="107" t="s">
        <v>244</v>
      </c>
      <c r="G178" s="184"/>
      <c r="H178" s="151" t="s">
        <v>283</v>
      </c>
      <c r="I178" s="167">
        <f t="shared" si="7"/>
        <v>2.1666666666666665</v>
      </c>
      <c r="J178" s="163" t="s">
        <v>235</v>
      </c>
      <c r="K178" s="161">
        <v>45205</v>
      </c>
      <c r="L178" s="165">
        <f t="shared" ca="1" si="6"/>
        <v>2.67</v>
      </c>
      <c r="M178" s="148" t="s">
        <v>667</v>
      </c>
      <c r="N178" s="75"/>
      <c r="O178" s="192" t="s">
        <v>237</v>
      </c>
      <c r="P178" s="193" t="s">
        <v>248</v>
      </c>
      <c r="Q178" s="193" t="s">
        <v>268</v>
      </c>
      <c r="R178" s="193" t="s">
        <v>237</v>
      </c>
      <c r="S178" s="193" t="s">
        <v>237</v>
      </c>
      <c r="T178" s="193" t="s">
        <v>237</v>
      </c>
      <c r="U178" s="193" t="s">
        <v>237</v>
      </c>
      <c r="V178" s="193" t="s">
        <v>237</v>
      </c>
    </row>
    <row r="179" spans="1:22" ht="14.5" customHeight="1" x14ac:dyDescent="0.35">
      <c r="A179" s="78">
        <v>178</v>
      </c>
      <c r="B179" s="141" t="s">
        <v>156</v>
      </c>
      <c r="C179" s="107">
        <v>90719459</v>
      </c>
      <c r="D179" s="171" t="str">
        <f>_xlfn.XLOOKUP(C179,Sheet2!B:B,Sheet2!A:A)</f>
        <v>Rahul.Pokharia@rockwellautomation.com</v>
      </c>
      <c r="E179" s="107" t="s">
        <v>232</v>
      </c>
      <c r="F179" s="107" t="s">
        <v>251</v>
      </c>
      <c r="G179" s="184" t="s">
        <v>245</v>
      </c>
      <c r="H179" s="151" t="s">
        <v>668</v>
      </c>
      <c r="I179" s="167">
        <f t="shared" si="7"/>
        <v>6.75</v>
      </c>
      <c r="J179" s="163" t="s">
        <v>235</v>
      </c>
      <c r="K179" s="161">
        <v>43516</v>
      </c>
      <c r="L179" s="165">
        <f t="shared" ca="1" si="6"/>
        <v>7.33</v>
      </c>
      <c r="M179" s="148" t="s">
        <v>669</v>
      </c>
      <c r="N179" s="75"/>
      <c r="O179" s="192" t="s">
        <v>254</v>
      </c>
      <c r="P179" s="193" t="s">
        <v>237</v>
      </c>
      <c r="Q179" s="193" t="s">
        <v>237</v>
      </c>
      <c r="R179" s="193" t="s">
        <v>237</v>
      </c>
      <c r="S179" s="193" t="s">
        <v>237</v>
      </c>
      <c r="T179" s="193" t="s">
        <v>237</v>
      </c>
      <c r="U179" s="193" t="s">
        <v>237</v>
      </c>
      <c r="V179" s="193" t="s">
        <v>237</v>
      </c>
    </row>
    <row r="180" spans="1:22" ht="14.5" customHeight="1" x14ac:dyDescent="0.35">
      <c r="A180" s="78">
        <v>179</v>
      </c>
      <c r="B180" s="141" t="s">
        <v>139</v>
      </c>
      <c r="C180" s="107">
        <v>90719323</v>
      </c>
      <c r="D180" s="171" t="str">
        <f>_xlfn.XLOOKUP(C180,Sheet2!B:B,Sheet2!A:A)</f>
        <v>Rahul.Basani@rockwellautomation.com</v>
      </c>
      <c r="E180" s="107" t="s">
        <v>249</v>
      </c>
      <c r="F180" s="107" t="s">
        <v>251</v>
      </c>
      <c r="G180" s="184" t="s">
        <v>245</v>
      </c>
      <c r="H180" s="151" t="s">
        <v>441</v>
      </c>
      <c r="I180" s="167">
        <f t="shared" si="7"/>
        <v>8.6666666666666661</v>
      </c>
      <c r="J180" s="163" t="s">
        <v>235</v>
      </c>
      <c r="K180" s="161">
        <v>42829</v>
      </c>
      <c r="L180" s="165">
        <f t="shared" ca="1" si="6"/>
        <v>9.17</v>
      </c>
      <c r="M180" s="148" t="s">
        <v>670</v>
      </c>
      <c r="N180" s="75"/>
      <c r="O180" s="192" t="s">
        <v>254</v>
      </c>
      <c r="P180" s="193" t="s">
        <v>237</v>
      </c>
      <c r="Q180" s="193" t="s">
        <v>237</v>
      </c>
      <c r="R180" s="193" t="s">
        <v>237</v>
      </c>
      <c r="S180" s="193" t="s">
        <v>237</v>
      </c>
      <c r="T180" s="193" t="s">
        <v>237</v>
      </c>
      <c r="U180" s="193" t="s">
        <v>237</v>
      </c>
      <c r="V180" s="193" t="s">
        <v>237</v>
      </c>
    </row>
    <row r="181" spans="1:22" ht="14.5" customHeight="1" x14ac:dyDescent="0.35">
      <c r="A181" s="78">
        <v>180</v>
      </c>
      <c r="B181" s="141" t="s">
        <v>671</v>
      </c>
      <c r="C181" s="107">
        <v>90719907</v>
      </c>
      <c r="D181" s="171" t="str">
        <f>_xlfn.XLOOKUP(C181,Sheet2!B:B,Sheet2!A:A)</f>
        <v>Rakesh.PV@rockwellautomation.com</v>
      </c>
      <c r="E181" s="107" t="s">
        <v>232</v>
      </c>
      <c r="F181" s="107" t="s">
        <v>223</v>
      </c>
      <c r="G181" s="184"/>
      <c r="H181" s="151" t="s">
        <v>344</v>
      </c>
      <c r="I181" s="167">
        <f t="shared" si="7"/>
        <v>2.4166666666666665</v>
      </c>
      <c r="J181" s="163" t="s">
        <v>235</v>
      </c>
      <c r="K181" s="161">
        <v>45107</v>
      </c>
      <c r="L181" s="165">
        <f t="shared" ca="1" si="6"/>
        <v>2.92</v>
      </c>
      <c r="M181" s="148" t="s">
        <v>672</v>
      </c>
      <c r="N181" s="75"/>
      <c r="O181" s="192" t="s">
        <v>254</v>
      </c>
      <c r="P181" s="193" t="s">
        <v>237</v>
      </c>
      <c r="Q181" s="193" t="s">
        <v>255</v>
      </c>
      <c r="R181" s="193" t="s">
        <v>237</v>
      </c>
      <c r="S181" s="193" t="s">
        <v>237</v>
      </c>
      <c r="T181" s="193" t="s">
        <v>358</v>
      </c>
      <c r="U181" s="193" t="s">
        <v>237</v>
      </c>
      <c r="V181" s="193" t="s">
        <v>237</v>
      </c>
    </row>
    <row r="182" spans="1:22" ht="14.5" customHeight="1" x14ac:dyDescent="0.35">
      <c r="A182" s="78">
        <v>181</v>
      </c>
      <c r="B182" s="196" t="s">
        <v>673</v>
      </c>
      <c r="C182" s="107">
        <v>90719730</v>
      </c>
      <c r="D182" s="171" t="str">
        <f>_xlfn.XLOOKUP(C182,Sheet2!B:B,Sheet2!A:A)</f>
        <v>Rakesh.S@rockwellautomation.com</v>
      </c>
      <c r="E182" s="107" t="s">
        <v>232</v>
      </c>
      <c r="F182" s="107" t="s">
        <v>270</v>
      </c>
      <c r="G182" s="184"/>
      <c r="H182" s="151" t="s">
        <v>530</v>
      </c>
      <c r="I182" s="167">
        <f t="shared" si="7"/>
        <v>5</v>
      </c>
      <c r="J182" s="163" t="s">
        <v>266</v>
      </c>
      <c r="K182" s="161">
        <v>44515</v>
      </c>
      <c r="L182" s="165">
        <f t="shared" ca="1" si="6"/>
        <v>5.58</v>
      </c>
      <c r="M182" s="148" t="e">
        <v>#N/A</v>
      </c>
      <c r="N182" s="75"/>
      <c r="O182" s="192" t="s">
        <v>237</v>
      </c>
      <c r="P182" s="193" t="s">
        <v>237</v>
      </c>
      <c r="Q182" s="193" t="s">
        <v>237</v>
      </c>
      <c r="R182" s="193" t="s">
        <v>237</v>
      </c>
      <c r="S182" s="193" t="s">
        <v>237</v>
      </c>
      <c r="T182" s="193" t="s">
        <v>237</v>
      </c>
      <c r="U182" s="193" t="s">
        <v>237</v>
      </c>
      <c r="V182" s="193" t="s">
        <v>237</v>
      </c>
    </row>
    <row r="183" spans="1:22" ht="14.5" customHeight="1" x14ac:dyDescent="0.35">
      <c r="A183" s="78">
        <v>182</v>
      </c>
      <c r="B183" s="176" t="s">
        <v>674</v>
      </c>
      <c r="C183" s="180">
        <v>90732283</v>
      </c>
      <c r="D183" s="171" t="str">
        <f>_xlfn.XLOOKUP(C183,Sheet2!B:B,Sheet2!A:A)</f>
        <v>Rakshitha.MHiremath@rockwellautomation.com</v>
      </c>
      <c r="E183" s="107" t="s">
        <v>232</v>
      </c>
      <c r="F183" s="107" t="s">
        <v>300</v>
      </c>
      <c r="G183" s="184"/>
      <c r="H183" s="151" t="s">
        <v>246</v>
      </c>
      <c r="I183" s="167">
        <f t="shared" si="7"/>
        <v>0.25</v>
      </c>
      <c r="J183" s="163" t="e">
        <v>#N/A</v>
      </c>
      <c r="K183" s="161">
        <v>45891</v>
      </c>
      <c r="L183" s="165" t="e">
        <f t="shared" ca="1" si="6"/>
        <v>#N/A</v>
      </c>
      <c r="M183" s="148" t="s">
        <v>675</v>
      </c>
      <c r="N183" s="75"/>
      <c r="O183" s="192" t="s">
        <v>237</v>
      </c>
      <c r="P183" s="193" t="s">
        <v>237</v>
      </c>
      <c r="Q183" s="193" t="s">
        <v>237</v>
      </c>
      <c r="R183" s="193" t="s">
        <v>237</v>
      </c>
      <c r="S183" s="193" t="s">
        <v>237</v>
      </c>
      <c r="T183" s="193" t="s">
        <v>237</v>
      </c>
      <c r="U183" s="193" t="s">
        <v>300</v>
      </c>
      <c r="V183" s="193" t="s">
        <v>237</v>
      </c>
    </row>
    <row r="184" spans="1:22" ht="14.5" customHeight="1" x14ac:dyDescent="0.35">
      <c r="A184" s="78">
        <v>183</v>
      </c>
      <c r="B184" s="196" t="s">
        <v>676</v>
      </c>
      <c r="C184" s="107">
        <v>90719301</v>
      </c>
      <c r="D184" s="171" t="str">
        <f>_xlfn.XLOOKUP(C184,Sheet2!B:B,Sheet2!A:A)</f>
        <v>Ramesh.GL@rockwellautomation.com</v>
      </c>
      <c r="E184" s="107" t="s">
        <v>249</v>
      </c>
      <c r="F184" s="107" t="s">
        <v>223</v>
      </c>
      <c r="G184" s="184"/>
      <c r="H184" s="151" t="s">
        <v>677</v>
      </c>
      <c r="I184" s="167">
        <f t="shared" si="7"/>
        <v>12.083333333333334</v>
      </c>
      <c r="J184" s="163" t="s">
        <v>538</v>
      </c>
      <c r="K184" s="161">
        <v>42186</v>
      </c>
      <c r="L184" s="165">
        <f t="shared" ca="1" si="6"/>
        <v>12.58</v>
      </c>
      <c r="M184" s="148" t="s">
        <v>678</v>
      </c>
      <c r="N184" s="75"/>
      <c r="O184" s="192" t="s">
        <v>237</v>
      </c>
      <c r="P184" s="193" t="s">
        <v>237</v>
      </c>
      <c r="Q184" s="193" t="s">
        <v>237</v>
      </c>
      <c r="R184" s="193" t="s">
        <v>237</v>
      </c>
      <c r="S184" s="193" t="s">
        <v>237</v>
      </c>
      <c r="T184" s="193" t="s">
        <v>237</v>
      </c>
      <c r="U184" s="193" t="s">
        <v>237</v>
      </c>
      <c r="V184" s="193" t="s">
        <v>237</v>
      </c>
    </row>
    <row r="185" spans="1:22" ht="14.5" customHeight="1" x14ac:dyDescent="0.35">
      <c r="A185" s="78">
        <v>184</v>
      </c>
      <c r="B185" s="141" t="s">
        <v>679</v>
      </c>
      <c r="C185" s="107">
        <v>90719651</v>
      </c>
      <c r="D185" s="171" t="str">
        <f>_xlfn.XLOOKUP(C185,Sheet2!B:B,Sheet2!A:A)</f>
        <v>Ramya.Rajagopal@rockwellautomation.com</v>
      </c>
      <c r="E185" s="107" t="s">
        <v>232</v>
      </c>
      <c r="F185" s="107" t="s">
        <v>300</v>
      </c>
      <c r="G185" s="184"/>
      <c r="H185" s="151" t="s">
        <v>680</v>
      </c>
      <c r="I185" s="167">
        <f t="shared" si="7"/>
        <v>9.6666666666666661</v>
      </c>
      <c r="J185" s="163" t="s">
        <v>356</v>
      </c>
      <c r="K185" s="161">
        <v>44284</v>
      </c>
      <c r="L185" s="165">
        <f t="shared" ca="1" si="6"/>
        <v>10.17</v>
      </c>
      <c r="M185" s="148" t="s">
        <v>681</v>
      </c>
      <c r="N185" s="75"/>
      <c r="O185" s="192" t="s">
        <v>237</v>
      </c>
      <c r="P185" s="193" t="s">
        <v>237</v>
      </c>
      <c r="Q185" s="193" t="s">
        <v>237</v>
      </c>
      <c r="R185" s="193" t="s">
        <v>237</v>
      </c>
      <c r="S185" s="193" t="s">
        <v>237</v>
      </c>
      <c r="T185" s="193" t="s">
        <v>237</v>
      </c>
      <c r="U185" s="193" t="s">
        <v>300</v>
      </c>
      <c r="V185" s="193" t="s">
        <v>237</v>
      </c>
    </row>
    <row r="186" spans="1:22" ht="14.5" customHeight="1" x14ac:dyDescent="0.35">
      <c r="A186" s="78">
        <v>185</v>
      </c>
      <c r="B186" s="141" t="s">
        <v>682</v>
      </c>
      <c r="C186" s="107">
        <v>90719862</v>
      </c>
      <c r="D186" s="171" t="str">
        <f>_xlfn.XLOOKUP(C186,Sheet2!B:B,Sheet2!A:A)</f>
        <v>Ramya.R@rockwellautomation.com</v>
      </c>
      <c r="E186" s="107" t="s">
        <v>232</v>
      </c>
      <c r="F186" s="107" t="s">
        <v>233</v>
      </c>
      <c r="G186" s="184"/>
      <c r="H186" s="151" t="s">
        <v>283</v>
      </c>
      <c r="I186" s="167">
        <f t="shared" si="7"/>
        <v>2.1666666666666665</v>
      </c>
      <c r="J186" s="163" t="s">
        <v>235</v>
      </c>
      <c r="K186" s="161">
        <v>45194</v>
      </c>
      <c r="L186" s="165">
        <f t="shared" ca="1" si="6"/>
        <v>2.67</v>
      </c>
      <c r="M186" s="148" t="s">
        <v>683</v>
      </c>
      <c r="N186" s="75"/>
      <c r="O186" s="192" t="s">
        <v>254</v>
      </c>
      <c r="P186" s="193" t="s">
        <v>237</v>
      </c>
      <c r="Q186" s="193" t="s">
        <v>268</v>
      </c>
      <c r="R186" s="193" t="s">
        <v>237</v>
      </c>
      <c r="S186" s="193" t="s">
        <v>237</v>
      </c>
      <c r="T186" s="193" t="s">
        <v>237</v>
      </c>
      <c r="U186" s="193" t="s">
        <v>237</v>
      </c>
      <c r="V186" s="193" t="s">
        <v>237</v>
      </c>
    </row>
    <row r="187" spans="1:22" ht="14.5" customHeight="1" x14ac:dyDescent="0.35">
      <c r="A187" s="78">
        <v>186</v>
      </c>
      <c r="B187" s="176" t="s">
        <v>684</v>
      </c>
      <c r="C187" s="180">
        <v>90728065</v>
      </c>
      <c r="D187" s="171" t="str">
        <f>_xlfn.XLOOKUP(C187,Sheet2!B:B,Sheet2!A:A)</f>
        <v>rashmi.gr@rockwellautomation.com</v>
      </c>
      <c r="E187" s="107" t="s">
        <v>232</v>
      </c>
      <c r="F187" s="107" t="s">
        <v>233</v>
      </c>
      <c r="G187" s="184"/>
      <c r="H187" s="151" t="s">
        <v>242</v>
      </c>
      <c r="I187" s="167" t="str">
        <f t="shared" si="7"/>
        <v/>
      </c>
      <c r="J187" s="163" t="e">
        <v>#N/A</v>
      </c>
      <c r="K187" s="161">
        <v>45659</v>
      </c>
      <c r="L187" s="165" t="e">
        <f t="shared" ca="1" si="6"/>
        <v>#N/A</v>
      </c>
      <c r="M187" s="148" t="s">
        <v>685</v>
      </c>
      <c r="N187" s="75"/>
      <c r="O187" s="192" t="s">
        <v>254</v>
      </c>
      <c r="P187" s="193" t="s">
        <v>237</v>
      </c>
      <c r="Q187" s="193" t="s">
        <v>268</v>
      </c>
      <c r="R187" s="193" t="s">
        <v>237</v>
      </c>
      <c r="S187" s="193" t="s">
        <v>227</v>
      </c>
      <c r="T187" s="193" t="s">
        <v>237</v>
      </c>
      <c r="U187" s="193" t="s">
        <v>237</v>
      </c>
      <c r="V187" s="193" t="s">
        <v>237</v>
      </c>
    </row>
    <row r="188" spans="1:22" ht="14.5" customHeight="1" x14ac:dyDescent="0.35">
      <c r="A188" s="78">
        <v>187</v>
      </c>
      <c r="B188" s="141" t="s">
        <v>686</v>
      </c>
      <c r="C188" s="107">
        <v>90719724</v>
      </c>
      <c r="D188" s="171" t="str">
        <f>_xlfn.XLOOKUP(C188,Sheet2!B:B,Sheet2!A:A)</f>
        <v>Rashmi.MR@rockwellautomation.com</v>
      </c>
      <c r="E188" s="107" t="s">
        <v>232</v>
      </c>
      <c r="F188" s="107" t="s">
        <v>300</v>
      </c>
      <c r="G188" s="184"/>
      <c r="H188" s="151" t="s">
        <v>360</v>
      </c>
      <c r="I188" s="167">
        <f t="shared" si="7"/>
        <v>7.25</v>
      </c>
      <c r="J188" s="163" t="s">
        <v>428</v>
      </c>
      <c r="K188" s="161">
        <v>44494</v>
      </c>
      <c r="L188" s="165">
        <f t="shared" ca="1" si="6"/>
        <v>7.75</v>
      </c>
      <c r="M188" s="148" t="s">
        <v>687</v>
      </c>
      <c r="N188" s="75"/>
      <c r="O188" s="192" t="s">
        <v>237</v>
      </c>
      <c r="P188" s="193" t="s">
        <v>237</v>
      </c>
      <c r="Q188" s="193" t="s">
        <v>237</v>
      </c>
      <c r="R188" s="193" t="s">
        <v>237</v>
      </c>
      <c r="S188" s="193" t="s">
        <v>237</v>
      </c>
      <c r="T188" s="193" t="s">
        <v>237</v>
      </c>
      <c r="U188" s="193" t="s">
        <v>300</v>
      </c>
      <c r="V188" s="193" t="s">
        <v>237</v>
      </c>
    </row>
    <row r="189" spans="1:22" ht="14.5" customHeight="1" x14ac:dyDescent="0.35">
      <c r="A189" s="78">
        <v>188</v>
      </c>
      <c r="B189" s="141" t="s">
        <v>688</v>
      </c>
      <c r="C189" s="107">
        <v>90730600</v>
      </c>
      <c r="D189" s="171" t="str">
        <f>_xlfn.XLOOKUP(C189,Sheet2!B:B,Sheet2!A:A)</f>
        <v>Rashmitha.B@rockwellautomation.com</v>
      </c>
      <c r="E189" s="107" t="s">
        <v>232</v>
      </c>
      <c r="F189" s="107" t="s">
        <v>300</v>
      </c>
      <c r="G189" s="184"/>
      <c r="H189" s="151" t="s">
        <v>689</v>
      </c>
      <c r="I189" s="167">
        <f t="shared" si="7"/>
        <v>2.5</v>
      </c>
      <c r="J189" s="163" t="s">
        <v>690</v>
      </c>
      <c r="K189" s="161">
        <v>45810</v>
      </c>
      <c r="L189" s="165">
        <f t="shared" ca="1" si="6"/>
        <v>3</v>
      </c>
      <c r="M189" s="148" t="s">
        <v>691</v>
      </c>
      <c r="N189" s="75"/>
      <c r="O189" s="192" t="s">
        <v>237</v>
      </c>
      <c r="P189" s="193" t="s">
        <v>237</v>
      </c>
      <c r="Q189" s="193" t="s">
        <v>268</v>
      </c>
      <c r="R189" s="193" t="s">
        <v>237</v>
      </c>
      <c r="S189" s="193" t="s">
        <v>237</v>
      </c>
      <c r="T189" s="193" t="s">
        <v>388</v>
      </c>
      <c r="U189" s="193" t="s">
        <v>300</v>
      </c>
      <c r="V189" s="193" t="s">
        <v>237</v>
      </c>
    </row>
    <row r="190" spans="1:22" ht="14.5" customHeight="1" x14ac:dyDescent="0.35">
      <c r="A190" s="78">
        <v>189</v>
      </c>
      <c r="B190" s="141" t="s">
        <v>692</v>
      </c>
      <c r="C190" s="107">
        <v>90719927</v>
      </c>
      <c r="D190" s="171" t="str">
        <f>_xlfn.XLOOKUP(C190,Sheet2!B:B,Sheet2!A:A)</f>
        <v>Reshmanth.Voona@rockwellautomation.com</v>
      </c>
      <c r="E190" s="107" t="s">
        <v>232</v>
      </c>
      <c r="F190" s="107" t="s">
        <v>314</v>
      </c>
      <c r="G190" s="184"/>
      <c r="H190" s="151" t="s">
        <v>283</v>
      </c>
      <c r="I190" s="167">
        <f t="shared" si="7"/>
        <v>2.1666666666666665</v>
      </c>
      <c r="J190" s="163" t="s">
        <v>235</v>
      </c>
      <c r="K190" s="161">
        <v>45205</v>
      </c>
      <c r="L190" s="165">
        <f t="shared" ca="1" si="6"/>
        <v>2.67</v>
      </c>
      <c r="M190" s="148" t="s">
        <v>693</v>
      </c>
      <c r="N190" s="75"/>
      <c r="O190" s="192" t="s">
        <v>254</v>
      </c>
      <c r="P190" s="193" t="s">
        <v>237</v>
      </c>
      <c r="Q190" s="193" t="s">
        <v>291</v>
      </c>
      <c r="R190" s="193" t="s">
        <v>237</v>
      </c>
      <c r="S190" s="193" t="s">
        <v>237</v>
      </c>
      <c r="T190" s="193" t="s">
        <v>237</v>
      </c>
      <c r="U190" s="193" t="s">
        <v>237</v>
      </c>
      <c r="V190" s="193" t="s">
        <v>237</v>
      </c>
    </row>
    <row r="191" spans="1:22" ht="14.5" customHeight="1" x14ac:dyDescent="0.35">
      <c r="A191" s="78">
        <v>190</v>
      </c>
      <c r="B191" s="141" t="s">
        <v>694</v>
      </c>
      <c r="C191" s="107">
        <v>90719925</v>
      </c>
      <c r="D191" s="171" t="str">
        <f>_xlfn.XLOOKUP(C191,Sheet2!B:B,Sheet2!A:A)</f>
        <v>Riya.Srivastava@rockwellautomation.com</v>
      </c>
      <c r="E191" s="107" t="s">
        <v>232</v>
      </c>
      <c r="F191" s="107" t="s">
        <v>314</v>
      </c>
      <c r="G191" s="184"/>
      <c r="H191" s="151" t="s">
        <v>283</v>
      </c>
      <c r="I191" s="167">
        <f t="shared" si="7"/>
        <v>2.1666666666666665</v>
      </c>
      <c r="J191" s="163" t="s">
        <v>235</v>
      </c>
      <c r="K191" s="161">
        <v>45205</v>
      </c>
      <c r="L191" s="165">
        <f t="shared" ca="1" si="6"/>
        <v>2.67</v>
      </c>
      <c r="M191" s="148" t="s">
        <v>695</v>
      </c>
      <c r="N191" s="75"/>
      <c r="O191" s="192" t="s">
        <v>254</v>
      </c>
      <c r="P191" s="193" t="s">
        <v>237</v>
      </c>
      <c r="Q191" s="193" t="s">
        <v>255</v>
      </c>
      <c r="R191" s="193" t="s">
        <v>237</v>
      </c>
      <c r="S191" s="193" t="s">
        <v>237</v>
      </c>
      <c r="T191" s="193" t="s">
        <v>237</v>
      </c>
      <c r="U191" s="193" t="s">
        <v>237</v>
      </c>
      <c r="V191" s="193" t="s">
        <v>237</v>
      </c>
    </row>
    <row r="192" spans="1:22" ht="14.5" customHeight="1" x14ac:dyDescent="0.35">
      <c r="A192" s="78">
        <v>191</v>
      </c>
      <c r="B192" s="199" t="s">
        <v>696</v>
      </c>
      <c r="C192" s="107">
        <v>90727250</v>
      </c>
      <c r="D192" s="171" t="str">
        <f>_xlfn.XLOOKUP(C192,Sheet2!B:B,Sheet2!A:A)</f>
        <v>RohitShridhar.Shelke@rockwellautomation.com</v>
      </c>
      <c r="E192" s="107" t="s">
        <v>232</v>
      </c>
      <c r="F192" s="107" t="s">
        <v>697</v>
      </c>
      <c r="G192" s="184"/>
      <c r="H192" s="151" t="s">
        <v>234</v>
      </c>
      <c r="I192" s="167">
        <f t="shared" si="7"/>
        <v>1.3333333333333333</v>
      </c>
      <c r="J192" s="163" t="s">
        <v>235</v>
      </c>
      <c r="K192" s="161">
        <v>45488</v>
      </c>
      <c r="L192" s="165">
        <f t="shared" ca="1" si="6"/>
        <v>1.92</v>
      </c>
      <c r="M192" s="148" t="s">
        <v>698</v>
      </c>
      <c r="N192" s="75"/>
      <c r="O192" s="192" t="s">
        <v>237</v>
      </c>
      <c r="P192" s="193" t="s">
        <v>237</v>
      </c>
      <c r="Q192" s="193" t="s">
        <v>237</v>
      </c>
      <c r="R192" s="193" t="s">
        <v>237</v>
      </c>
      <c r="S192" s="193" t="s">
        <v>237</v>
      </c>
      <c r="T192" s="193" t="s">
        <v>237</v>
      </c>
      <c r="U192" s="193" t="s">
        <v>237</v>
      </c>
      <c r="V192" s="193" t="s">
        <v>237</v>
      </c>
    </row>
    <row r="193" spans="1:22" ht="14.5" customHeight="1" x14ac:dyDescent="0.35">
      <c r="A193" s="78">
        <v>192</v>
      </c>
      <c r="B193" s="178" t="s">
        <v>699</v>
      </c>
      <c r="C193" s="174">
        <v>90724613</v>
      </c>
      <c r="D193" s="171" t="str">
        <f>_xlfn.XLOOKUP(C193,Sheet2!B:B,Sheet2!A:A)</f>
        <v>Roopalakshmi.Anil@rockwellautomation.com</v>
      </c>
      <c r="E193" s="107" t="s">
        <v>232</v>
      </c>
      <c r="F193" s="107" t="s">
        <v>233</v>
      </c>
      <c r="G193" s="184"/>
      <c r="H193" s="151" t="s">
        <v>234</v>
      </c>
      <c r="I193" s="167">
        <f t="shared" si="7"/>
        <v>1.3333333333333333</v>
      </c>
      <c r="J193" s="163" t="s">
        <v>235</v>
      </c>
      <c r="K193" s="161">
        <v>45490</v>
      </c>
      <c r="L193" s="165">
        <f t="shared" ca="1" si="6"/>
        <v>1.92</v>
      </c>
      <c r="M193" s="148" t="e">
        <v>#N/A</v>
      </c>
      <c r="N193" s="75"/>
      <c r="O193" s="192" t="s">
        <v>254</v>
      </c>
      <c r="P193" s="193" t="s">
        <v>237</v>
      </c>
      <c r="Q193" s="193" t="s">
        <v>237</v>
      </c>
      <c r="R193" s="193" t="s">
        <v>237</v>
      </c>
      <c r="S193" s="193" t="s">
        <v>237</v>
      </c>
      <c r="T193" s="193" t="s">
        <v>509</v>
      </c>
      <c r="U193" s="193" t="s">
        <v>237</v>
      </c>
      <c r="V193" s="193" t="s">
        <v>237</v>
      </c>
    </row>
    <row r="194" spans="1:22" ht="14.5" customHeight="1" x14ac:dyDescent="0.35">
      <c r="A194" s="78">
        <v>193</v>
      </c>
      <c r="B194" s="153" t="s">
        <v>700</v>
      </c>
      <c r="C194" s="107">
        <v>90727179</v>
      </c>
      <c r="D194" s="171" t="str">
        <f>_xlfn.XLOOKUP(C194,Sheet2!B:B,Sheet2!A:A)</f>
        <v>S.Shashank@rockwellautomation.com</v>
      </c>
      <c r="E194" s="107" t="s">
        <v>232</v>
      </c>
      <c r="F194" s="107" t="s">
        <v>233</v>
      </c>
      <c r="G194" s="184"/>
      <c r="H194" s="151" t="s">
        <v>242</v>
      </c>
      <c r="I194" s="167" t="str">
        <f t="shared" si="7"/>
        <v/>
      </c>
      <c r="J194" s="163" t="e">
        <v>#N/A</v>
      </c>
      <c r="K194" s="161" t="e">
        <v>#N/A</v>
      </c>
      <c r="L194" s="165" t="e">
        <f t="shared" ca="1" si="6"/>
        <v>#N/A</v>
      </c>
      <c r="M194" s="148" t="e">
        <v>#N/A</v>
      </c>
      <c r="N194" s="75"/>
      <c r="O194" s="192" t="s">
        <v>237</v>
      </c>
      <c r="P194" s="193" t="s">
        <v>237</v>
      </c>
      <c r="Q194" s="193" t="s">
        <v>237</v>
      </c>
      <c r="R194" s="193" t="s">
        <v>237</v>
      </c>
      <c r="S194" s="193" t="s">
        <v>237</v>
      </c>
      <c r="T194" s="193" t="s">
        <v>263</v>
      </c>
      <c r="U194" s="193" t="s">
        <v>237</v>
      </c>
      <c r="V194" s="193" t="s">
        <v>237</v>
      </c>
    </row>
    <row r="195" spans="1:22" ht="14.5" customHeight="1" x14ac:dyDescent="0.35">
      <c r="A195" s="78">
        <v>194</v>
      </c>
      <c r="B195" s="141" t="s">
        <v>208</v>
      </c>
      <c r="C195" s="107">
        <v>90719637</v>
      </c>
      <c r="D195" s="171" t="str">
        <f>_xlfn.XLOOKUP(C195,Sheet2!B:B,Sheet2!A:A)</f>
        <v>SriArchana.S@rockwellautomation.com</v>
      </c>
      <c r="E195" s="107" t="s">
        <v>232</v>
      </c>
      <c r="F195" s="107" t="s">
        <v>223</v>
      </c>
      <c r="G195" s="184" t="s">
        <v>245</v>
      </c>
      <c r="H195" s="151" t="s">
        <v>701</v>
      </c>
      <c r="I195" s="167">
        <f t="shared" si="7"/>
        <v>5.083333333333333</v>
      </c>
      <c r="J195" s="163" t="s">
        <v>235</v>
      </c>
      <c r="K195" s="161">
        <v>44137</v>
      </c>
      <c r="L195" s="165">
        <f t="shared" ref="L195:L258" ca="1" si="8">IF(OR(J195="",K195=""),"",
ROUND(
IFERROR(
--J195,
VALUE(LEFT(J195,FIND("years",J195)-1))
+ VALUE(MID(J195,FIND("years",J195)+6,FIND("months",J195)-FIND("years",J195)-6))/12
)
+ DATEDIF(K195,TODAY(),"y")
+ DATEDIF(K195,TODAY(),"ym")/12,2))</f>
        <v>5.58</v>
      </c>
      <c r="M195" s="148" t="s">
        <v>702</v>
      </c>
      <c r="N195" s="75"/>
      <c r="O195" s="192" t="s">
        <v>254</v>
      </c>
      <c r="P195" s="193" t="s">
        <v>237</v>
      </c>
      <c r="Q195" s="193" t="s">
        <v>237</v>
      </c>
      <c r="R195" s="193" t="s">
        <v>237</v>
      </c>
      <c r="S195" s="193" t="s">
        <v>237</v>
      </c>
      <c r="T195" s="193" t="s">
        <v>237</v>
      </c>
      <c r="U195" s="193" t="s">
        <v>237</v>
      </c>
      <c r="V195" s="193" t="s">
        <v>237</v>
      </c>
    </row>
    <row r="196" spans="1:22" ht="14.5" customHeight="1" x14ac:dyDescent="0.35">
      <c r="A196" s="78">
        <v>195</v>
      </c>
      <c r="B196" s="176" t="s">
        <v>703</v>
      </c>
      <c r="C196" s="180">
        <v>90732284</v>
      </c>
      <c r="D196" s="171" t="str">
        <f>_xlfn.XLOOKUP(C196,Sheet2!B:B,Sheet2!A:A)</f>
        <v>SAHANA.REDDYR@rockwellautomation.com</v>
      </c>
      <c r="E196" s="107" t="s">
        <v>232</v>
      </c>
      <c r="F196" s="107" t="s">
        <v>300</v>
      </c>
      <c r="G196" s="184"/>
      <c r="H196" s="151" t="s">
        <v>246</v>
      </c>
      <c r="I196" s="167">
        <f t="shared" si="7"/>
        <v>0.25</v>
      </c>
      <c r="J196" s="163" t="e">
        <v>#N/A</v>
      </c>
      <c r="K196" s="161">
        <v>45891</v>
      </c>
      <c r="L196" s="165" t="e">
        <f t="shared" ca="1" si="8"/>
        <v>#N/A</v>
      </c>
      <c r="M196" s="148" t="s">
        <v>704</v>
      </c>
      <c r="N196" s="75"/>
      <c r="O196" s="192" t="s">
        <v>237</v>
      </c>
      <c r="P196" s="193" t="s">
        <v>237</v>
      </c>
      <c r="Q196" s="193" t="s">
        <v>237</v>
      </c>
      <c r="R196" s="193" t="s">
        <v>237</v>
      </c>
      <c r="S196" s="193" t="s">
        <v>237</v>
      </c>
      <c r="T196" s="193" t="s">
        <v>237</v>
      </c>
      <c r="U196" s="193" t="s">
        <v>300</v>
      </c>
      <c r="V196" s="193" t="s">
        <v>237</v>
      </c>
    </row>
    <row r="197" spans="1:22" ht="14.5" customHeight="1" x14ac:dyDescent="0.35">
      <c r="A197" s="78">
        <v>196</v>
      </c>
      <c r="B197" s="142" t="s">
        <v>152</v>
      </c>
      <c r="C197" s="107">
        <v>90719475</v>
      </c>
      <c r="D197" s="171" t="str">
        <f>_xlfn.XLOOKUP(C197,Sheet2!B:B,Sheet2!A:A)</f>
        <v>SaiSandeep.S@rockwellautomation.com</v>
      </c>
      <c r="E197" s="107" t="s">
        <v>232</v>
      </c>
      <c r="F197" s="107" t="s">
        <v>244</v>
      </c>
      <c r="G197" s="184" t="s">
        <v>245</v>
      </c>
      <c r="H197" s="151" t="s">
        <v>501</v>
      </c>
      <c r="I197" s="167">
        <f t="shared" si="7"/>
        <v>6.583333333333333</v>
      </c>
      <c r="J197" s="163" t="s">
        <v>235</v>
      </c>
      <c r="K197" s="161">
        <v>43587</v>
      </c>
      <c r="L197" s="165">
        <f t="shared" ca="1" si="8"/>
        <v>7.08</v>
      </c>
      <c r="M197" s="148" t="s">
        <v>705</v>
      </c>
      <c r="N197" s="75"/>
      <c r="O197" s="192" t="s">
        <v>237</v>
      </c>
      <c r="P197" s="193" t="s">
        <v>248</v>
      </c>
      <c r="Q197" s="193" t="s">
        <v>237</v>
      </c>
      <c r="R197" s="193" t="s">
        <v>237</v>
      </c>
      <c r="S197" s="193" t="s">
        <v>237</v>
      </c>
      <c r="T197" s="193" t="s">
        <v>237</v>
      </c>
      <c r="U197" s="193" t="s">
        <v>237</v>
      </c>
      <c r="V197" s="193" t="s">
        <v>237</v>
      </c>
    </row>
    <row r="198" spans="1:22" ht="14.5" customHeight="1" x14ac:dyDescent="0.35">
      <c r="A198" s="78">
        <v>197</v>
      </c>
      <c r="B198" s="173" t="s">
        <v>706</v>
      </c>
      <c r="C198" s="174">
        <v>90719900</v>
      </c>
      <c r="D198" s="171" t="str">
        <f>_xlfn.XLOOKUP(C198,Sheet2!B:B,Sheet2!A:A)</f>
        <v>SaiVarun.SallaDasharatha@rockwellautomation.com</v>
      </c>
      <c r="E198" s="107" t="s">
        <v>232</v>
      </c>
      <c r="F198" s="107" t="s">
        <v>244</v>
      </c>
      <c r="G198" s="184"/>
      <c r="H198" s="151" t="s">
        <v>344</v>
      </c>
      <c r="I198" s="167">
        <f t="shared" si="7"/>
        <v>2.4166666666666665</v>
      </c>
      <c r="J198" s="163" t="s">
        <v>235</v>
      </c>
      <c r="K198" s="161">
        <v>45107</v>
      </c>
      <c r="L198" s="165">
        <f t="shared" ca="1" si="8"/>
        <v>2.92</v>
      </c>
      <c r="M198" s="148" t="s">
        <v>707</v>
      </c>
      <c r="N198" s="75"/>
      <c r="O198" s="192" t="s">
        <v>237</v>
      </c>
      <c r="P198" s="193" t="s">
        <v>248</v>
      </c>
      <c r="Q198" s="193" t="s">
        <v>237</v>
      </c>
      <c r="R198" s="193" t="s">
        <v>237</v>
      </c>
      <c r="S198" s="193" t="s">
        <v>237</v>
      </c>
      <c r="T198" s="193" t="s">
        <v>237</v>
      </c>
      <c r="U198" s="193" t="s">
        <v>237</v>
      </c>
      <c r="V198" s="193" t="s">
        <v>237</v>
      </c>
    </row>
    <row r="199" spans="1:22" ht="14.5" customHeight="1" x14ac:dyDescent="0.35">
      <c r="A199" s="78">
        <v>198</v>
      </c>
      <c r="B199" s="198" t="s">
        <v>708</v>
      </c>
      <c r="C199" s="107">
        <v>90719908</v>
      </c>
      <c r="D199" s="171" t="str">
        <f>_xlfn.XLOOKUP(C199,Sheet2!B:B,Sheet2!A:A)</f>
        <v>SalvaMol.KM@rockwellautomation.com</v>
      </c>
      <c r="E199" s="107" t="s">
        <v>232</v>
      </c>
      <c r="F199" s="107" t="s">
        <v>223</v>
      </c>
      <c r="G199" s="184"/>
      <c r="H199" s="151" t="s">
        <v>283</v>
      </c>
      <c r="I199" s="167">
        <f t="shared" si="7"/>
        <v>2.1666666666666665</v>
      </c>
      <c r="J199" s="163" t="s">
        <v>235</v>
      </c>
      <c r="K199" s="161">
        <v>45205</v>
      </c>
      <c r="L199" s="165">
        <f t="shared" ca="1" si="8"/>
        <v>2.67</v>
      </c>
      <c r="M199" s="148" t="s">
        <v>709</v>
      </c>
      <c r="N199" s="75"/>
      <c r="O199" s="192" t="s">
        <v>237</v>
      </c>
      <c r="P199" s="193" t="s">
        <v>237</v>
      </c>
      <c r="Q199" s="193" t="s">
        <v>237</v>
      </c>
      <c r="R199" s="193" t="s">
        <v>237</v>
      </c>
      <c r="S199" s="193" t="s">
        <v>237</v>
      </c>
      <c r="T199" s="193" t="s">
        <v>237</v>
      </c>
      <c r="U199" s="193" t="s">
        <v>237</v>
      </c>
      <c r="V199" s="193" t="s">
        <v>237</v>
      </c>
    </row>
    <row r="200" spans="1:22" ht="14.5" customHeight="1" x14ac:dyDescent="0.35">
      <c r="A200" s="78">
        <v>199</v>
      </c>
      <c r="B200" s="141" t="s">
        <v>710</v>
      </c>
      <c r="C200" s="107">
        <v>90719578</v>
      </c>
      <c r="D200" s="171" t="str">
        <f>_xlfn.XLOOKUP(C200,Sheet2!B:B,Sheet2!A:A)</f>
        <v>Preethi.Samala@rockwellautomation.com</v>
      </c>
      <c r="E200" s="107" t="s">
        <v>232</v>
      </c>
      <c r="F200" s="107" t="s">
        <v>244</v>
      </c>
      <c r="G200" s="184"/>
      <c r="H200" s="151" t="s">
        <v>390</v>
      </c>
      <c r="I200" s="167">
        <f t="shared" si="7"/>
        <v>5.5</v>
      </c>
      <c r="J200" s="163" t="s">
        <v>235</v>
      </c>
      <c r="K200" s="161">
        <v>43991</v>
      </c>
      <c r="L200" s="165">
        <f t="shared" ca="1" si="8"/>
        <v>6</v>
      </c>
      <c r="M200" s="148" t="s">
        <v>711</v>
      </c>
      <c r="N200" s="75"/>
      <c r="O200" s="192" t="s">
        <v>237</v>
      </c>
      <c r="P200" s="193" t="s">
        <v>248</v>
      </c>
      <c r="Q200" s="193" t="s">
        <v>268</v>
      </c>
      <c r="R200" s="193" t="s">
        <v>237</v>
      </c>
      <c r="S200" s="193" t="s">
        <v>237</v>
      </c>
      <c r="T200" s="193" t="s">
        <v>237</v>
      </c>
      <c r="U200" s="193" t="s">
        <v>237</v>
      </c>
      <c r="V200" s="193" t="s">
        <v>237</v>
      </c>
    </row>
    <row r="201" spans="1:22" ht="14.5" customHeight="1" x14ac:dyDescent="0.35">
      <c r="A201" s="78">
        <v>200</v>
      </c>
      <c r="B201" s="141" t="s">
        <v>712</v>
      </c>
      <c r="C201" s="107">
        <v>90718960</v>
      </c>
      <c r="D201" s="171" t="str">
        <f>_xlfn.XLOOKUP(C201,Sheet2!B:B,Sheet2!A:A)</f>
        <v>Jayanth.Samineni@rockwellautomation.com</v>
      </c>
      <c r="E201" s="107" t="s">
        <v>249</v>
      </c>
      <c r="F201" s="107" t="s">
        <v>314</v>
      </c>
      <c r="G201" s="184" t="s">
        <v>245</v>
      </c>
      <c r="H201" s="151" t="s">
        <v>680</v>
      </c>
      <c r="I201" s="167">
        <f t="shared" ref="I201:I264" si="9">IF(
   OR(H201="",H201="NA"),
   "",
   VALUE(LEFT(H201,FIND("years",H201)-1)) +
   VALUE(MID(H201,FIND("years",H201)+5,FIND("months",H201)-FIND("years",H201)-5))/12
)</f>
        <v>9.6666666666666661</v>
      </c>
      <c r="J201" s="163" t="s">
        <v>235</v>
      </c>
      <c r="K201" s="161">
        <v>42443</v>
      </c>
      <c r="L201" s="165">
        <f t="shared" ca="1" si="8"/>
        <v>10.25</v>
      </c>
      <c r="M201" s="148" t="s">
        <v>713</v>
      </c>
      <c r="N201" s="75"/>
      <c r="O201" s="192" t="s">
        <v>254</v>
      </c>
      <c r="P201" s="193" t="s">
        <v>237</v>
      </c>
      <c r="Q201" s="193" t="s">
        <v>255</v>
      </c>
      <c r="R201" s="193" t="s">
        <v>237</v>
      </c>
      <c r="S201" s="193" t="s">
        <v>237</v>
      </c>
      <c r="T201" s="193" t="s">
        <v>237</v>
      </c>
      <c r="U201" s="193" t="s">
        <v>237</v>
      </c>
      <c r="V201" s="193" t="s">
        <v>264</v>
      </c>
    </row>
    <row r="202" spans="1:22" ht="14.5" customHeight="1" x14ac:dyDescent="0.35">
      <c r="A202" s="78">
        <v>201</v>
      </c>
      <c r="B202" s="141" t="s">
        <v>171</v>
      </c>
      <c r="C202" s="107">
        <v>90719627</v>
      </c>
      <c r="D202" s="171" t="str">
        <f>_xlfn.XLOOKUP(C202,Sheet2!B:B,Sheet2!A:A)</f>
        <v>Samrudh.AM@rockwellautomation.com</v>
      </c>
      <c r="E202" s="107" t="s">
        <v>232</v>
      </c>
      <c r="F202" s="107" t="s">
        <v>251</v>
      </c>
      <c r="G202" s="184"/>
      <c r="H202" s="151" t="s">
        <v>653</v>
      </c>
      <c r="I202" s="167">
        <f t="shared" si="9"/>
        <v>4.75</v>
      </c>
      <c r="J202" s="163" t="s">
        <v>235</v>
      </c>
      <c r="K202" s="161">
        <v>44249</v>
      </c>
      <c r="L202" s="165">
        <f t="shared" ca="1" si="8"/>
        <v>5.33</v>
      </c>
      <c r="M202" s="148" t="s">
        <v>714</v>
      </c>
      <c r="N202" s="75"/>
      <c r="O202" s="192" t="s">
        <v>237</v>
      </c>
      <c r="P202" s="193" t="s">
        <v>237</v>
      </c>
      <c r="Q202" s="193" t="s">
        <v>237</v>
      </c>
      <c r="R202" s="193" t="s">
        <v>237</v>
      </c>
      <c r="S202" s="193" t="s">
        <v>227</v>
      </c>
      <c r="T202" s="193" t="s">
        <v>237</v>
      </c>
      <c r="U202" s="193" t="s">
        <v>237</v>
      </c>
      <c r="V202" s="193" t="s">
        <v>237</v>
      </c>
    </row>
    <row r="203" spans="1:22" ht="14.5" customHeight="1" x14ac:dyDescent="0.35">
      <c r="A203" s="78">
        <v>202</v>
      </c>
      <c r="B203" s="141" t="s">
        <v>715</v>
      </c>
      <c r="C203" s="107">
        <v>80114708</v>
      </c>
      <c r="D203" s="171" t="str">
        <f>_xlfn.XLOOKUP(C203,Sheet2!B:B,Sheet2!A:A)</f>
        <v>Sandeep.Hebbar@rockwellautomation.com</v>
      </c>
      <c r="E203" s="107" t="s">
        <v>308</v>
      </c>
      <c r="F203" s="107" t="s">
        <v>309</v>
      </c>
      <c r="G203" s="184"/>
      <c r="H203" s="151" t="s">
        <v>716</v>
      </c>
      <c r="I203" s="167">
        <f t="shared" si="9"/>
        <v>17.333333333333332</v>
      </c>
      <c r="J203" s="163" t="s">
        <v>717</v>
      </c>
      <c r="K203" s="161">
        <v>44235</v>
      </c>
      <c r="L203" s="165">
        <f t="shared" ca="1" si="8"/>
        <v>17.829999999999998</v>
      </c>
      <c r="M203" s="148" t="s">
        <v>718</v>
      </c>
      <c r="N203" s="75"/>
      <c r="O203" s="192" t="s">
        <v>254</v>
      </c>
      <c r="P203" s="193" t="s">
        <v>237</v>
      </c>
      <c r="Q203" s="193" t="s">
        <v>237</v>
      </c>
      <c r="R203" s="193" t="s">
        <v>237</v>
      </c>
      <c r="S203" s="193" t="s">
        <v>237</v>
      </c>
      <c r="T203" s="193" t="s">
        <v>358</v>
      </c>
      <c r="U203" s="193" t="s">
        <v>237</v>
      </c>
      <c r="V203" s="193" t="s">
        <v>237</v>
      </c>
    </row>
    <row r="204" spans="1:22" ht="14.5" customHeight="1" x14ac:dyDescent="0.35">
      <c r="A204" s="78">
        <v>203</v>
      </c>
      <c r="B204" s="141" t="s">
        <v>719</v>
      </c>
      <c r="C204" s="107">
        <v>90719910</v>
      </c>
      <c r="D204" s="171" t="str">
        <f>_xlfn.XLOOKUP(C204,Sheet2!B:B,Sheet2!A:A)</f>
        <v>Sandeep.Nair@rockwellautomation.com</v>
      </c>
      <c r="E204" s="107" t="s">
        <v>232</v>
      </c>
      <c r="F204" s="107" t="s">
        <v>233</v>
      </c>
      <c r="G204" s="184"/>
      <c r="H204" s="151" t="s">
        <v>283</v>
      </c>
      <c r="I204" s="167">
        <f t="shared" si="9"/>
        <v>2.1666666666666665</v>
      </c>
      <c r="J204" s="163" t="s">
        <v>235</v>
      </c>
      <c r="K204" s="161">
        <v>45205</v>
      </c>
      <c r="L204" s="165">
        <f t="shared" ca="1" si="8"/>
        <v>2.67</v>
      </c>
      <c r="M204" s="148" t="s">
        <v>720</v>
      </c>
      <c r="N204" s="75"/>
      <c r="O204" s="192" t="s">
        <v>237</v>
      </c>
      <c r="P204" s="193" t="s">
        <v>237</v>
      </c>
      <c r="Q204" s="193" t="s">
        <v>268</v>
      </c>
      <c r="R204" s="193" t="s">
        <v>237</v>
      </c>
      <c r="S204" s="193" t="s">
        <v>237</v>
      </c>
      <c r="T204" s="193" t="s">
        <v>721</v>
      </c>
      <c r="U204" s="193" t="s">
        <v>237</v>
      </c>
      <c r="V204" s="193" t="s">
        <v>237</v>
      </c>
    </row>
    <row r="205" spans="1:22" ht="14.5" customHeight="1" x14ac:dyDescent="0.35">
      <c r="A205" s="78">
        <v>204</v>
      </c>
      <c r="B205" s="141" t="s">
        <v>722</v>
      </c>
      <c r="C205" s="107">
        <v>90719959</v>
      </c>
      <c r="D205" s="171" t="str">
        <f>_xlfn.XLOOKUP(C205,Sheet2!B:B,Sheet2!A:A)</f>
        <v>Sangram.Samanta@rockwellautomation.com</v>
      </c>
      <c r="E205" s="107" t="s">
        <v>232</v>
      </c>
      <c r="F205" s="107" t="s">
        <v>233</v>
      </c>
      <c r="G205" s="184"/>
      <c r="H205" s="151" t="s">
        <v>250</v>
      </c>
      <c r="I205" s="167">
        <f t="shared" si="9"/>
        <v>9.5</v>
      </c>
      <c r="J205" s="163" t="s">
        <v>723</v>
      </c>
      <c r="K205" s="161">
        <v>44791</v>
      </c>
      <c r="L205" s="165">
        <f t="shared" ca="1" si="8"/>
        <v>10.08</v>
      </c>
      <c r="M205" s="148" t="s">
        <v>724</v>
      </c>
      <c r="N205" s="75"/>
      <c r="O205" s="192" t="s">
        <v>237</v>
      </c>
      <c r="P205" s="193" t="s">
        <v>237</v>
      </c>
      <c r="Q205" s="193" t="s">
        <v>237</v>
      </c>
      <c r="R205" s="193" t="s">
        <v>237</v>
      </c>
      <c r="S205" s="193" t="s">
        <v>237</v>
      </c>
      <c r="T205" s="193" t="s">
        <v>237</v>
      </c>
      <c r="U205" s="193" t="s">
        <v>237</v>
      </c>
      <c r="V205" s="193" t="s">
        <v>237</v>
      </c>
    </row>
    <row r="206" spans="1:22" ht="14.5" customHeight="1" x14ac:dyDescent="0.35">
      <c r="A206" s="78">
        <v>205</v>
      </c>
      <c r="B206" s="141" t="s">
        <v>200</v>
      </c>
      <c r="C206" s="107">
        <v>90729815</v>
      </c>
      <c r="D206" s="171" t="str">
        <f>_xlfn.XLOOKUP(C206,Sheet2!B:B,Sheet2!A:A)</f>
        <v>Sanjana.NN@rockwellautomation.com</v>
      </c>
      <c r="E206" s="107" t="s">
        <v>249</v>
      </c>
      <c r="F206" s="107" t="s">
        <v>244</v>
      </c>
      <c r="G206" s="184" t="s">
        <v>245</v>
      </c>
      <c r="H206" s="151" t="s">
        <v>725</v>
      </c>
      <c r="I206" s="167">
        <f t="shared" si="9"/>
        <v>10.333333333333334</v>
      </c>
      <c r="J206" s="163" t="s">
        <v>726</v>
      </c>
      <c r="K206" s="161">
        <v>45761</v>
      </c>
      <c r="L206" s="165">
        <f t="shared" ca="1" si="8"/>
        <v>10.92</v>
      </c>
      <c r="M206" s="148" t="s">
        <v>727</v>
      </c>
      <c r="N206" s="75"/>
      <c r="O206" s="192" t="s">
        <v>237</v>
      </c>
      <c r="P206" s="193" t="s">
        <v>248</v>
      </c>
      <c r="Q206" s="193" t="s">
        <v>237</v>
      </c>
      <c r="R206" s="193" t="s">
        <v>237</v>
      </c>
      <c r="S206" s="193" t="s">
        <v>237</v>
      </c>
      <c r="T206" s="193" t="s">
        <v>237</v>
      </c>
      <c r="U206" s="193" t="s">
        <v>237</v>
      </c>
      <c r="V206" s="193" t="s">
        <v>237</v>
      </c>
    </row>
    <row r="207" spans="1:22" ht="14.5" customHeight="1" x14ac:dyDescent="0.35">
      <c r="A207" s="78">
        <v>206</v>
      </c>
      <c r="B207" s="141" t="s">
        <v>728</v>
      </c>
      <c r="C207" s="107">
        <v>90727177</v>
      </c>
      <c r="D207" s="171" t="str">
        <f>_xlfn.XLOOKUP(C207,Sheet2!B:B,Sheet2!A:A)</f>
        <v>Sanjay.Hiremath@rockwellautomation.com</v>
      </c>
      <c r="E207" s="107" t="s">
        <v>232</v>
      </c>
      <c r="F207" s="107" t="s">
        <v>233</v>
      </c>
      <c r="G207" s="184"/>
      <c r="H207" s="151" t="s">
        <v>234</v>
      </c>
      <c r="I207" s="167">
        <f t="shared" si="9"/>
        <v>1.3333333333333333</v>
      </c>
      <c r="J207" s="163" t="s">
        <v>235</v>
      </c>
      <c r="K207" s="161">
        <v>45488</v>
      </c>
      <c r="L207" s="165">
        <f t="shared" ca="1" si="8"/>
        <v>1.92</v>
      </c>
      <c r="M207" s="148" t="e">
        <v>#N/A</v>
      </c>
      <c r="N207" s="75"/>
      <c r="O207" s="192" t="s">
        <v>237</v>
      </c>
      <c r="P207" s="193" t="s">
        <v>237</v>
      </c>
      <c r="Q207" s="193" t="s">
        <v>237</v>
      </c>
      <c r="R207" s="193" t="s">
        <v>237</v>
      </c>
      <c r="S207" s="193" t="s">
        <v>237</v>
      </c>
      <c r="T207" s="193" t="s">
        <v>237</v>
      </c>
      <c r="U207" s="193" t="s">
        <v>237</v>
      </c>
      <c r="V207" s="193" t="s">
        <v>396</v>
      </c>
    </row>
    <row r="208" spans="1:22" ht="14.5" customHeight="1" x14ac:dyDescent="0.35">
      <c r="A208" s="78">
        <v>207</v>
      </c>
      <c r="B208" s="176" t="s">
        <v>729</v>
      </c>
      <c r="C208" s="180">
        <v>90732271</v>
      </c>
      <c r="D208" s="171" t="str">
        <f>_xlfn.XLOOKUP(C208,Sheet2!B:B,Sheet2!A:A)</f>
        <v>SANJEEVANI.SANJEEVANI@rockwellautomation.com</v>
      </c>
      <c r="E208" s="107" t="s">
        <v>232</v>
      </c>
      <c r="F208" s="107" t="s">
        <v>244</v>
      </c>
      <c r="G208" s="184"/>
      <c r="H208" s="151" t="s">
        <v>246</v>
      </c>
      <c r="I208" s="167">
        <f t="shared" si="9"/>
        <v>0.25</v>
      </c>
      <c r="J208" s="163" t="e">
        <v>#N/A</v>
      </c>
      <c r="K208" s="161">
        <v>45891</v>
      </c>
      <c r="L208" s="165" t="e">
        <f t="shared" ca="1" si="8"/>
        <v>#N/A</v>
      </c>
      <c r="M208" s="148" t="s">
        <v>730</v>
      </c>
      <c r="N208" s="75"/>
      <c r="O208" s="192" t="s">
        <v>254</v>
      </c>
      <c r="P208" s="193" t="s">
        <v>248</v>
      </c>
      <c r="Q208" s="193" t="s">
        <v>268</v>
      </c>
      <c r="R208" s="193" t="s">
        <v>237</v>
      </c>
      <c r="S208" s="193" t="s">
        <v>237</v>
      </c>
      <c r="T208" s="193" t="s">
        <v>237</v>
      </c>
      <c r="U208" s="193" t="s">
        <v>237</v>
      </c>
      <c r="V208" s="193" t="s">
        <v>237</v>
      </c>
    </row>
    <row r="209" spans="1:22" ht="14.5" customHeight="1" x14ac:dyDescent="0.35">
      <c r="A209" s="78">
        <v>208</v>
      </c>
      <c r="B209" s="154" t="s">
        <v>731</v>
      </c>
      <c r="C209" s="107">
        <v>90719926</v>
      </c>
      <c r="D209" s="171" t="str">
        <f>_xlfn.XLOOKUP(C209,Sheet2!B:B,Sheet2!A:A)</f>
        <v>Sanket.Shetty@rockwellautomation.com</v>
      </c>
      <c r="E209" s="107" t="s">
        <v>232</v>
      </c>
      <c r="F209" s="107" t="s">
        <v>244</v>
      </c>
      <c r="G209" s="184"/>
      <c r="H209" s="151" t="s">
        <v>283</v>
      </c>
      <c r="I209" s="167">
        <f t="shared" si="9"/>
        <v>2.1666666666666665</v>
      </c>
      <c r="J209" s="163" t="s">
        <v>235</v>
      </c>
      <c r="K209" s="161">
        <v>45205</v>
      </c>
      <c r="L209" s="165">
        <f t="shared" ca="1" si="8"/>
        <v>2.67</v>
      </c>
      <c r="M209" s="148" t="s">
        <v>732</v>
      </c>
      <c r="N209" s="75"/>
      <c r="O209" s="192" t="s">
        <v>733</v>
      </c>
      <c r="P209" s="193" t="s">
        <v>248</v>
      </c>
      <c r="Q209" s="193" t="s">
        <v>237</v>
      </c>
      <c r="R209" s="193" t="s">
        <v>237</v>
      </c>
      <c r="S209" s="193" t="s">
        <v>237</v>
      </c>
      <c r="T209" s="193" t="s">
        <v>237</v>
      </c>
      <c r="U209" s="193" t="s">
        <v>237</v>
      </c>
      <c r="V209" s="193" t="s">
        <v>237</v>
      </c>
    </row>
    <row r="210" spans="1:22" ht="14.5" customHeight="1" x14ac:dyDescent="0.35">
      <c r="A210" s="78">
        <v>209</v>
      </c>
      <c r="B210" s="141" t="s">
        <v>734</v>
      </c>
      <c r="C210" s="107">
        <v>90719526</v>
      </c>
      <c r="D210" s="171" t="str">
        <f>_xlfn.XLOOKUP(C210,Sheet2!B:B,Sheet2!A:A)</f>
        <v>Santhosh.Nethaji@rockwellautomation.com</v>
      </c>
      <c r="E210" s="107" t="s">
        <v>232</v>
      </c>
      <c r="F210" s="107" t="s">
        <v>239</v>
      </c>
      <c r="G210" s="184"/>
      <c r="H210" s="151" t="s">
        <v>350</v>
      </c>
      <c r="I210" s="167">
        <f t="shared" si="9"/>
        <v>6.083333333333333</v>
      </c>
      <c r="J210" s="163" t="s">
        <v>235</v>
      </c>
      <c r="K210" s="161">
        <v>43759</v>
      </c>
      <c r="L210" s="165">
        <f t="shared" ca="1" si="8"/>
        <v>6.67</v>
      </c>
      <c r="M210" s="148" t="s">
        <v>735</v>
      </c>
      <c r="N210" s="75"/>
      <c r="O210" s="192" t="s">
        <v>237</v>
      </c>
      <c r="P210" s="193" t="s">
        <v>237</v>
      </c>
      <c r="Q210" s="193" t="s">
        <v>237</v>
      </c>
      <c r="R210" s="193" t="s">
        <v>237</v>
      </c>
      <c r="S210" s="193" t="s">
        <v>227</v>
      </c>
      <c r="T210" s="193" t="s">
        <v>237</v>
      </c>
      <c r="U210" s="193" t="s">
        <v>237</v>
      </c>
      <c r="V210" s="193" t="s">
        <v>237</v>
      </c>
    </row>
    <row r="211" spans="1:22" ht="14.5" customHeight="1" x14ac:dyDescent="0.35">
      <c r="A211" s="78">
        <v>210</v>
      </c>
      <c r="B211" s="141" t="s">
        <v>197</v>
      </c>
      <c r="C211" s="107">
        <v>90718943</v>
      </c>
      <c r="D211" s="171" t="str">
        <f>_xlfn.XLOOKUP(C211,Sheet2!B:B,Sheet2!A:A)</f>
        <v>Sareesh.Krishnan@rockwellautomation.com</v>
      </c>
      <c r="E211" s="107" t="s">
        <v>308</v>
      </c>
      <c r="F211" s="107" t="s">
        <v>309</v>
      </c>
      <c r="G211" s="184" t="s">
        <v>245</v>
      </c>
      <c r="H211" s="151" t="s">
        <v>736</v>
      </c>
      <c r="I211" s="167">
        <f t="shared" si="9"/>
        <v>11.25</v>
      </c>
      <c r="J211" s="163" t="s">
        <v>361</v>
      </c>
      <c r="K211" s="161">
        <v>42292</v>
      </c>
      <c r="L211" s="165">
        <f t="shared" ca="1" si="8"/>
        <v>11.83</v>
      </c>
      <c r="M211" s="148" t="s">
        <v>737</v>
      </c>
      <c r="N211" s="75"/>
      <c r="O211" s="192" t="s">
        <v>237</v>
      </c>
      <c r="P211" s="193" t="s">
        <v>237</v>
      </c>
      <c r="Q211" s="193" t="s">
        <v>237</v>
      </c>
      <c r="R211" s="193" t="s">
        <v>237</v>
      </c>
      <c r="S211" s="193" t="s">
        <v>237</v>
      </c>
      <c r="T211" s="193" t="s">
        <v>237</v>
      </c>
      <c r="U211" s="193" t="s">
        <v>237</v>
      </c>
      <c r="V211" s="193" t="s">
        <v>621</v>
      </c>
    </row>
    <row r="212" spans="1:22" ht="14.5" customHeight="1" x14ac:dyDescent="0.35">
      <c r="A212" s="78">
        <v>211</v>
      </c>
      <c r="B212" s="196" t="s">
        <v>738</v>
      </c>
      <c r="C212" s="107">
        <v>90719949</v>
      </c>
      <c r="D212" s="171" t="str">
        <f>_xlfn.XLOOKUP(C212,Sheet2!B:B,Sheet2!A:A)</f>
        <v>Serin.Varghese@rockwellautomation.com</v>
      </c>
      <c r="E212" s="107" t="s">
        <v>232</v>
      </c>
      <c r="F212" s="107" t="s">
        <v>314</v>
      </c>
      <c r="G212" s="184"/>
      <c r="H212" s="151" t="s">
        <v>283</v>
      </c>
      <c r="I212" s="167">
        <f t="shared" si="9"/>
        <v>2.1666666666666665</v>
      </c>
      <c r="J212" s="163" t="s">
        <v>235</v>
      </c>
      <c r="K212" s="161">
        <v>45205</v>
      </c>
      <c r="L212" s="165">
        <f t="shared" ca="1" si="8"/>
        <v>2.67</v>
      </c>
      <c r="M212" s="148" t="s">
        <v>739</v>
      </c>
      <c r="N212" s="75"/>
      <c r="O212" s="192" t="s">
        <v>237</v>
      </c>
      <c r="P212" s="193" t="s">
        <v>237</v>
      </c>
      <c r="Q212" s="193" t="s">
        <v>237</v>
      </c>
      <c r="R212" s="193" t="s">
        <v>237</v>
      </c>
      <c r="S212" s="193" t="s">
        <v>237</v>
      </c>
      <c r="T212" s="193" t="s">
        <v>237</v>
      </c>
      <c r="U212" s="193" t="s">
        <v>237</v>
      </c>
      <c r="V212" s="193" t="s">
        <v>237</v>
      </c>
    </row>
    <row r="213" spans="1:22" ht="14.5" customHeight="1" x14ac:dyDescent="0.35">
      <c r="A213" s="78">
        <v>212</v>
      </c>
      <c r="B213" s="176" t="s">
        <v>740</v>
      </c>
      <c r="C213" s="180">
        <v>90732412</v>
      </c>
      <c r="D213" s="171" t="str">
        <f>_xlfn.XLOOKUP(C213,Sheet2!B:B,Sheet2!A:A)</f>
        <v>Shabarish.V@rockwellautomation.com</v>
      </c>
      <c r="E213" s="107" t="s">
        <v>232</v>
      </c>
      <c r="F213" s="107" t="s">
        <v>300</v>
      </c>
      <c r="G213" s="184"/>
      <c r="H213" s="151" t="s">
        <v>242</v>
      </c>
      <c r="I213" s="167" t="str">
        <f t="shared" si="9"/>
        <v/>
      </c>
      <c r="J213" s="163" t="e">
        <v>#N/A</v>
      </c>
      <c r="K213" s="161">
        <v>45943</v>
      </c>
      <c r="L213" s="165" t="e">
        <f t="shared" ca="1" si="8"/>
        <v>#N/A</v>
      </c>
      <c r="M213" s="148" t="s">
        <v>741</v>
      </c>
      <c r="N213" s="75"/>
      <c r="O213" s="192" t="s">
        <v>237</v>
      </c>
      <c r="P213" s="193" t="s">
        <v>237</v>
      </c>
      <c r="Q213" s="193" t="s">
        <v>268</v>
      </c>
      <c r="R213" s="193" t="s">
        <v>237</v>
      </c>
      <c r="S213" s="193" t="s">
        <v>237</v>
      </c>
      <c r="T213" s="193" t="s">
        <v>237</v>
      </c>
      <c r="U213" s="193" t="s">
        <v>300</v>
      </c>
      <c r="V213" s="193" t="s">
        <v>237</v>
      </c>
    </row>
    <row r="214" spans="1:22" ht="14.5" customHeight="1" x14ac:dyDescent="0.35">
      <c r="A214" s="78">
        <v>213</v>
      </c>
      <c r="B214" s="141" t="s">
        <v>742</v>
      </c>
      <c r="C214" s="107">
        <v>90719304</v>
      </c>
      <c r="D214" s="171" t="str">
        <f>_xlfn.XLOOKUP(C214,Sheet2!B:B,Sheet2!A:A)</f>
        <v>Shaheem.KV@rockwellautomation.com</v>
      </c>
      <c r="E214" s="107" t="s">
        <v>308</v>
      </c>
      <c r="F214" s="107" t="s">
        <v>309</v>
      </c>
      <c r="G214" s="184"/>
      <c r="H214" s="151" t="s">
        <v>310</v>
      </c>
      <c r="I214" s="167">
        <f t="shared" si="9"/>
        <v>10.166666666666666</v>
      </c>
      <c r="J214" s="163" t="s">
        <v>235</v>
      </c>
      <c r="K214" s="161">
        <v>42282</v>
      </c>
      <c r="L214" s="165">
        <f t="shared" ca="1" si="8"/>
        <v>10.67</v>
      </c>
      <c r="M214" s="148" t="s">
        <v>743</v>
      </c>
      <c r="N214" s="75"/>
      <c r="O214" s="192" t="s">
        <v>237</v>
      </c>
      <c r="P214" s="193" t="s">
        <v>237</v>
      </c>
      <c r="Q214" s="193" t="s">
        <v>237</v>
      </c>
      <c r="R214" s="193" t="s">
        <v>237</v>
      </c>
      <c r="S214" s="193" t="s">
        <v>237</v>
      </c>
      <c r="T214" s="193" t="s">
        <v>388</v>
      </c>
      <c r="U214" s="193" t="s">
        <v>237</v>
      </c>
      <c r="V214" s="193" t="s">
        <v>342</v>
      </c>
    </row>
    <row r="215" spans="1:22" ht="14.5" customHeight="1" x14ac:dyDescent="0.35">
      <c r="A215" s="78">
        <v>214</v>
      </c>
      <c r="B215" s="141" t="s">
        <v>145</v>
      </c>
      <c r="C215" s="107">
        <v>90719500</v>
      </c>
      <c r="D215" s="171" t="str">
        <f>_xlfn.XLOOKUP(C215,Sheet2!B:B,Sheet2!A:A)</f>
        <v>ShaikMohammad.Sahil@rockwellautomation.com</v>
      </c>
      <c r="E215" s="107" t="s">
        <v>232</v>
      </c>
      <c r="F215" s="107" t="s">
        <v>251</v>
      </c>
      <c r="G215" s="184" t="s">
        <v>245</v>
      </c>
      <c r="H215" s="151" t="s">
        <v>744</v>
      </c>
      <c r="I215" s="167">
        <f t="shared" si="9"/>
        <v>6.25</v>
      </c>
      <c r="J215" s="163" t="s">
        <v>235</v>
      </c>
      <c r="K215" s="161">
        <v>43696</v>
      </c>
      <c r="L215" s="165">
        <f t="shared" ca="1" si="8"/>
        <v>6.83</v>
      </c>
      <c r="M215" s="148" t="s">
        <v>745</v>
      </c>
      <c r="N215" s="75"/>
      <c r="O215" s="192" t="s">
        <v>254</v>
      </c>
      <c r="P215" s="193" t="s">
        <v>237</v>
      </c>
      <c r="Q215" s="193" t="s">
        <v>237</v>
      </c>
      <c r="R215" s="193" t="s">
        <v>237</v>
      </c>
      <c r="S215" s="193" t="s">
        <v>237</v>
      </c>
      <c r="T215" s="193" t="s">
        <v>237</v>
      </c>
      <c r="U215" s="193" t="s">
        <v>237</v>
      </c>
      <c r="V215" s="193" t="s">
        <v>237</v>
      </c>
    </row>
    <row r="216" spans="1:22" ht="14.5" customHeight="1" x14ac:dyDescent="0.35">
      <c r="A216" s="78">
        <v>215</v>
      </c>
      <c r="B216" s="176" t="s">
        <v>746</v>
      </c>
      <c r="C216" s="180">
        <v>90732333</v>
      </c>
      <c r="D216" s="171" t="str">
        <f>_xlfn.XLOOKUP(C216,Sheet2!B:B,Sheet2!A:A)</f>
        <v>Shakthi.P@rockwellautomation.com</v>
      </c>
      <c r="E216" s="107" t="s">
        <v>232</v>
      </c>
      <c r="F216" s="107" t="s">
        <v>251</v>
      </c>
      <c r="G216" s="184"/>
      <c r="H216" s="151" t="s">
        <v>747</v>
      </c>
      <c r="I216" s="167">
        <f t="shared" si="9"/>
        <v>3.3333333333333335</v>
      </c>
      <c r="J216" s="163" t="s">
        <v>394</v>
      </c>
      <c r="K216" s="161">
        <v>45936</v>
      </c>
      <c r="L216" s="165">
        <f t="shared" ca="1" si="8"/>
        <v>3.67</v>
      </c>
      <c r="M216" s="148" t="s">
        <v>748</v>
      </c>
      <c r="N216" s="75"/>
      <c r="O216" s="192" t="s">
        <v>254</v>
      </c>
      <c r="P216" s="193" t="s">
        <v>237</v>
      </c>
      <c r="Q216" s="193" t="s">
        <v>255</v>
      </c>
      <c r="R216" s="193" t="s">
        <v>237</v>
      </c>
      <c r="S216" s="193" t="s">
        <v>237</v>
      </c>
      <c r="T216" s="193" t="s">
        <v>237</v>
      </c>
      <c r="U216" s="193" t="s">
        <v>237</v>
      </c>
      <c r="V216" s="193" t="s">
        <v>237</v>
      </c>
    </row>
    <row r="217" spans="1:22" ht="14.5" customHeight="1" x14ac:dyDescent="0.35">
      <c r="A217" s="78">
        <v>216</v>
      </c>
      <c r="B217" s="176" t="s">
        <v>749</v>
      </c>
      <c r="C217" s="180">
        <v>90732273</v>
      </c>
      <c r="D217" s="171" t="str">
        <f>_xlfn.XLOOKUP(C217,Sheet2!B:B,Sheet2!A:A)</f>
        <v>Shalwin.AS@rockwellautomation.com</v>
      </c>
      <c r="E217" s="107" t="s">
        <v>232</v>
      </c>
      <c r="F217" s="107" t="s">
        <v>251</v>
      </c>
      <c r="G217" s="184"/>
      <c r="H217" s="151" t="s">
        <v>246</v>
      </c>
      <c r="I217" s="167">
        <f t="shared" si="9"/>
        <v>0.25</v>
      </c>
      <c r="J217" s="163" t="e">
        <v>#N/A</v>
      </c>
      <c r="K217" s="161">
        <v>45891</v>
      </c>
      <c r="L217" s="165" t="e">
        <f t="shared" ca="1" si="8"/>
        <v>#N/A</v>
      </c>
      <c r="M217" s="148" t="s">
        <v>750</v>
      </c>
      <c r="N217" s="75"/>
      <c r="O217" s="192" t="s">
        <v>254</v>
      </c>
      <c r="P217" s="193" t="s">
        <v>237</v>
      </c>
      <c r="Q217" s="193" t="s">
        <v>373</v>
      </c>
      <c r="R217" s="193" t="s">
        <v>237</v>
      </c>
      <c r="S217" s="193" t="s">
        <v>237</v>
      </c>
      <c r="T217" s="193" t="s">
        <v>237</v>
      </c>
      <c r="U217" s="193" t="s">
        <v>237</v>
      </c>
      <c r="V217" s="193" t="s">
        <v>237</v>
      </c>
    </row>
    <row r="218" spans="1:22" ht="14.5" customHeight="1" x14ac:dyDescent="0.35">
      <c r="A218" s="78">
        <v>217</v>
      </c>
      <c r="B218" s="154" t="s">
        <v>751</v>
      </c>
      <c r="C218" s="107">
        <v>90719899</v>
      </c>
      <c r="D218" s="171" t="str">
        <f>_xlfn.XLOOKUP(C218,Sheet2!B:B,Sheet2!A:A)</f>
        <v>Shangeetha.J@rockwellautomation.com</v>
      </c>
      <c r="E218" s="107" t="s">
        <v>232</v>
      </c>
      <c r="F218" s="107" t="s">
        <v>223</v>
      </c>
      <c r="G218" s="184" t="s">
        <v>245</v>
      </c>
      <c r="H218" s="151" t="s">
        <v>283</v>
      </c>
      <c r="I218" s="167">
        <f t="shared" si="9"/>
        <v>2.1666666666666665</v>
      </c>
      <c r="J218" s="163" t="s">
        <v>235</v>
      </c>
      <c r="K218" s="161">
        <v>45205</v>
      </c>
      <c r="L218" s="165">
        <f t="shared" ca="1" si="8"/>
        <v>2.67</v>
      </c>
      <c r="M218" s="148" t="s">
        <v>752</v>
      </c>
      <c r="N218" s="75"/>
      <c r="O218" s="192" t="s">
        <v>254</v>
      </c>
      <c r="P218" s="193" t="s">
        <v>237</v>
      </c>
      <c r="Q218" s="193" t="s">
        <v>268</v>
      </c>
      <c r="R218" s="193" t="s">
        <v>237</v>
      </c>
      <c r="S218" s="193" t="s">
        <v>237</v>
      </c>
      <c r="T218" s="193" t="s">
        <v>237</v>
      </c>
      <c r="U218" s="193" t="s">
        <v>237</v>
      </c>
      <c r="V218" s="193" t="s">
        <v>237</v>
      </c>
    </row>
    <row r="219" spans="1:22" ht="14.5" customHeight="1" x14ac:dyDescent="0.35">
      <c r="A219" s="78">
        <v>218</v>
      </c>
      <c r="B219" s="154" t="s">
        <v>753</v>
      </c>
      <c r="C219" s="107">
        <v>90719003</v>
      </c>
      <c r="D219" s="171" t="str">
        <f>_xlfn.XLOOKUP(C219,Sheet2!B:B,Sheet2!A:A)</f>
        <v>ShanmugaSruthi.Sruthi@rockwellautomation.com</v>
      </c>
      <c r="E219" s="107" t="s">
        <v>249</v>
      </c>
      <c r="F219" s="107" t="s">
        <v>259</v>
      </c>
      <c r="G219" s="184"/>
      <c r="H219" s="151" t="s">
        <v>754</v>
      </c>
      <c r="I219" s="167">
        <f t="shared" si="9"/>
        <v>10</v>
      </c>
      <c r="J219" s="163" t="s">
        <v>755</v>
      </c>
      <c r="K219" s="161">
        <v>44537</v>
      </c>
      <c r="L219" s="165">
        <f t="shared" ca="1" si="8"/>
        <v>10.5</v>
      </c>
      <c r="M219" s="148" t="s">
        <v>756</v>
      </c>
      <c r="N219" s="75"/>
      <c r="O219" s="192" t="s">
        <v>254</v>
      </c>
      <c r="P219" s="193" t="s">
        <v>237</v>
      </c>
      <c r="Q219" s="193" t="s">
        <v>237</v>
      </c>
      <c r="R219" s="193" t="s">
        <v>237</v>
      </c>
      <c r="S219" s="193" t="s">
        <v>237</v>
      </c>
      <c r="T219" s="193" t="s">
        <v>237</v>
      </c>
      <c r="U219" s="193" t="s">
        <v>237</v>
      </c>
      <c r="V219" s="193" t="s">
        <v>264</v>
      </c>
    </row>
    <row r="220" spans="1:22" ht="14.5" customHeight="1" x14ac:dyDescent="0.35">
      <c r="A220" s="78">
        <v>219</v>
      </c>
      <c r="B220" s="141" t="s">
        <v>757</v>
      </c>
      <c r="C220" s="107">
        <v>90719470</v>
      </c>
      <c r="D220" s="171" t="str">
        <f>_xlfn.XLOOKUP(C220,Sheet2!B:B,Sheet2!A:A)</f>
        <v>Shanmugapriya.K@rockwellautomation.com</v>
      </c>
      <c r="E220" s="107" t="s">
        <v>232</v>
      </c>
      <c r="F220" s="107" t="s">
        <v>300</v>
      </c>
      <c r="G220" s="184" t="s">
        <v>245</v>
      </c>
      <c r="H220" s="151" t="s">
        <v>537</v>
      </c>
      <c r="I220" s="167">
        <f t="shared" si="9"/>
        <v>8.5833333333333339</v>
      </c>
      <c r="J220" s="163" t="s">
        <v>311</v>
      </c>
      <c r="K220" s="161">
        <v>43571</v>
      </c>
      <c r="L220" s="165">
        <f t="shared" ca="1" si="8"/>
        <v>9.17</v>
      </c>
      <c r="M220" s="148" t="s">
        <v>758</v>
      </c>
      <c r="N220" s="75"/>
      <c r="O220" s="192" t="s">
        <v>237</v>
      </c>
      <c r="P220" s="193" t="s">
        <v>237</v>
      </c>
      <c r="Q220" s="193" t="s">
        <v>237</v>
      </c>
      <c r="R220" s="193" t="s">
        <v>237</v>
      </c>
      <c r="S220" s="193" t="s">
        <v>237</v>
      </c>
      <c r="T220" s="193" t="s">
        <v>237</v>
      </c>
      <c r="U220" s="193" t="s">
        <v>300</v>
      </c>
      <c r="V220" s="193" t="s">
        <v>237</v>
      </c>
    </row>
    <row r="221" spans="1:22" ht="14.5" customHeight="1" x14ac:dyDescent="0.35">
      <c r="A221" s="78">
        <v>220</v>
      </c>
      <c r="B221" s="141" t="s">
        <v>174</v>
      </c>
      <c r="C221" s="107">
        <v>90719641</v>
      </c>
      <c r="D221" s="171" t="str">
        <f>_xlfn.XLOOKUP(C221,Sheet2!B:B,Sheet2!A:A)</f>
        <v>Shilpa.R@rockwellautomation.com</v>
      </c>
      <c r="E221" s="107" t="s">
        <v>232</v>
      </c>
      <c r="F221" s="107" t="s">
        <v>239</v>
      </c>
      <c r="G221" s="184"/>
      <c r="H221" s="151" t="s">
        <v>611</v>
      </c>
      <c r="I221" s="167">
        <f t="shared" si="9"/>
        <v>4.666666666666667</v>
      </c>
      <c r="J221" s="163" t="s">
        <v>235</v>
      </c>
      <c r="K221" s="161">
        <v>44279</v>
      </c>
      <c r="L221" s="165">
        <f t="shared" ca="1" si="8"/>
        <v>5.17</v>
      </c>
      <c r="M221" s="148" t="e">
        <v>#N/A</v>
      </c>
      <c r="N221" s="75"/>
      <c r="O221" s="192" t="s">
        <v>237</v>
      </c>
      <c r="P221" s="193" t="s">
        <v>237</v>
      </c>
      <c r="Q221" s="193" t="s">
        <v>237</v>
      </c>
      <c r="R221" s="193" t="s">
        <v>237</v>
      </c>
      <c r="S221" s="193" t="s">
        <v>227</v>
      </c>
      <c r="T221" s="193" t="s">
        <v>237</v>
      </c>
      <c r="U221" s="193" t="s">
        <v>237</v>
      </c>
      <c r="V221" s="193" t="s">
        <v>237</v>
      </c>
    </row>
    <row r="222" spans="1:22" ht="14.5" customHeight="1" x14ac:dyDescent="0.35">
      <c r="A222" s="78">
        <v>221</v>
      </c>
      <c r="B222" s="141" t="s">
        <v>191</v>
      </c>
      <c r="C222" s="107">
        <v>90719433</v>
      </c>
      <c r="D222" s="171" t="str">
        <f>_xlfn.XLOOKUP(C222,Sheet2!B:B,Sheet2!A:A)</f>
        <v>Shivam.Katkamwar@rockwellautomation.com</v>
      </c>
      <c r="E222" s="107" t="s">
        <v>232</v>
      </c>
      <c r="F222" s="107" t="s">
        <v>251</v>
      </c>
      <c r="G222" s="184" t="s">
        <v>245</v>
      </c>
      <c r="H222" s="151" t="s">
        <v>663</v>
      </c>
      <c r="I222" s="167">
        <f t="shared" si="9"/>
        <v>7</v>
      </c>
      <c r="J222" s="163" t="s">
        <v>235</v>
      </c>
      <c r="K222" s="161">
        <v>43416</v>
      </c>
      <c r="L222" s="165">
        <f t="shared" ca="1" si="8"/>
        <v>7.58</v>
      </c>
      <c r="M222" s="148" t="s">
        <v>759</v>
      </c>
      <c r="N222" s="75"/>
      <c r="O222" s="192" t="s">
        <v>254</v>
      </c>
      <c r="P222" s="193" t="s">
        <v>237</v>
      </c>
      <c r="Q222" s="193" t="s">
        <v>237</v>
      </c>
      <c r="R222" s="193" t="s">
        <v>237</v>
      </c>
      <c r="S222" s="193" t="s">
        <v>237</v>
      </c>
      <c r="T222" s="193" t="s">
        <v>237</v>
      </c>
      <c r="U222" s="193" t="s">
        <v>237</v>
      </c>
      <c r="V222" s="193" t="s">
        <v>237</v>
      </c>
    </row>
    <row r="223" spans="1:22" ht="14.5" customHeight="1" x14ac:dyDescent="0.35">
      <c r="A223" s="78">
        <v>222</v>
      </c>
      <c r="B223" s="154" t="s">
        <v>760</v>
      </c>
      <c r="C223" s="107">
        <v>90719378</v>
      </c>
      <c r="D223" s="171" t="str">
        <f>_xlfn.XLOOKUP(C223,Sheet2!B:B,Sheet2!A:A)</f>
        <v>Shubham.Kothale@rockwellautomation.com</v>
      </c>
      <c r="E223" s="107" t="s">
        <v>249</v>
      </c>
      <c r="F223" s="107" t="s">
        <v>223</v>
      </c>
      <c r="G223" s="184"/>
      <c r="H223" s="151" t="s">
        <v>542</v>
      </c>
      <c r="I223" s="167">
        <f t="shared" si="9"/>
        <v>8.1666666666666661</v>
      </c>
      <c r="J223" s="163" t="s">
        <v>235</v>
      </c>
      <c r="K223" s="161">
        <v>43018</v>
      </c>
      <c r="L223" s="165">
        <f t="shared" ca="1" si="8"/>
        <v>8.67</v>
      </c>
      <c r="M223" s="148" t="s">
        <v>761</v>
      </c>
      <c r="N223" s="75"/>
      <c r="O223" s="192" t="s">
        <v>254</v>
      </c>
      <c r="P223" s="193" t="s">
        <v>237</v>
      </c>
      <c r="Q223" s="193" t="s">
        <v>237</v>
      </c>
      <c r="R223" s="193" t="s">
        <v>237</v>
      </c>
      <c r="S223" s="193" t="s">
        <v>237</v>
      </c>
      <c r="T223" s="193" t="s">
        <v>237</v>
      </c>
      <c r="U223" s="193" t="s">
        <v>237</v>
      </c>
      <c r="V223" s="193" t="s">
        <v>237</v>
      </c>
    </row>
    <row r="224" spans="1:22" ht="14.5" customHeight="1" x14ac:dyDescent="0.35">
      <c r="A224" s="78">
        <v>223</v>
      </c>
      <c r="B224" s="141" t="s">
        <v>762</v>
      </c>
      <c r="C224" s="107">
        <v>90719463</v>
      </c>
      <c r="D224" s="171" t="str">
        <f>_xlfn.XLOOKUP(C224,Sheet2!B:B,Sheet2!A:A)</f>
        <v>Shubham.Jamwal@rockwellautomation.com</v>
      </c>
      <c r="E224" s="107" t="s">
        <v>249</v>
      </c>
      <c r="F224" s="107" t="s">
        <v>251</v>
      </c>
      <c r="G224" s="184"/>
      <c r="H224" s="151" t="s">
        <v>763</v>
      </c>
      <c r="I224" s="167">
        <f t="shared" si="9"/>
        <v>9.5833333333333339</v>
      </c>
      <c r="J224" s="163" t="s">
        <v>378</v>
      </c>
      <c r="K224" s="161">
        <v>43570</v>
      </c>
      <c r="L224" s="165">
        <f t="shared" ca="1" si="8"/>
        <v>10.17</v>
      </c>
      <c r="M224" s="148" t="e">
        <v>#N/A</v>
      </c>
      <c r="N224" s="75"/>
      <c r="O224" s="192" t="s">
        <v>254</v>
      </c>
      <c r="P224" s="193" t="s">
        <v>237</v>
      </c>
      <c r="Q224" s="193" t="s">
        <v>237</v>
      </c>
      <c r="R224" s="193" t="s">
        <v>237</v>
      </c>
      <c r="S224" s="193" t="s">
        <v>237</v>
      </c>
      <c r="T224" s="193" t="s">
        <v>237</v>
      </c>
      <c r="U224" s="193" t="s">
        <v>237</v>
      </c>
      <c r="V224" s="193" t="s">
        <v>237</v>
      </c>
    </row>
    <row r="225" spans="1:22" ht="14.5" customHeight="1" x14ac:dyDescent="0.35">
      <c r="A225" s="78">
        <v>224</v>
      </c>
      <c r="B225" s="154" t="s">
        <v>764</v>
      </c>
      <c r="C225" s="107">
        <v>90727176</v>
      </c>
      <c r="D225" s="171" t="str">
        <f>_xlfn.XLOOKUP(C225,Sheet2!B:B,Sheet2!A:A)</f>
        <v>Shubham.Kathare@rockwellautomation.com</v>
      </c>
      <c r="E225" s="107" t="s">
        <v>232</v>
      </c>
      <c r="F225" s="107" t="s">
        <v>233</v>
      </c>
      <c r="G225" s="184"/>
      <c r="H225" s="151" t="s">
        <v>234</v>
      </c>
      <c r="I225" s="167">
        <f t="shared" si="9"/>
        <v>1.3333333333333333</v>
      </c>
      <c r="J225" s="163" t="s">
        <v>235</v>
      </c>
      <c r="K225" s="161">
        <v>45488</v>
      </c>
      <c r="L225" s="165">
        <f t="shared" ca="1" si="8"/>
        <v>1.92</v>
      </c>
      <c r="M225" s="148" t="e">
        <v>#N/A</v>
      </c>
      <c r="N225" s="75"/>
      <c r="O225" s="192" t="s">
        <v>254</v>
      </c>
      <c r="P225" s="193" t="s">
        <v>237</v>
      </c>
      <c r="Q225" s="193" t="s">
        <v>237</v>
      </c>
      <c r="R225" s="193" t="s">
        <v>237</v>
      </c>
      <c r="S225" s="193" t="s">
        <v>237</v>
      </c>
      <c r="T225" s="193" t="s">
        <v>237</v>
      </c>
      <c r="U225" s="193" t="s">
        <v>237</v>
      </c>
      <c r="V225" s="193" t="s">
        <v>237</v>
      </c>
    </row>
    <row r="226" spans="1:22" ht="14.5" customHeight="1" x14ac:dyDescent="0.35">
      <c r="A226" s="78">
        <v>225</v>
      </c>
      <c r="B226" s="141" t="s">
        <v>765</v>
      </c>
      <c r="C226" s="107">
        <v>90724646</v>
      </c>
      <c r="D226" s="171" t="str">
        <f>_xlfn.XLOOKUP(C226,Sheet2!B:B,Sheet2!A:A)</f>
        <v>SHUBHAMKUMAR.SAHU@rockwellautomation.com</v>
      </c>
      <c r="E226" s="107" t="s">
        <v>232</v>
      </c>
      <c r="F226" s="107" t="s">
        <v>244</v>
      </c>
      <c r="G226" s="184"/>
      <c r="H226" s="151" t="s">
        <v>766</v>
      </c>
      <c r="I226" s="167">
        <f t="shared" si="9"/>
        <v>1.6666666666666665</v>
      </c>
      <c r="J226" s="163" t="e">
        <v>#N/A</v>
      </c>
      <c r="K226" s="161" t="e">
        <v>#N/A</v>
      </c>
      <c r="L226" s="165" t="e">
        <f t="shared" ca="1" si="8"/>
        <v>#N/A</v>
      </c>
      <c r="M226" s="148" t="e">
        <v>#N/A</v>
      </c>
      <c r="N226" s="75"/>
      <c r="O226" s="192" t="s">
        <v>237</v>
      </c>
      <c r="P226" s="193" t="s">
        <v>248</v>
      </c>
      <c r="Q226" s="193" t="s">
        <v>268</v>
      </c>
      <c r="R226" s="193" t="s">
        <v>237</v>
      </c>
      <c r="S226" s="193" t="s">
        <v>237</v>
      </c>
      <c r="T226" s="193" t="s">
        <v>237</v>
      </c>
      <c r="U226" s="193" t="s">
        <v>237</v>
      </c>
      <c r="V226" s="193" t="s">
        <v>237</v>
      </c>
    </row>
    <row r="227" spans="1:22" ht="14.5" customHeight="1" x14ac:dyDescent="0.35">
      <c r="A227" s="78">
        <v>226</v>
      </c>
      <c r="B227" s="141" t="s">
        <v>767</v>
      </c>
      <c r="C227" s="107">
        <v>90719837</v>
      </c>
      <c r="D227" s="171" t="str">
        <f>_xlfn.XLOOKUP(C227,Sheet2!B:B,Sheet2!A:A)</f>
        <v>Shubham.Kurane@rockwellautomation.com</v>
      </c>
      <c r="E227" s="107" t="s">
        <v>232</v>
      </c>
      <c r="F227" s="107" t="s">
        <v>233</v>
      </c>
      <c r="G227" s="184"/>
      <c r="H227" s="151" t="s">
        <v>501</v>
      </c>
      <c r="I227" s="167">
        <f t="shared" si="9"/>
        <v>6.583333333333333</v>
      </c>
      <c r="J227" s="163" t="s">
        <v>587</v>
      </c>
      <c r="K227" s="161">
        <v>44809</v>
      </c>
      <c r="L227" s="165">
        <f t="shared" ca="1" si="8"/>
        <v>7.08</v>
      </c>
      <c r="M227" s="148" t="s">
        <v>768</v>
      </c>
      <c r="N227" s="75"/>
      <c r="O227" s="192" t="s">
        <v>254</v>
      </c>
      <c r="P227" s="193" t="s">
        <v>237</v>
      </c>
      <c r="Q227" s="193" t="s">
        <v>237</v>
      </c>
      <c r="R227" s="193" t="s">
        <v>237</v>
      </c>
      <c r="S227" s="193" t="s">
        <v>227</v>
      </c>
      <c r="T227" s="193" t="s">
        <v>237</v>
      </c>
      <c r="U227" s="193" t="s">
        <v>237</v>
      </c>
      <c r="V227" s="193" t="s">
        <v>237</v>
      </c>
    </row>
    <row r="228" spans="1:22" ht="14.5" customHeight="1" x14ac:dyDescent="0.35">
      <c r="A228" s="78">
        <v>227</v>
      </c>
      <c r="B228" s="141" t="s">
        <v>769</v>
      </c>
      <c r="C228" s="107">
        <v>90724651</v>
      </c>
      <c r="D228" s="171" t="str">
        <f>_xlfn.XLOOKUP(C228,Sheet2!B:B,Sheet2!A:A)</f>
        <v>SHUBHAM.SOURAV@rockwellautomation.com</v>
      </c>
      <c r="E228" s="107" t="s">
        <v>232</v>
      </c>
      <c r="F228" s="107" t="s">
        <v>223</v>
      </c>
      <c r="G228" s="184"/>
      <c r="H228" s="151" t="s">
        <v>234</v>
      </c>
      <c r="I228" s="167">
        <f t="shared" si="9"/>
        <v>1.3333333333333333</v>
      </c>
      <c r="J228" s="163" t="s">
        <v>235</v>
      </c>
      <c r="K228" s="161">
        <v>45490</v>
      </c>
      <c r="L228" s="165">
        <f t="shared" ca="1" si="8"/>
        <v>1.92</v>
      </c>
      <c r="M228" s="148" t="s">
        <v>770</v>
      </c>
      <c r="N228" s="75"/>
      <c r="O228" s="192" t="s">
        <v>254</v>
      </c>
      <c r="P228" s="193" t="s">
        <v>237</v>
      </c>
      <c r="Q228" s="193" t="s">
        <v>268</v>
      </c>
      <c r="R228" s="193" t="s">
        <v>237</v>
      </c>
      <c r="S228" s="193" t="s">
        <v>237</v>
      </c>
      <c r="T228" s="193" t="s">
        <v>237</v>
      </c>
      <c r="U228" s="193" t="s">
        <v>237</v>
      </c>
      <c r="V228" s="193" t="s">
        <v>237</v>
      </c>
    </row>
    <row r="229" spans="1:22" ht="14.5" customHeight="1" x14ac:dyDescent="0.35">
      <c r="A229" s="78">
        <v>228</v>
      </c>
      <c r="B229" s="141" t="s">
        <v>771</v>
      </c>
      <c r="C229" s="107">
        <v>20111306</v>
      </c>
      <c r="D229" s="171" t="str">
        <f>_xlfn.XLOOKUP(C229,Sheet2!B:B,Sheet2!A:A)</f>
        <v>Sibi.Sam@rockwellautomation.com</v>
      </c>
      <c r="E229" s="107" t="s">
        <v>308</v>
      </c>
      <c r="F229" s="107" t="s">
        <v>309</v>
      </c>
      <c r="G229" s="184"/>
      <c r="H229" s="151" t="s">
        <v>377</v>
      </c>
      <c r="I229" s="167">
        <f t="shared" si="9"/>
        <v>9</v>
      </c>
      <c r="J229" s="163">
        <v>0</v>
      </c>
      <c r="K229" s="161">
        <v>42705</v>
      </c>
      <c r="L229" s="165">
        <f t="shared" ca="1" si="8"/>
        <v>9.5</v>
      </c>
      <c r="M229" s="148" t="s">
        <v>772</v>
      </c>
      <c r="N229" s="75"/>
      <c r="O229" s="192" t="s">
        <v>237</v>
      </c>
      <c r="P229" s="193" t="s">
        <v>237</v>
      </c>
      <c r="Q229" s="193" t="s">
        <v>237</v>
      </c>
      <c r="R229" s="193" t="s">
        <v>237</v>
      </c>
      <c r="S229" s="193" t="s">
        <v>237</v>
      </c>
      <c r="T229" s="193" t="s">
        <v>237</v>
      </c>
      <c r="U229" s="193" t="s">
        <v>237</v>
      </c>
      <c r="V229" s="193" t="s">
        <v>237</v>
      </c>
    </row>
    <row r="230" spans="1:22" ht="14.5" customHeight="1" x14ac:dyDescent="0.35">
      <c r="A230" s="78">
        <v>229</v>
      </c>
      <c r="B230" s="142" t="s">
        <v>773</v>
      </c>
      <c r="C230" s="107">
        <v>90724656</v>
      </c>
      <c r="D230" s="171" t="str">
        <f>_xlfn.XLOOKUP(C230,Sheet2!B:B,Sheet2!A:A)</f>
        <v>SIMRANKUMARI.SAHU@rockwellautomation.com</v>
      </c>
      <c r="E230" s="107" t="s">
        <v>232</v>
      </c>
      <c r="F230" s="107" t="s">
        <v>233</v>
      </c>
      <c r="G230" s="184"/>
      <c r="H230" s="151" t="s">
        <v>234</v>
      </c>
      <c r="I230" s="167">
        <f t="shared" si="9"/>
        <v>1.3333333333333333</v>
      </c>
      <c r="J230" s="163" t="s">
        <v>235</v>
      </c>
      <c r="K230" s="161">
        <v>45490</v>
      </c>
      <c r="L230" s="165">
        <f t="shared" ca="1" si="8"/>
        <v>1.92</v>
      </c>
      <c r="M230" s="148" t="e">
        <v>#N/A</v>
      </c>
      <c r="N230" s="75"/>
      <c r="O230" s="192" t="s">
        <v>254</v>
      </c>
      <c r="P230" s="193" t="s">
        <v>237</v>
      </c>
      <c r="Q230" s="193" t="s">
        <v>237</v>
      </c>
      <c r="R230" s="193" t="s">
        <v>237</v>
      </c>
      <c r="S230" s="193" t="s">
        <v>237</v>
      </c>
      <c r="T230" s="193" t="s">
        <v>237</v>
      </c>
      <c r="U230" s="193" t="s">
        <v>237</v>
      </c>
      <c r="V230" s="193" t="s">
        <v>237</v>
      </c>
    </row>
    <row r="231" spans="1:22" ht="14.5" customHeight="1" x14ac:dyDescent="0.35">
      <c r="A231" s="78">
        <v>230</v>
      </c>
      <c r="B231" s="173" t="s">
        <v>774</v>
      </c>
      <c r="C231" s="174">
        <v>90719879</v>
      </c>
      <c r="D231" s="171" t="str">
        <f>_xlfn.XLOOKUP(C231,Sheet2!B:B,Sheet2!A:A)</f>
        <v>Smitha.N@rockwellautomation.com</v>
      </c>
      <c r="E231" s="107" t="s">
        <v>232</v>
      </c>
      <c r="F231" s="107" t="s">
        <v>239</v>
      </c>
      <c r="G231" s="184"/>
      <c r="H231" s="151" t="s">
        <v>242</v>
      </c>
      <c r="I231" s="167" t="str">
        <f t="shared" si="9"/>
        <v/>
      </c>
      <c r="J231" s="163" t="e">
        <v>#N/A</v>
      </c>
      <c r="K231" s="161" t="e">
        <v>#N/A</v>
      </c>
      <c r="L231" s="165" t="e">
        <f t="shared" ca="1" si="8"/>
        <v>#N/A</v>
      </c>
      <c r="M231" s="148" t="e">
        <v>#N/A</v>
      </c>
      <c r="N231" s="75"/>
      <c r="O231" s="192" t="s">
        <v>237</v>
      </c>
      <c r="P231" s="193" t="s">
        <v>237</v>
      </c>
      <c r="Q231" s="193" t="s">
        <v>237</v>
      </c>
      <c r="R231" s="193" t="s">
        <v>237</v>
      </c>
      <c r="S231" s="193" t="s">
        <v>227</v>
      </c>
      <c r="T231" s="193" t="s">
        <v>237</v>
      </c>
      <c r="U231" s="193" t="s">
        <v>237</v>
      </c>
      <c r="V231" s="193" t="s">
        <v>237</v>
      </c>
    </row>
    <row r="232" spans="1:22" ht="14.5" customHeight="1" x14ac:dyDescent="0.35">
      <c r="A232" s="78">
        <v>231</v>
      </c>
      <c r="B232" s="198" t="s">
        <v>775</v>
      </c>
      <c r="C232" s="107">
        <v>90719913</v>
      </c>
      <c r="D232" s="171" t="str">
        <f>_xlfn.XLOOKUP(C232,Sheet2!B:B,Sheet2!A:A)</f>
        <v>Sneha.Hegde@rockwellautomation.com</v>
      </c>
      <c r="E232" s="107" t="s">
        <v>232</v>
      </c>
      <c r="F232" s="107" t="s">
        <v>223</v>
      </c>
      <c r="G232" s="184"/>
      <c r="H232" s="151" t="s">
        <v>271</v>
      </c>
      <c r="I232" s="167">
        <f t="shared" si="9"/>
        <v>3.3333333333333335</v>
      </c>
      <c r="J232" s="163" t="s">
        <v>235</v>
      </c>
      <c r="K232" s="161">
        <v>44781</v>
      </c>
      <c r="L232" s="165">
        <f t="shared" ca="1" si="8"/>
        <v>3.83</v>
      </c>
      <c r="M232" s="148" t="s">
        <v>776</v>
      </c>
      <c r="N232" s="75"/>
      <c r="O232" s="192" t="s">
        <v>237</v>
      </c>
      <c r="P232" s="193" t="s">
        <v>237</v>
      </c>
      <c r="Q232" s="193" t="s">
        <v>237</v>
      </c>
      <c r="R232" s="193" t="s">
        <v>237</v>
      </c>
      <c r="S232" s="193" t="s">
        <v>237</v>
      </c>
      <c r="T232" s="193" t="s">
        <v>237</v>
      </c>
      <c r="U232" s="193" t="s">
        <v>237</v>
      </c>
      <c r="V232" s="193" t="s">
        <v>237</v>
      </c>
    </row>
    <row r="233" spans="1:22" ht="14.5" customHeight="1" x14ac:dyDescent="0.35">
      <c r="A233" s="78">
        <v>232</v>
      </c>
      <c r="B233" s="141" t="s">
        <v>777</v>
      </c>
      <c r="C233" s="107">
        <v>90719331</v>
      </c>
      <c r="D233" s="171" t="str">
        <f>_xlfn.XLOOKUP(C233,Sheet2!B:B,Sheet2!A:A)</f>
        <v>Somappa.S@rockwellautomation.com</v>
      </c>
      <c r="E233" s="107" t="s">
        <v>249</v>
      </c>
      <c r="F233" s="107" t="s">
        <v>239</v>
      </c>
      <c r="G233" s="184"/>
      <c r="H233" s="151" t="s">
        <v>626</v>
      </c>
      <c r="I233" s="167">
        <f t="shared" si="9"/>
        <v>10.75</v>
      </c>
      <c r="J233" s="163" t="s">
        <v>594</v>
      </c>
      <c r="K233" s="161">
        <v>42870</v>
      </c>
      <c r="L233" s="165">
        <f t="shared" ca="1" si="8"/>
        <v>11.33</v>
      </c>
      <c r="M233" s="148" t="s">
        <v>778</v>
      </c>
      <c r="N233" s="75"/>
      <c r="O233" s="192" t="s">
        <v>237</v>
      </c>
      <c r="P233" s="193" t="s">
        <v>237</v>
      </c>
      <c r="Q233" s="193" t="s">
        <v>237</v>
      </c>
      <c r="R233" s="193" t="s">
        <v>237</v>
      </c>
      <c r="S233" s="193" t="s">
        <v>227</v>
      </c>
      <c r="T233" s="193" t="s">
        <v>237</v>
      </c>
      <c r="U233" s="193" t="s">
        <v>237</v>
      </c>
      <c r="V233" s="193" t="s">
        <v>237</v>
      </c>
    </row>
    <row r="234" spans="1:22" ht="14.5" customHeight="1" x14ac:dyDescent="0.35">
      <c r="A234" s="78">
        <v>233</v>
      </c>
      <c r="B234" s="141" t="s">
        <v>779</v>
      </c>
      <c r="C234" s="107">
        <v>90719354</v>
      </c>
      <c r="D234" s="171" t="str">
        <f>_xlfn.XLOOKUP(C234,Sheet2!B:B,Sheet2!A:A)</f>
        <v>Somnath.Paul@rockwellautomation.com</v>
      </c>
      <c r="E234" s="107" t="s">
        <v>232</v>
      </c>
      <c r="F234" s="107" t="s">
        <v>251</v>
      </c>
      <c r="G234" s="184"/>
      <c r="H234" s="151" t="s">
        <v>289</v>
      </c>
      <c r="I234" s="167">
        <f t="shared" si="9"/>
        <v>8.4166666666666661</v>
      </c>
      <c r="J234" s="163" t="s">
        <v>235</v>
      </c>
      <c r="K234" s="161">
        <v>42917</v>
      </c>
      <c r="L234" s="165">
        <f t="shared" ca="1" si="8"/>
        <v>8.92</v>
      </c>
      <c r="M234" s="148" t="s">
        <v>780</v>
      </c>
      <c r="N234" s="75"/>
      <c r="O234" s="192" t="s">
        <v>254</v>
      </c>
      <c r="P234" s="193" t="s">
        <v>237</v>
      </c>
      <c r="Q234" s="193" t="s">
        <v>237</v>
      </c>
      <c r="R234" s="193" t="s">
        <v>237</v>
      </c>
      <c r="S234" s="193" t="s">
        <v>237</v>
      </c>
      <c r="T234" s="193" t="s">
        <v>237</v>
      </c>
      <c r="U234" s="193" t="s">
        <v>237</v>
      </c>
      <c r="V234" s="193" t="s">
        <v>237</v>
      </c>
    </row>
    <row r="235" spans="1:22" ht="14.5" customHeight="1" x14ac:dyDescent="0.35">
      <c r="A235" s="78">
        <v>234</v>
      </c>
      <c r="B235" s="141" t="s">
        <v>781</v>
      </c>
      <c r="C235" s="107">
        <v>90719886</v>
      </c>
      <c r="D235" s="171" t="str">
        <f>_xlfn.XLOOKUP(C235,Sheet2!B:B,Sheet2!A:A)</f>
        <v>Sonali.Sahu@rockwellautomation.com</v>
      </c>
      <c r="E235" s="107" t="s">
        <v>232</v>
      </c>
      <c r="F235" s="107" t="s">
        <v>314</v>
      </c>
      <c r="G235" s="184"/>
      <c r="H235" s="151" t="s">
        <v>283</v>
      </c>
      <c r="I235" s="167">
        <f t="shared" si="9"/>
        <v>2.1666666666666665</v>
      </c>
      <c r="J235" s="163" t="s">
        <v>235</v>
      </c>
      <c r="K235" s="161">
        <v>45205</v>
      </c>
      <c r="L235" s="165">
        <f t="shared" ca="1" si="8"/>
        <v>2.67</v>
      </c>
      <c r="M235" s="148" t="e">
        <v>#N/A</v>
      </c>
      <c r="N235" s="75"/>
      <c r="O235" s="192" t="s">
        <v>254</v>
      </c>
      <c r="P235" s="193" t="s">
        <v>237</v>
      </c>
      <c r="Q235" s="193" t="s">
        <v>402</v>
      </c>
      <c r="R235" s="193" t="s">
        <v>237</v>
      </c>
      <c r="S235" s="193" t="s">
        <v>237</v>
      </c>
      <c r="T235" s="193" t="s">
        <v>237</v>
      </c>
      <c r="U235" s="193" t="s">
        <v>237</v>
      </c>
      <c r="V235" s="193" t="s">
        <v>237</v>
      </c>
    </row>
    <row r="236" spans="1:22" ht="14.5" customHeight="1" x14ac:dyDescent="0.35">
      <c r="A236" s="78">
        <v>235</v>
      </c>
      <c r="B236" s="141" t="s">
        <v>782</v>
      </c>
      <c r="C236" s="107">
        <v>90719975</v>
      </c>
      <c r="D236" s="171" t="str">
        <f>_xlfn.XLOOKUP(C236,Sheet2!B:B,Sheet2!A:A)</f>
        <v>Sreejith.Joseph@rockwellautomation.com</v>
      </c>
      <c r="E236" s="107" t="s">
        <v>249</v>
      </c>
      <c r="F236" s="107" t="s">
        <v>223</v>
      </c>
      <c r="G236" s="184"/>
      <c r="H236" s="151" t="s">
        <v>501</v>
      </c>
      <c r="I236" s="167">
        <f t="shared" si="9"/>
        <v>6.583333333333333</v>
      </c>
      <c r="J236" s="163" t="s">
        <v>235</v>
      </c>
      <c r="K236" s="161">
        <v>43591</v>
      </c>
      <c r="L236" s="165">
        <f t="shared" ca="1" si="8"/>
        <v>7.08</v>
      </c>
      <c r="M236" s="148" t="e">
        <v>#N/A</v>
      </c>
      <c r="N236" s="75"/>
      <c r="O236" s="192" t="s">
        <v>254</v>
      </c>
      <c r="P236" s="193" t="s">
        <v>237</v>
      </c>
      <c r="Q236" s="193" t="s">
        <v>237</v>
      </c>
      <c r="R236" s="193" t="s">
        <v>237</v>
      </c>
      <c r="S236" s="193" t="s">
        <v>237</v>
      </c>
      <c r="T236" s="193" t="s">
        <v>237</v>
      </c>
      <c r="U236" s="193" t="s">
        <v>237</v>
      </c>
      <c r="V236" s="193" t="s">
        <v>264</v>
      </c>
    </row>
    <row r="237" spans="1:22" ht="14.5" customHeight="1" x14ac:dyDescent="0.35">
      <c r="A237" s="78">
        <v>236</v>
      </c>
      <c r="B237" s="141" t="s">
        <v>783</v>
      </c>
      <c r="C237" s="107">
        <v>90719813</v>
      </c>
      <c r="D237" s="171" t="str">
        <f>_xlfn.XLOOKUP(C237,Sheet2!B:B,Sheet2!A:A)</f>
        <v>Sreelekshmi.Sunish@rockwellautomation.com</v>
      </c>
      <c r="E237" s="107" t="s">
        <v>232</v>
      </c>
      <c r="F237" s="107" t="s">
        <v>244</v>
      </c>
      <c r="G237" s="184"/>
      <c r="H237" s="151" t="s">
        <v>564</v>
      </c>
      <c r="I237" s="167">
        <f t="shared" si="9"/>
        <v>3.5</v>
      </c>
      <c r="J237" s="163" t="s">
        <v>235</v>
      </c>
      <c r="K237" s="161">
        <v>44718</v>
      </c>
      <c r="L237" s="165">
        <f t="shared" ca="1" si="8"/>
        <v>4</v>
      </c>
      <c r="M237" s="148" t="s">
        <v>784</v>
      </c>
      <c r="N237" s="75"/>
      <c r="O237" s="192" t="s">
        <v>237</v>
      </c>
      <c r="P237" s="193" t="s">
        <v>248</v>
      </c>
      <c r="Q237" s="193" t="s">
        <v>237</v>
      </c>
      <c r="R237" s="193" t="s">
        <v>237</v>
      </c>
      <c r="S237" s="193" t="s">
        <v>237</v>
      </c>
      <c r="T237" s="193" t="s">
        <v>237</v>
      </c>
      <c r="U237" s="193" t="s">
        <v>237</v>
      </c>
      <c r="V237" s="193" t="s">
        <v>237</v>
      </c>
    </row>
    <row r="238" spans="1:22" ht="14.5" customHeight="1" x14ac:dyDescent="0.35">
      <c r="A238" s="78">
        <v>237</v>
      </c>
      <c r="B238" s="141" t="s">
        <v>785</v>
      </c>
      <c r="C238" s="107">
        <v>90719847</v>
      </c>
      <c r="D238" s="172" t="s">
        <v>786</v>
      </c>
      <c r="E238" s="107" t="s">
        <v>232</v>
      </c>
      <c r="F238" s="107" t="s">
        <v>300</v>
      </c>
      <c r="G238" s="184" t="s">
        <v>245</v>
      </c>
      <c r="H238" s="151" t="s">
        <v>787</v>
      </c>
      <c r="I238" s="167">
        <f t="shared" si="9"/>
        <v>6.416666666666667</v>
      </c>
      <c r="J238" s="163" t="s">
        <v>378</v>
      </c>
      <c r="K238" s="161">
        <v>44746</v>
      </c>
      <c r="L238" s="165">
        <f t="shared" ca="1" si="8"/>
        <v>6.92</v>
      </c>
      <c r="M238" s="148" t="s">
        <v>788</v>
      </c>
      <c r="N238" s="75"/>
      <c r="O238" s="192" t="s">
        <v>237</v>
      </c>
      <c r="P238" s="193" t="s">
        <v>237</v>
      </c>
      <c r="Q238" s="193" t="s">
        <v>237</v>
      </c>
      <c r="R238" s="193" t="s">
        <v>237</v>
      </c>
      <c r="S238" s="193" t="s">
        <v>237</v>
      </c>
      <c r="T238" s="193" t="s">
        <v>237</v>
      </c>
      <c r="U238" s="193" t="s">
        <v>300</v>
      </c>
      <c r="V238" s="193" t="s">
        <v>237</v>
      </c>
    </row>
    <row r="239" spans="1:22" ht="14.5" customHeight="1" x14ac:dyDescent="0.35">
      <c r="A239" s="78">
        <v>238</v>
      </c>
      <c r="B239" s="196" t="s">
        <v>789</v>
      </c>
      <c r="C239" s="107">
        <v>90719791</v>
      </c>
      <c r="D239" s="171" t="str">
        <f>_xlfn.XLOOKUP(C239,Sheet2!B:B,Sheet2!A:A)</f>
        <v>Sruthilakshmi.KG@rockwellautomation.com</v>
      </c>
      <c r="E239" s="107" t="s">
        <v>232</v>
      </c>
      <c r="F239" s="107" t="s">
        <v>233</v>
      </c>
      <c r="G239" s="184"/>
      <c r="H239" s="151" t="s">
        <v>564</v>
      </c>
      <c r="I239" s="167">
        <f t="shared" si="9"/>
        <v>3.5</v>
      </c>
      <c r="J239" s="163" t="s">
        <v>235</v>
      </c>
      <c r="K239" s="161">
        <v>44713</v>
      </c>
      <c r="L239" s="165">
        <f t="shared" ca="1" si="8"/>
        <v>4</v>
      </c>
      <c r="M239" s="148" t="s">
        <v>790</v>
      </c>
      <c r="N239" s="75"/>
      <c r="O239" s="192" t="s">
        <v>237</v>
      </c>
      <c r="P239" s="193" t="s">
        <v>237</v>
      </c>
      <c r="Q239" s="193" t="s">
        <v>237</v>
      </c>
      <c r="R239" s="193" t="s">
        <v>237</v>
      </c>
      <c r="S239" s="193" t="s">
        <v>237</v>
      </c>
      <c r="T239" s="193" t="s">
        <v>237</v>
      </c>
      <c r="U239" s="193" t="s">
        <v>237</v>
      </c>
      <c r="V239" s="193" t="s">
        <v>237</v>
      </c>
    </row>
    <row r="240" spans="1:22" ht="14.5" customHeight="1" x14ac:dyDescent="0.35">
      <c r="A240" s="78">
        <v>239</v>
      </c>
      <c r="B240" s="141" t="s">
        <v>791</v>
      </c>
      <c r="C240" s="107">
        <v>90719941</v>
      </c>
      <c r="D240" s="171" t="str">
        <f>_xlfn.XLOOKUP(C240,Sheet2!B:B,Sheet2!A:A)</f>
        <v>Subash.S@rockwellautomation.com</v>
      </c>
      <c r="E240" s="107" t="s">
        <v>232</v>
      </c>
      <c r="F240" s="107" t="s">
        <v>244</v>
      </c>
      <c r="G240" s="184"/>
      <c r="H240" s="151" t="s">
        <v>283</v>
      </c>
      <c r="I240" s="167">
        <f t="shared" si="9"/>
        <v>2.1666666666666665</v>
      </c>
      <c r="J240" s="163" t="s">
        <v>235</v>
      </c>
      <c r="K240" s="161">
        <v>45205</v>
      </c>
      <c r="L240" s="165">
        <f t="shared" ca="1" si="8"/>
        <v>2.67</v>
      </c>
      <c r="M240" s="148" t="s">
        <v>792</v>
      </c>
      <c r="N240" s="75"/>
      <c r="O240" s="192" t="s">
        <v>237</v>
      </c>
      <c r="P240" s="193" t="s">
        <v>528</v>
      </c>
      <c r="Q240" s="193" t="s">
        <v>237</v>
      </c>
      <c r="R240" s="193" t="s">
        <v>237</v>
      </c>
      <c r="S240" s="193" t="s">
        <v>237</v>
      </c>
      <c r="T240" s="193" t="s">
        <v>237</v>
      </c>
      <c r="U240" s="193" t="s">
        <v>237</v>
      </c>
      <c r="V240" s="193" t="s">
        <v>237</v>
      </c>
    </row>
    <row r="241" spans="1:22" ht="14.5" customHeight="1" x14ac:dyDescent="0.35">
      <c r="A241" s="78">
        <v>240</v>
      </c>
      <c r="B241" s="141" t="s">
        <v>793</v>
      </c>
      <c r="C241" s="107">
        <v>90719633</v>
      </c>
      <c r="D241" s="171" t="str">
        <f>_xlfn.XLOOKUP(C241,Sheet2!B:B,Sheet2!A:A)</f>
        <v>Sudhakar.Srinivasan@rockwellautomation.com</v>
      </c>
      <c r="E241" s="107" t="s">
        <v>232</v>
      </c>
      <c r="F241" s="107" t="s">
        <v>233</v>
      </c>
      <c r="G241" s="184"/>
      <c r="H241" s="151" t="s">
        <v>794</v>
      </c>
      <c r="I241" s="167">
        <f t="shared" si="9"/>
        <v>8.75</v>
      </c>
      <c r="J241" s="163" t="s">
        <v>795</v>
      </c>
      <c r="K241" s="161">
        <v>44256</v>
      </c>
      <c r="L241" s="165">
        <f t="shared" ca="1" si="8"/>
        <v>9.25</v>
      </c>
      <c r="M241" s="148" t="e">
        <v>#N/A</v>
      </c>
      <c r="N241" s="75"/>
      <c r="O241" s="192" t="s">
        <v>237</v>
      </c>
      <c r="P241" s="193" t="s">
        <v>237</v>
      </c>
      <c r="Q241" s="193" t="s">
        <v>237</v>
      </c>
      <c r="R241" s="193" t="s">
        <v>237</v>
      </c>
      <c r="S241" s="193" t="s">
        <v>237</v>
      </c>
      <c r="T241" s="193" t="s">
        <v>721</v>
      </c>
      <c r="U241" s="193" t="s">
        <v>237</v>
      </c>
      <c r="V241" s="193" t="s">
        <v>237</v>
      </c>
    </row>
    <row r="242" spans="1:22" ht="14.5" customHeight="1" x14ac:dyDescent="0.35">
      <c r="A242" s="78">
        <v>241</v>
      </c>
      <c r="B242" s="141" t="s">
        <v>796</v>
      </c>
      <c r="C242" s="107">
        <v>90719751</v>
      </c>
      <c r="D242" s="171" t="str">
        <f>_xlfn.XLOOKUP(C242,Sheet2!B:B,Sheet2!A:A)</f>
        <v>Sudhi.Prasad@rockwellautomation.com</v>
      </c>
      <c r="E242" s="107" t="s">
        <v>232</v>
      </c>
      <c r="F242" s="107" t="s">
        <v>223</v>
      </c>
      <c r="G242" s="184"/>
      <c r="H242" s="151" t="s">
        <v>518</v>
      </c>
      <c r="I242" s="167">
        <f t="shared" si="9"/>
        <v>4</v>
      </c>
      <c r="J242" s="163" t="s">
        <v>235</v>
      </c>
      <c r="K242" s="161">
        <v>44536</v>
      </c>
      <c r="L242" s="165">
        <f t="shared" ca="1" si="8"/>
        <v>4.5</v>
      </c>
      <c r="M242" s="148" t="s">
        <v>797</v>
      </c>
      <c r="N242" s="75"/>
      <c r="O242" s="192" t="s">
        <v>254</v>
      </c>
      <c r="P242" s="193" t="s">
        <v>237</v>
      </c>
      <c r="Q242" s="193" t="s">
        <v>237</v>
      </c>
      <c r="R242" s="193" t="s">
        <v>237</v>
      </c>
      <c r="S242" s="193" t="s">
        <v>237</v>
      </c>
      <c r="T242" s="193" t="s">
        <v>237</v>
      </c>
      <c r="U242" s="193" t="s">
        <v>237</v>
      </c>
      <c r="V242" s="193" t="s">
        <v>237</v>
      </c>
    </row>
    <row r="243" spans="1:22" ht="14.5" customHeight="1" x14ac:dyDescent="0.35">
      <c r="A243" s="78">
        <v>242</v>
      </c>
      <c r="B243" s="141" t="s">
        <v>155</v>
      </c>
      <c r="C243" s="107">
        <v>90719462</v>
      </c>
      <c r="D243" s="171" t="str">
        <f>_xlfn.XLOOKUP(C243,Sheet2!B:B,Sheet2!A:A)</f>
        <v>Sukhwinder.Singh@rockwellautomation.com</v>
      </c>
      <c r="E243" s="107" t="s">
        <v>232</v>
      </c>
      <c r="F243" s="107" t="s">
        <v>239</v>
      </c>
      <c r="G243" s="184" t="s">
        <v>245</v>
      </c>
      <c r="H243" s="151" t="s">
        <v>501</v>
      </c>
      <c r="I243" s="167">
        <f t="shared" si="9"/>
        <v>6.583333333333333</v>
      </c>
      <c r="J243" s="163" t="s">
        <v>235</v>
      </c>
      <c r="K243" s="161">
        <v>43570</v>
      </c>
      <c r="L243" s="165">
        <f t="shared" ca="1" si="8"/>
        <v>7.17</v>
      </c>
      <c r="M243" s="148" t="s">
        <v>798</v>
      </c>
      <c r="N243" s="75"/>
      <c r="O243" s="192" t="s">
        <v>237</v>
      </c>
      <c r="P243" s="193" t="s">
        <v>237</v>
      </c>
      <c r="Q243" s="193" t="s">
        <v>237</v>
      </c>
      <c r="R243" s="193" t="s">
        <v>237</v>
      </c>
      <c r="S243" s="193" t="s">
        <v>227</v>
      </c>
      <c r="T243" s="193" t="s">
        <v>237</v>
      </c>
      <c r="U243" s="193" t="s">
        <v>237</v>
      </c>
      <c r="V243" s="193" t="s">
        <v>237</v>
      </c>
    </row>
    <row r="244" spans="1:22" ht="14.5" customHeight="1" x14ac:dyDescent="0.35">
      <c r="A244" s="78">
        <v>243</v>
      </c>
      <c r="B244" s="196" t="s">
        <v>799</v>
      </c>
      <c r="C244" s="107">
        <v>90719816</v>
      </c>
      <c r="D244" s="171" t="str">
        <f>_xlfn.XLOOKUP(C244,Sheet2!B:B,Sheet2!A:A)</f>
        <v>Sumit.Kurkure@rockwellautomation.com</v>
      </c>
      <c r="E244" s="107" t="s">
        <v>232</v>
      </c>
      <c r="F244" s="107" t="s">
        <v>244</v>
      </c>
      <c r="G244" s="184"/>
      <c r="H244" s="151" t="s">
        <v>297</v>
      </c>
      <c r="I244" s="167">
        <f t="shared" si="9"/>
        <v>3.4166666666666665</v>
      </c>
      <c r="J244" s="163" t="s">
        <v>235</v>
      </c>
      <c r="K244" s="161">
        <v>44725</v>
      </c>
      <c r="L244" s="165">
        <f t="shared" ca="1" si="8"/>
        <v>4</v>
      </c>
      <c r="M244" s="148" t="e">
        <v>#N/A</v>
      </c>
      <c r="N244" s="75"/>
      <c r="O244" s="192" t="s">
        <v>237</v>
      </c>
      <c r="P244" s="193" t="s">
        <v>237</v>
      </c>
      <c r="Q244" s="193" t="s">
        <v>237</v>
      </c>
      <c r="R244" s="193" t="s">
        <v>237</v>
      </c>
      <c r="S244" s="193" t="s">
        <v>237</v>
      </c>
      <c r="T244" s="193" t="s">
        <v>237</v>
      </c>
      <c r="U244" s="193" t="s">
        <v>237</v>
      </c>
      <c r="V244" s="193" t="s">
        <v>237</v>
      </c>
    </row>
    <row r="245" spans="1:22" ht="14.5" customHeight="1" x14ac:dyDescent="0.35">
      <c r="A245" s="78">
        <v>244</v>
      </c>
      <c r="B245" s="141" t="s">
        <v>800</v>
      </c>
      <c r="C245" s="107">
        <v>90719920</v>
      </c>
      <c r="D245" s="171" t="str">
        <f>_xlfn.XLOOKUP(C245,Sheet2!B:B,Sheet2!A:A)</f>
        <v>Suneel.Rathod@rockwellautomation.com</v>
      </c>
      <c r="E245" s="107" t="s">
        <v>232</v>
      </c>
      <c r="F245" s="107" t="s">
        <v>223</v>
      </c>
      <c r="G245" s="184" t="s">
        <v>245</v>
      </c>
      <c r="H245" s="151" t="s">
        <v>283</v>
      </c>
      <c r="I245" s="167">
        <f t="shared" si="9"/>
        <v>2.1666666666666665</v>
      </c>
      <c r="J245" s="163" t="s">
        <v>235</v>
      </c>
      <c r="K245" s="161">
        <v>45205</v>
      </c>
      <c r="L245" s="165">
        <f t="shared" ca="1" si="8"/>
        <v>2.67</v>
      </c>
      <c r="M245" s="148" t="s">
        <v>801</v>
      </c>
      <c r="N245" s="75"/>
      <c r="O245" s="192" t="s">
        <v>254</v>
      </c>
      <c r="P245" s="193" t="s">
        <v>237</v>
      </c>
      <c r="Q245" s="193" t="s">
        <v>237</v>
      </c>
      <c r="R245" s="193" t="s">
        <v>237</v>
      </c>
      <c r="S245" s="193" t="s">
        <v>237</v>
      </c>
      <c r="T245" s="193" t="s">
        <v>237</v>
      </c>
      <c r="U245" s="193" t="s">
        <v>237</v>
      </c>
      <c r="V245" s="193" t="s">
        <v>237</v>
      </c>
    </row>
    <row r="246" spans="1:22" ht="14.5" customHeight="1" x14ac:dyDescent="0.35">
      <c r="A246" s="78">
        <v>245</v>
      </c>
      <c r="B246" s="142" t="s">
        <v>195</v>
      </c>
      <c r="C246" s="107">
        <v>90724670</v>
      </c>
      <c r="D246" s="171" t="str">
        <f>_xlfn.XLOOKUP(C246,Sheet2!B:B,Sheet2!A:A)</f>
        <v>Suparna.BK@rockwellautomation.com</v>
      </c>
      <c r="E246" s="107" t="s">
        <v>232</v>
      </c>
      <c r="F246" s="107" t="s">
        <v>300</v>
      </c>
      <c r="G246" s="184"/>
      <c r="H246" s="151" t="s">
        <v>802</v>
      </c>
      <c r="I246" s="167">
        <f t="shared" si="9"/>
        <v>1.9166666666666665</v>
      </c>
      <c r="J246" s="163" t="s">
        <v>235</v>
      </c>
      <c r="K246" s="161">
        <v>45301</v>
      </c>
      <c r="L246" s="165">
        <f t="shared" ca="1" si="8"/>
        <v>2.42</v>
      </c>
      <c r="M246" s="148" t="s">
        <v>803</v>
      </c>
      <c r="N246" s="75"/>
      <c r="O246" s="192" t="s">
        <v>237</v>
      </c>
      <c r="P246" s="193" t="s">
        <v>237</v>
      </c>
      <c r="Q246" s="193" t="s">
        <v>237</v>
      </c>
      <c r="R246" s="193" t="s">
        <v>237</v>
      </c>
      <c r="S246" s="193" t="s">
        <v>237</v>
      </c>
      <c r="T246" s="193" t="s">
        <v>237</v>
      </c>
      <c r="U246" s="193" t="s">
        <v>300</v>
      </c>
      <c r="V246" s="193" t="s">
        <v>237</v>
      </c>
    </row>
    <row r="247" spans="1:22" ht="14.5" customHeight="1" x14ac:dyDescent="0.35">
      <c r="A247" s="78">
        <v>246</v>
      </c>
      <c r="B247" s="173" t="s">
        <v>804</v>
      </c>
      <c r="C247" s="174">
        <v>90719416</v>
      </c>
      <c r="D247" s="171" t="str">
        <f>_xlfn.XLOOKUP(C247,Sheet2!B:B,Sheet2!A:A)</f>
        <v>Surya.Gupta@rockwellautomation.com</v>
      </c>
      <c r="E247" s="107" t="s">
        <v>308</v>
      </c>
      <c r="F247" s="107" t="s">
        <v>309</v>
      </c>
      <c r="G247" s="184"/>
      <c r="H247" s="151" t="s">
        <v>805</v>
      </c>
      <c r="I247" s="167">
        <f t="shared" si="9"/>
        <v>11.5</v>
      </c>
      <c r="J247" s="163" t="s">
        <v>806</v>
      </c>
      <c r="K247" s="161">
        <v>43335</v>
      </c>
      <c r="L247" s="165">
        <f t="shared" ca="1" si="8"/>
        <v>12.08</v>
      </c>
      <c r="M247" s="148" t="e">
        <v>#N/A</v>
      </c>
      <c r="N247" s="75"/>
      <c r="O247" s="192" t="s">
        <v>237</v>
      </c>
      <c r="P247" s="193" t="s">
        <v>237</v>
      </c>
      <c r="Q247" s="193" t="s">
        <v>237</v>
      </c>
      <c r="R247" s="193" t="s">
        <v>237</v>
      </c>
      <c r="S247" s="193" t="s">
        <v>237</v>
      </c>
      <c r="T247" s="193" t="s">
        <v>358</v>
      </c>
      <c r="U247" s="193" t="s">
        <v>237</v>
      </c>
      <c r="V247" s="193" t="s">
        <v>320</v>
      </c>
    </row>
    <row r="248" spans="1:22" ht="14.5" customHeight="1" x14ac:dyDescent="0.35">
      <c r="A248" s="78">
        <v>247</v>
      </c>
      <c r="B248" s="153" t="s">
        <v>807</v>
      </c>
      <c r="C248" s="107">
        <v>90719469</v>
      </c>
      <c r="D248" s="171" t="str">
        <f>_xlfn.XLOOKUP(C248,Sheet2!B:B,Sheet2!A:A)</f>
        <v>Suryakant.Soni1@rockwellautomation.com</v>
      </c>
      <c r="E248" s="107" t="s">
        <v>232</v>
      </c>
      <c r="F248" s="107" t="s">
        <v>223</v>
      </c>
      <c r="G248" s="184"/>
      <c r="H248" s="151" t="s">
        <v>377</v>
      </c>
      <c r="I248" s="167">
        <f t="shared" si="9"/>
        <v>9</v>
      </c>
      <c r="J248" s="163" t="s">
        <v>808</v>
      </c>
      <c r="K248" s="161">
        <v>43570</v>
      </c>
      <c r="L248" s="165">
        <f t="shared" ca="1" si="8"/>
        <v>9.58</v>
      </c>
      <c r="M248" s="148" t="s">
        <v>809</v>
      </c>
      <c r="N248" s="75"/>
      <c r="O248" s="192" t="s">
        <v>254</v>
      </c>
      <c r="P248" s="193" t="s">
        <v>237</v>
      </c>
      <c r="Q248" s="193" t="s">
        <v>268</v>
      </c>
      <c r="R248" s="193" t="s">
        <v>237</v>
      </c>
      <c r="S248" s="193" t="s">
        <v>237</v>
      </c>
      <c r="T248" s="193" t="s">
        <v>237</v>
      </c>
      <c r="U248" s="193" t="s">
        <v>237</v>
      </c>
      <c r="V248" s="193" t="s">
        <v>237</v>
      </c>
    </row>
    <row r="249" spans="1:22" ht="14.5" customHeight="1" x14ac:dyDescent="0.35">
      <c r="A249" s="78">
        <v>248</v>
      </c>
      <c r="B249" s="141" t="s">
        <v>144</v>
      </c>
      <c r="C249" s="107">
        <v>90719465</v>
      </c>
      <c r="D249" s="171" t="str">
        <f>_xlfn.XLOOKUP(C249,Sheet2!B:B,Sheet2!A:A)</f>
        <v>Sushil.Gaikwad@rockwellautomation.com</v>
      </c>
      <c r="E249" s="107" t="s">
        <v>232</v>
      </c>
      <c r="F249" s="107" t="s">
        <v>251</v>
      </c>
      <c r="G249" s="184" t="s">
        <v>245</v>
      </c>
      <c r="H249" s="151" t="s">
        <v>501</v>
      </c>
      <c r="I249" s="167">
        <f t="shared" si="9"/>
        <v>6.583333333333333</v>
      </c>
      <c r="J249" s="163" t="s">
        <v>235</v>
      </c>
      <c r="K249" s="161">
        <v>43570</v>
      </c>
      <c r="L249" s="165">
        <f t="shared" ca="1" si="8"/>
        <v>7.17</v>
      </c>
      <c r="M249" s="148" t="s">
        <v>810</v>
      </c>
      <c r="N249" s="75"/>
      <c r="O249" s="192" t="s">
        <v>254</v>
      </c>
      <c r="P249" s="193" t="s">
        <v>237</v>
      </c>
      <c r="Q249" s="193" t="s">
        <v>237</v>
      </c>
      <c r="R249" s="193" t="s">
        <v>237</v>
      </c>
      <c r="S249" s="193" t="s">
        <v>237</v>
      </c>
      <c r="T249" s="193" t="s">
        <v>237</v>
      </c>
      <c r="U249" s="193" t="s">
        <v>237</v>
      </c>
      <c r="V249" s="193" t="s">
        <v>237</v>
      </c>
    </row>
    <row r="250" spans="1:22" ht="14.5" customHeight="1" x14ac:dyDescent="0.35">
      <c r="A250" s="78">
        <v>249</v>
      </c>
      <c r="B250" s="141" t="s">
        <v>811</v>
      </c>
      <c r="C250" s="107">
        <v>90729433</v>
      </c>
      <c r="D250" s="171" t="str">
        <f>_xlfn.XLOOKUP(C250,Sheet2!B:B,Sheet2!A:A)</f>
        <v>PUTTA.SUSMITHA@rockwellautomation.com</v>
      </c>
      <c r="E250" s="107" t="s">
        <v>232</v>
      </c>
      <c r="F250" s="107" t="s">
        <v>223</v>
      </c>
      <c r="G250" s="184" t="s">
        <v>245</v>
      </c>
      <c r="H250" s="151" t="s">
        <v>747</v>
      </c>
      <c r="I250" s="167">
        <f t="shared" si="9"/>
        <v>3.3333333333333335</v>
      </c>
      <c r="J250" s="163" t="s">
        <v>812</v>
      </c>
      <c r="K250" s="161" t="e">
        <v>#N/A</v>
      </c>
      <c r="L250" s="165" t="e">
        <f t="shared" ca="1" si="8"/>
        <v>#N/A</v>
      </c>
      <c r="M250" s="148" t="s">
        <v>813</v>
      </c>
      <c r="N250" s="75"/>
      <c r="O250" s="192" t="s">
        <v>254</v>
      </c>
      <c r="P250" s="193" t="s">
        <v>237</v>
      </c>
      <c r="Q250" s="193" t="s">
        <v>268</v>
      </c>
      <c r="R250" s="193" t="s">
        <v>237</v>
      </c>
      <c r="S250" s="193" t="s">
        <v>237</v>
      </c>
      <c r="T250" s="193" t="s">
        <v>237</v>
      </c>
      <c r="U250" s="193" t="s">
        <v>237</v>
      </c>
      <c r="V250" s="193" t="s">
        <v>237</v>
      </c>
    </row>
    <row r="251" spans="1:22" ht="14.5" customHeight="1" x14ac:dyDescent="0.35">
      <c r="A251" s="78">
        <v>250</v>
      </c>
      <c r="B251" s="141" t="s">
        <v>207</v>
      </c>
      <c r="C251" s="107">
        <v>90719457</v>
      </c>
      <c r="D251" s="171" t="str">
        <f>_xlfn.XLOOKUP(C251,Sheet2!B:B,Sheet2!A:A)</f>
        <v>Swagato.Das@rockwellautomation.com</v>
      </c>
      <c r="E251" s="107" t="s">
        <v>232</v>
      </c>
      <c r="F251" s="107" t="s">
        <v>300</v>
      </c>
      <c r="G251" s="184" t="s">
        <v>245</v>
      </c>
      <c r="H251" s="151" t="s">
        <v>668</v>
      </c>
      <c r="I251" s="167">
        <f t="shared" si="9"/>
        <v>6.75</v>
      </c>
      <c r="J251" s="163" t="s">
        <v>235</v>
      </c>
      <c r="K251" s="161">
        <v>43514</v>
      </c>
      <c r="L251" s="165">
        <f t="shared" ca="1" si="8"/>
        <v>7.33</v>
      </c>
      <c r="M251" s="148" t="s">
        <v>814</v>
      </c>
      <c r="N251" s="75"/>
      <c r="O251" s="192" t="s">
        <v>237</v>
      </c>
      <c r="P251" s="193" t="s">
        <v>237</v>
      </c>
      <c r="Q251" s="193" t="s">
        <v>237</v>
      </c>
      <c r="R251" s="193" t="s">
        <v>237</v>
      </c>
      <c r="S251" s="193" t="s">
        <v>237</v>
      </c>
      <c r="T251" s="193" t="s">
        <v>237</v>
      </c>
      <c r="U251" s="193" t="s">
        <v>300</v>
      </c>
      <c r="V251" s="193" t="s">
        <v>237</v>
      </c>
    </row>
    <row r="252" spans="1:22" ht="14.5" customHeight="1" x14ac:dyDescent="0.35">
      <c r="A252" s="78">
        <v>251</v>
      </c>
      <c r="B252" s="141" t="s">
        <v>815</v>
      </c>
      <c r="C252" s="107">
        <v>90719426</v>
      </c>
      <c r="D252" s="171" t="str">
        <f>_xlfn.XLOOKUP(C252,Sheet2!B:B,Sheet2!A:A)</f>
        <v>Swapnasudhir.Sahoo@rockwellautomation.com</v>
      </c>
      <c r="E252" s="107" t="s">
        <v>232</v>
      </c>
      <c r="F252" s="107" t="s">
        <v>244</v>
      </c>
      <c r="G252" s="184"/>
      <c r="H252" s="151" t="s">
        <v>252</v>
      </c>
      <c r="I252" s="167">
        <f t="shared" si="9"/>
        <v>7.5</v>
      </c>
      <c r="J252" s="163" t="s">
        <v>816</v>
      </c>
      <c r="K252" s="161">
        <v>43388</v>
      </c>
      <c r="L252" s="165">
        <f t="shared" ca="1" si="8"/>
        <v>8.08</v>
      </c>
      <c r="M252" s="148" t="s">
        <v>817</v>
      </c>
      <c r="N252" s="75"/>
      <c r="O252" s="192" t="s">
        <v>237</v>
      </c>
      <c r="P252" s="193" t="s">
        <v>248</v>
      </c>
      <c r="Q252" s="193" t="s">
        <v>237</v>
      </c>
      <c r="R252" s="193" t="s">
        <v>237</v>
      </c>
      <c r="S252" s="193" t="s">
        <v>237</v>
      </c>
      <c r="T252" s="193" t="s">
        <v>237</v>
      </c>
      <c r="U252" s="193" t="s">
        <v>237</v>
      </c>
      <c r="V252" s="193" t="s">
        <v>237</v>
      </c>
    </row>
    <row r="253" spans="1:22" ht="14.5" customHeight="1" x14ac:dyDescent="0.35">
      <c r="A253" s="78">
        <v>252</v>
      </c>
      <c r="B253" s="179" t="s">
        <v>818</v>
      </c>
      <c r="C253" s="182">
        <v>90732691</v>
      </c>
      <c r="D253" s="171" t="str">
        <f>_xlfn.XLOOKUP(C253,Sheet2!B:B,Sheet2!A:A)</f>
        <v>Swaroop.Kishan@rockwellautomation.com</v>
      </c>
      <c r="E253" s="107" t="s">
        <v>819</v>
      </c>
      <c r="F253" s="107" t="s">
        <v>239</v>
      </c>
      <c r="G253" s="184"/>
      <c r="H253" s="163" t="s">
        <v>820</v>
      </c>
      <c r="I253" s="167">
        <f t="shared" si="9"/>
        <v>9.5</v>
      </c>
      <c r="J253" s="163" t="s">
        <v>820</v>
      </c>
      <c r="K253" s="161">
        <v>45992</v>
      </c>
      <c r="L253" s="165">
        <f t="shared" ca="1" si="8"/>
        <v>10</v>
      </c>
      <c r="M253" s="148"/>
      <c r="N253" s="75"/>
      <c r="O253" s="192" t="s">
        <v>237</v>
      </c>
      <c r="P253" s="193" t="s">
        <v>237</v>
      </c>
      <c r="Q253" s="193" t="s">
        <v>237</v>
      </c>
      <c r="R253" s="193" t="s">
        <v>237</v>
      </c>
      <c r="S253" s="193" t="s">
        <v>227</v>
      </c>
      <c r="T253" s="193" t="s">
        <v>237</v>
      </c>
      <c r="U253" s="193" t="s">
        <v>237</v>
      </c>
      <c r="V253" s="193" t="s">
        <v>237</v>
      </c>
    </row>
    <row r="254" spans="1:22" ht="14.5" customHeight="1" x14ac:dyDescent="0.35">
      <c r="A254" s="78">
        <v>253</v>
      </c>
      <c r="B254" s="141" t="s">
        <v>821</v>
      </c>
      <c r="C254" s="107">
        <v>90719832</v>
      </c>
      <c r="D254" s="171" t="str">
        <f>_xlfn.XLOOKUP(C254,Sheet2!B:B,Sheet2!A:A)</f>
        <v>Swathy.S@rockwellautomation.com</v>
      </c>
      <c r="E254" s="107" t="s">
        <v>232</v>
      </c>
      <c r="F254" s="107" t="s">
        <v>233</v>
      </c>
      <c r="G254" s="184"/>
      <c r="H254" s="151" t="s">
        <v>490</v>
      </c>
      <c r="I254" s="167">
        <f t="shared" si="9"/>
        <v>4.25</v>
      </c>
      <c r="J254" s="163" t="s">
        <v>235</v>
      </c>
      <c r="K254" s="161">
        <v>44447</v>
      </c>
      <c r="L254" s="165">
        <f t="shared" ca="1" si="8"/>
        <v>4.75</v>
      </c>
      <c r="M254" s="148" t="s">
        <v>822</v>
      </c>
      <c r="N254" s="75"/>
      <c r="O254" s="192" t="s">
        <v>237</v>
      </c>
      <c r="P254" s="193" t="s">
        <v>237</v>
      </c>
      <c r="Q254" s="193" t="s">
        <v>237</v>
      </c>
      <c r="R254" s="193" t="s">
        <v>237</v>
      </c>
      <c r="S254" s="193" t="s">
        <v>227</v>
      </c>
      <c r="T254" s="193" t="s">
        <v>237</v>
      </c>
      <c r="U254" s="193" t="s">
        <v>237</v>
      </c>
      <c r="V254" s="193" t="s">
        <v>237</v>
      </c>
    </row>
    <row r="255" spans="1:22" ht="14.5" customHeight="1" x14ac:dyDescent="0.35">
      <c r="A255" s="78">
        <v>254</v>
      </c>
      <c r="B255" s="141" t="s">
        <v>209</v>
      </c>
      <c r="C255" s="107">
        <v>90719830</v>
      </c>
      <c r="D255" s="171" t="str">
        <f>_xlfn.XLOOKUP(C255,Sheet2!B:B,Sheet2!A:A)</f>
        <v>Swetha.S@rockwellautomation.com</v>
      </c>
      <c r="E255" s="107" t="s">
        <v>232</v>
      </c>
      <c r="F255" s="107" t="s">
        <v>251</v>
      </c>
      <c r="G255" s="184"/>
      <c r="H255" s="151" t="s">
        <v>490</v>
      </c>
      <c r="I255" s="167">
        <f t="shared" si="9"/>
        <v>4.25</v>
      </c>
      <c r="J255" s="163" t="s">
        <v>235</v>
      </c>
      <c r="K255" s="161">
        <v>44447</v>
      </c>
      <c r="L255" s="165">
        <f t="shared" ca="1" si="8"/>
        <v>4.75</v>
      </c>
      <c r="M255" s="148" t="s">
        <v>823</v>
      </c>
      <c r="N255" s="75"/>
      <c r="O255" s="192" t="s">
        <v>254</v>
      </c>
      <c r="P255" s="193" t="s">
        <v>237</v>
      </c>
      <c r="Q255" s="193" t="s">
        <v>268</v>
      </c>
      <c r="R255" s="193" t="s">
        <v>237</v>
      </c>
      <c r="S255" s="193" t="s">
        <v>227</v>
      </c>
      <c r="T255" s="193" t="s">
        <v>388</v>
      </c>
      <c r="U255" s="193" t="s">
        <v>237</v>
      </c>
      <c r="V255" s="193" t="s">
        <v>237</v>
      </c>
    </row>
    <row r="256" spans="1:22" ht="14.5" customHeight="1" x14ac:dyDescent="0.35">
      <c r="A256" s="78">
        <v>255</v>
      </c>
      <c r="B256" s="141" t="s">
        <v>147</v>
      </c>
      <c r="C256" s="107">
        <v>90719923</v>
      </c>
      <c r="D256" s="171" t="str">
        <f>_xlfn.XLOOKUP(C256,Sheet2!B:B,Sheet2!A:A)</f>
        <v>Syed.Ali@rockwellautomation.com</v>
      </c>
      <c r="E256" s="107" t="s">
        <v>232</v>
      </c>
      <c r="F256" s="107" t="s">
        <v>244</v>
      </c>
      <c r="G256" s="184"/>
      <c r="H256" s="151" t="s">
        <v>283</v>
      </c>
      <c r="I256" s="167">
        <f t="shared" si="9"/>
        <v>2.1666666666666665</v>
      </c>
      <c r="J256" s="163" t="s">
        <v>235</v>
      </c>
      <c r="K256" s="161">
        <v>45205</v>
      </c>
      <c r="L256" s="165">
        <f t="shared" ca="1" si="8"/>
        <v>2.67</v>
      </c>
      <c r="M256" s="148" t="s">
        <v>824</v>
      </c>
      <c r="N256" s="75"/>
      <c r="O256" s="192" t="s">
        <v>254</v>
      </c>
      <c r="P256" s="193" t="s">
        <v>237</v>
      </c>
      <c r="Q256" s="193" t="s">
        <v>268</v>
      </c>
      <c r="R256" s="193" t="s">
        <v>237</v>
      </c>
      <c r="S256" s="193" t="s">
        <v>237</v>
      </c>
      <c r="T256" s="193" t="s">
        <v>237</v>
      </c>
      <c r="U256" s="193" t="s">
        <v>237</v>
      </c>
      <c r="V256" s="193" t="s">
        <v>237</v>
      </c>
    </row>
    <row r="257" spans="1:22" ht="14.5" customHeight="1" x14ac:dyDescent="0.35">
      <c r="A257" s="78">
        <v>256</v>
      </c>
      <c r="B257" s="173" t="s">
        <v>825</v>
      </c>
      <c r="C257" s="181">
        <v>90719236</v>
      </c>
      <c r="D257" s="171" t="str">
        <f>_xlfn.XLOOKUP(C257,Sheet2!B:B,Sheet2!A:A)</f>
        <v>Uday.T@rockwellautomation.com</v>
      </c>
      <c r="E257" s="107" t="s">
        <v>308</v>
      </c>
      <c r="F257" s="107" t="s">
        <v>244</v>
      </c>
      <c r="G257" s="184"/>
      <c r="H257" s="151" t="s">
        <v>289</v>
      </c>
      <c r="I257" s="167">
        <f t="shared" si="9"/>
        <v>8.4166666666666661</v>
      </c>
      <c r="J257" s="163" t="s">
        <v>235</v>
      </c>
      <c r="K257" s="161">
        <v>42923</v>
      </c>
      <c r="L257" s="165">
        <f t="shared" ca="1" si="8"/>
        <v>8.92</v>
      </c>
      <c r="M257" s="148" t="e">
        <v>#N/A</v>
      </c>
      <c r="N257" s="75"/>
      <c r="O257" s="192" t="s">
        <v>237</v>
      </c>
      <c r="P257" s="193" t="s">
        <v>248</v>
      </c>
      <c r="Q257" s="193" t="s">
        <v>237</v>
      </c>
      <c r="R257" s="193" t="s">
        <v>237</v>
      </c>
      <c r="S257" s="193" t="s">
        <v>237</v>
      </c>
      <c r="T257" s="193" t="s">
        <v>237</v>
      </c>
      <c r="U257" s="193" t="s">
        <v>237</v>
      </c>
      <c r="V257" s="193" t="s">
        <v>320</v>
      </c>
    </row>
    <row r="258" spans="1:22" ht="14.5" customHeight="1" x14ac:dyDescent="0.35">
      <c r="A258" s="78">
        <v>257</v>
      </c>
      <c r="B258" s="173" t="s">
        <v>826</v>
      </c>
      <c r="C258" s="181">
        <v>90731123</v>
      </c>
      <c r="D258" s="171" t="str">
        <f>_xlfn.XLOOKUP(C258,Sheet2!B:B,Sheet2!A:A)</f>
        <v>Tanweer.Karzai1@rockwellautomation.com</v>
      </c>
      <c r="E258" s="107" t="s">
        <v>232</v>
      </c>
      <c r="F258" s="107" t="s">
        <v>300</v>
      </c>
      <c r="G258" s="184"/>
      <c r="H258" s="151" t="s">
        <v>409</v>
      </c>
      <c r="I258" s="167">
        <f t="shared" si="9"/>
        <v>125.91666666666667</v>
      </c>
      <c r="J258" s="163" t="s">
        <v>235</v>
      </c>
      <c r="K258" s="161">
        <v>0</v>
      </c>
      <c r="L258" s="165">
        <f t="shared" ca="1" si="8"/>
        <v>126.42</v>
      </c>
      <c r="M258" s="148" t="s">
        <v>827</v>
      </c>
      <c r="N258" s="75"/>
      <c r="O258" s="192" t="s">
        <v>237</v>
      </c>
      <c r="P258" s="193" t="s">
        <v>237</v>
      </c>
      <c r="Q258" s="193" t="s">
        <v>237</v>
      </c>
      <c r="R258" s="193" t="s">
        <v>237</v>
      </c>
      <c r="S258" s="193" t="s">
        <v>237</v>
      </c>
      <c r="T258" s="193" t="s">
        <v>237</v>
      </c>
      <c r="U258" s="193" t="s">
        <v>300</v>
      </c>
      <c r="V258" s="193" t="s">
        <v>237</v>
      </c>
    </row>
    <row r="259" spans="1:22" ht="14.5" customHeight="1" x14ac:dyDescent="0.35">
      <c r="A259" s="78">
        <v>258</v>
      </c>
      <c r="B259" s="173" t="s">
        <v>187</v>
      </c>
      <c r="C259" s="181">
        <v>90719229</v>
      </c>
      <c r="D259" s="171" t="str">
        <f>_xlfn.XLOOKUP(C259,Sheet2!B:B,Sheet2!A:A)</f>
        <v>Tushar.Gatkal@rockwellautomation.com</v>
      </c>
      <c r="E259" s="107" t="s">
        <v>249</v>
      </c>
      <c r="F259" s="107" t="s">
        <v>300</v>
      </c>
      <c r="G259" s="184" t="s">
        <v>245</v>
      </c>
      <c r="H259" s="151" t="s">
        <v>828</v>
      </c>
      <c r="I259" s="167">
        <f t="shared" si="9"/>
        <v>7.666666666666667</v>
      </c>
      <c r="J259" s="163" t="s">
        <v>405</v>
      </c>
      <c r="K259" s="161">
        <v>43550</v>
      </c>
      <c r="L259" s="165">
        <f t="shared" ref="L259:L286" ca="1" si="10">IF(OR(J259="",K259=""),"",
ROUND(
IFERROR(
--J259,
VALUE(LEFT(J259,FIND("years",J259)-1))
+ VALUE(MID(J259,FIND("years",J259)+6,FIND("months",J259)-FIND("years",J259)-6))/12
)
+ DATEDIF(K259,TODAY(),"y")
+ DATEDIF(K259,TODAY(),"ym")/12,2))</f>
        <v>8.17</v>
      </c>
      <c r="M259" s="148" t="s">
        <v>829</v>
      </c>
      <c r="N259" s="75"/>
      <c r="O259" s="192" t="s">
        <v>237</v>
      </c>
      <c r="P259" s="193" t="s">
        <v>237</v>
      </c>
      <c r="Q259" s="193" t="s">
        <v>237</v>
      </c>
      <c r="R259" s="193" t="s">
        <v>237</v>
      </c>
      <c r="S259" s="193" t="s">
        <v>237</v>
      </c>
      <c r="T259" s="193" t="s">
        <v>237</v>
      </c>
      <c r="U259" s="193" t="s">
        <v>300</v>
      </c>
      <c r="V259" s="193" t="s">
        <v>237</v>
      </c>
    </row>
    <row r="260" spans="1:22" ht="14.5" customHeight="1" x14ac:dyDescent="0.35">
      <c r="A260" s="78">
        <v>259</v>
      </c>
      <c r="B260" s="173" t="s">
        <v>830</v>
      </c>
      <c r="C260" s="181">
        <v>90721957</v>
      </c>
      <c r="D260" s="171" t="str">
        <f>_xlfn.XLOOKUP(C260,Sheet2!B:B,Sheet2!A:A)</f>
        <v>uma.md@rockwellautomation.com</v>
      </c>
      <c r="E260" s="107" t="s">
        <v>232</v>
      </c>
      <c r="F260" s="107" t="s">
        <v>300</v>
      </c>
      <c r="G260" s="184"/>
      <c r="H260" s="151" t="s">
        <v>281</v>
      </c>
      <c r="I260" s="167">
        <f t="shared" si="9"/>
        <v>3.9166666666666665</v>
      </c>
      <c r="J260" s="163" t="s">
        <v>235</v>
      </c>
      <c r="K260" s="161">
        <v>44543</v>
      </c>
      <c r="L260" s="165">
        <f t="shared" ca="1" si="10"/>
        <v>4.5</v>
      </c>
      <c r="M260" s="148" t="s">
        <v>831</v>
      </c>
      <c r="N260" s="75"/>
      <c r="O260" s="192" t="s">
        <v>237</v>
      </c>
      <c r="P260" s="193" t="s">
        <v>237</v>
      </c>
      <c r="Q260" s="193" t="s">
        <v>237</v>
      </c>
      <c r="R260" s="193" t="s">
        <v>237</v>
      </c>
      <c r="S260" s="193" t="s">
        <v>237</v>
      </c>
      <c r="T260" s="193" t="s">
        <v>237</v>
      </c>
      <c r="U260" s="193" t="s">
        <v>300</v>
      </c>
      <c r="V260" s="193" t="s">
        <v>237</v>
      </c>
    </row>
    <row r="261" spans="1:22" ht="14.5" customHeight="1" x14ac:dyDescent="0.35">
      <c r="A261" s="78">
        <v>260</v>
      </c>
      <c r="B261" s="200" t="s">
        <v>173</v>
      </c>
      <c r="C261" s="181">
        <v>90719714</v>
      </c>
      <c r="D261" s="171" t="str">
        <f>_xlfn.XLOOKUP(C261,Sheet2!B:B,Sheet2!A:A)</f>
        <v>Krithika.V@rockwellautomation.com</v>
      </c>
      <c r="E261" s="107" t="s">
        <v>232</v>
      </c>
      <c r="F261" s="107" t="s">
        <v>239</v>
      </c>
      <c r="G261" s="184"/>
      <c r="H261" s="151" t="s">
        <v>832</v>
      </c>
      <c r="I261" s="167">
        <f t="shared" si="9"/>
        <v>7.166666666666667</v>
      </c>
      <c r="J261" s="163" t="s">
        <v>378</v>
      </c>
      <c r="K261" s="161">
        <v>44452</v>
      </c>
      <c r="L261" s="165">
        <f t="shared" ca="1" si="10"/>
        <v>7.75</v>
      </c>
      <c r="M261" s="148" t="e">
        <v>#N/A</v>
      </c>
      <c r="N261" s="75"/>
      <c r="O261" s="192" t="s">
        <v>237</v>
      </c>
      <c r="P261" s="193" t="s">
        <v>237</v>
      </c>
      <c r="Q261" s="193" t="s">
        <v>237</v>
      </c>
      <c r="R261" s="193" t="s">
        <v>237</v>
      </c>
      <c r="S261" s="193" t="s">
        <v>237</v>
      </c>
      <c r="T261" s="193" t="s">
        <v>237</v>
      </c>
      <c r="U261" s="193" t="s">
        <v>237</v>
      </c>
      <c r="V261" s="193" t="s">
        <v>237</v>
      </c>
    </row>
    <row r="262" spans="1:22" ht="14.5" customHeight="1" x14ac:dyDescent="0.35">
      <c r="A262" s="78">
        <v>261</v>
      </c>
      <c r="B262" s="173" t="s">
        <v>833</v>
      </c>
      <c r="C262" s="181">
        <v>90727174</v>
      </c>
      <c r="D262" s="171" t="str">
        <f>_xlfn.XLOOKUP(C262,Sheet2!B:B,Sheet2!A:A)</f>
        <v>vaishnavi.vaishnavi@rockwellautomation.com</v>
      </c>
      <c r="E262" s="107" t="s">
        <v>232</v>
      </c>
      <c r="F262" s="107" t="s">
        <v>233</v>
      </c>
      <c r="G262" s="184"/>
      <c r="H262" s="151" t="s">
        <v>234</v>
      </c>
      <c r="I262" s="167">
        <f t="shared" si="9"/>
        <v>1.3333333333333333</v>
      </c>
      <c r="J262" s="163" t="s">
        <v>235</v>
      </c>
      <c r="K262" s="161">
        <v>45488</v>
      </c>
      <c r="L262" s="165">
        <f t="shared" ca="1" si="10"/>
        <v>1.92</v>
      </c>
      <c r="M262" s="148" t="e">
        <v>#N/A</v>
      </c>
      <c r="N262" s="75"/>
      <c r="O262" s="192" t="s">
        <v>254</v>
      </c>
      <c r="P262" s="193" t="s">
        <v>237</v>
      </c>
      <c r="Q262" s="193" t="s">
        <v>268</v>
      </c>
      <c r="R262" s="193" t="s">
        <v>237</v>
      </c>
      <c r="S262" s="193" t="s">
        <v>237</v>
      </c>
      <c r="T262" s="193" t="s">
        <v>237</v>
      </c>
      <c r="U262" s="193" t="s">
        <v>237</v>
      </c>
      <c r="V262" s="193" t="s">
        <v>237</v>
      </c>
    </row>
    <row r="263" spans="1:22" ht="14.5" customHeight="1" x14ac:dyDescent="0.35">
      <c r="A263" s="78">
        <v>262</v>
      </c>
      <c r="B263" s="200" t="s">
        <v>834</v>
      </c>
      <c r="C263" s="181">
        <v>90719963</v>
      </c>
      <c r="D263" s="171" t="str">
        <f>_xlfn.XLOOKUP(C263,Sheet2!B:B,Sheet2!A:A)</f>
        <v>Varsha.KS@rockwellautomation.com</v>
      </c>
      <c r="E263" s="107" t="s">
        <v>232</v>
      </c>
      <c r="F263" s="107" t="s">
        <v>223</v>
      </c>
      <c r="G263" s="184"/>
      <c r="H263" s="151" t="s">
        <v>283</v>
      </c>
      <c r="I263" s="167">
        <f t="shared" si="9"/>
        <v>2.1666666666666665</v>
      </c>
      <c r="J263" s="163" t="s">
        <v>235</v>
      </c>
      <c r="K263" s="161">
        <v>45205</v>
      </c>
      <c r="L263" s="165">
        <f t="shared" ca="1" si="10"/>
        <v>2.67</v>
      </c>
      <c r="M263" s="148" t="s">
        <v>254</v>
      </c>
      <c r="N263" s="75"/>
      <c r="O263" s="192" t="s">
        <v>237</v>
      </c>
      <c r="P263" s="193" t="s">
        <v>237</v>
      </c>
      <c r="Q263" s="193" t="s">
        <v>237</v>
      </c>
      <c r="R263" s="193" t="s">
        <v>237</v>
      </c>
      <c r="S263" s="193" t="s">
        <v>237</v>
      </c>
      <c r="T263" s="193" t="s">
        <v>237</v>
      </c>
      <c r="U263" s="193" t="s">
        <v>237</v>
      </c>
      <c r="V263" s="193" t="s">
        <v>237</v>
      </c>
    </row>
    <row r="264" spans="1:22" ht="14.5" customHeight="1" x14ac:dyDescent="0.35">
      <c r="A264" s="78">
        <v>263</v>
      </c>
      <c r="B264" s="173" t="s">
        <v>160</v>
      </c>
      <c r="C264" s="181">
        <v>90719653</v>
      </c>
      <c r="D264" s="171" t="str">
        <f>_xlfn.XLOOKUP(C264,Sheet2!B:B,Sheet2!A:A)</f>
        <v>Varshini.KV@rockwellautomation.com</v>
      </c>
      <c r="E264" s="107" t="s">
        <v>232</v>
      </c>
      <c r="F264" s="107" t="s">
        <v>300</v>
      </c>
      <c r="G264" s="184" t="s">
        <v>245</v>
      </c>
      <c r="H264" s="151" t="s">
        <v>444</v>
      </c>
      <c r="I264" s="167">
        <f t="shared" si="9"/>
        <v>4.5</v>
      </c>
      <c r="J264" s="163" t="s">
        <v>235</v>
      </c>
      <c r="K264" s="161">
        <v>44354</v>
      </c>
      <c r="L264" s="165">
        <f t="shared" ca="1" si="10"/>
        <v>5</v>
      </c>
      <c r="M264" s="148" t="s">
        <v>835</v>
      </c>
      <c r="N264" s="75"/>
      <c r="O264" s="192" t="s">
        <v>237</v>
      </c>
      <c r="P264" s="193" t="s">
        <v>237</v>
      </c>
      <c r="Q264" s="193" t="s">
        <v>237</v>
      </c>
      <c r="R264" s="193" t="s">
        <v>237</v>
      </c>
      <c r="S264" s="193" t="s">
        <v>237</v>
      </c>
      <c r="T264" s="193" t="s">
        <v>237</v>
      </c>
      <c r="U264" s="193" t="s">
        <v>300</v>
      </c>
      <c r="V264" s="193" t="s">
        <v>237</v>
      </c>
    </row>
    <row r="265" spans="1:22" ht="14.5" customHeight="1" x14ac:dyDescent="0.35">
      <c r="A265" s="78">
        <v>264</v>
      </c>
      <c r="B265" s="173" t="s">
        <v>836</v>
      </c>
      <c r="C265" s="181">
        <v>90719381</v>
      </c>
      <c r="D265" s="171" t="str">
        <f>_xlfn.XLOOKUP(C265,Sheet2!B:B,Sheet2!A:A)</f>
        <v>Varun.Sontakke@rockwellautomation.com</v>
      </c>
      <c r="E265" s="107" t="s">
        <v>232</v>
      </c>
      <c r="F265" s="107" t="s">
        <v>239</v>
      </c>
      <c r="G265" s="184"/>
      <c r="H265" s="151" t="s">
        <v>478</v>
      </c>
      <c r="I265" s="167">
        <f t="shared" ref="I265:I287" si="11">IF(
   OR(H265="",H265="NA"),
   "",
   VALUE(LEFT(H265,FIND("years",H265)-1)) +
   VALUE(MID(H265,FIND("years",H265)+5,FIND("months",H265)-FIND("years",H265)-5))/12
)</f>
        <v>10.25</v>
      </c>
      <c r="J265" s="163" t="s">
        <v>837</v>
      </c>
      <c r="K265" s="161">
        <v>43024</v>
      </c>
      <c r="L265" s="165">
        <f t="shared" ca="1" si="10"/>
        <v>10.83</v>
      </c>
      <c r="M265" s="148" t="e">
        <v>#N/A</v>
      </c>
      <c r="N265" s="75"/>
      <c r="O265" s="192" t="s">
        <v>254</v>
      </c>
      <c r="P265" s="193" t="s">
        <v>237</v>
      </c>
      <c r="Q265" s="193" t="s">
        <v>237</v>
      </c>
      <c r="R265" s="193" t="s">
        <v>237</v>
      </c>
      <c r="S265" s="193" t="s">
        <v>227</v>
      </c>
      <c r="T265" s="193" t="s">
        <v>237</v>
      </c>
      <c r="U265" s="193" t="s">
        <v>237</v>
      </c>
      <c r="V265" s="193" t="s">
        <v>237</v>
      </c>
    </row>
    <row r="266" spans="1:22" ht="14.5" customHeight="1" x14ac:dyDescent="0.35">
      <c r="A266" s="78">
        <v>265</v>
      </c>
      <c r="B266" s="173" t="s">
        <v>186</v>
      </c>
      <c r="C266" s="181">
        <v>90719534</v>
      </c>
      <c r="D266" s="171" t="str">
        <f>_xlfn.XLOOKUP(C266,Sheet2!B:B,Sheet2!A:A)</f>
        <v>Veeramreddy.Reddy@rockwellautomation.com</v>
      </c>
      <c r="E266" s="107" t="s">
        <v>249</v>
      </c>
      <c r="F266" s="107" t="s">
        <v>223</v>
      </c>
      <c r="G266" s="184" t="s">
        <v>245</v>
      </c>
      <c r="H266" s="151" t="s">
        <v>347</v>
      </c>
      <c r="I266" s="167">
        <f t="shared" si="11"/>
        <v>6</v>
      </c>
      <c r="J266" s="163" t="s">
        <v>235</v>
      </c>
      <c r="K266" s="161">
        <v>43800</v>
      </c>
      <c r="L266" s="165">
        <f t="shared" ca="1" si="10"/>
        <v>6.5</v>
      </c>
      <c r="M266" s="148" t="s">
        <v>838</v>
      </c>
      <c r="N266" s="75"/>
      <c r="O266" s="192" t="s">
        <v>254</v>
      </c>
      <c r="P266" s="193" t="s">
        <v>237</v>
      </c>
      <c r="Q266" s="193" t="s">
        <v>255</v>
      </c>
      <c r="R266" s="193" t="s">
        <v>237</v>
      </c>
      <c r="S266" s="193" t="s">
        <v>237</v>
      </c>
      <c r="T266" s="193" t="s">
        <v>237</v>
      </c>
      <c r="U266" s="193" t="s">
        <v>237</v>
      </c>
      <c r="V266" s="193" t="s">
        <v>264</v>
      </c>
    </row>
    <row r="267" spans="1:22" ht="14.5" customHeight="1" x14ac:dyDescent="0.35">
      <c r="A267" s="78">
        <v>266</v>
      </c>
      <c r="B267" s="155" t="s">
        <v>839</v>
      </c>
      <c r="C267" s="149">
        <v>90732338</v>
      </c>
      <c r="D267" s="171" t="str">
        <f>_xlfn.XLOOKUP(C267,Sheet2!B:B,Sheet2!A:A)</f>
        <v>VenkataSatyaSitaram.Saladi@rockwellautomation.com</v>
      </c>
      <c r="E267" s="107" t="s">
        <v>232</v>
      </c>
      <c r="F267" s="107" t="s">
        <v>239</v>
      </c>
      <c r="G267" s="184" t="s">
        <v>245</v>
      </c>
      <c r="H267" s="151" t="s">
        <v>840</v>
      </c>
      <c r="I267" s="167">
        <f t="shared" si="11"/>
        <v>3.6666666666666665</v>
      </c>
      <c r="J267" s="163" t="e">
        <v>#N/A</v>
      </c>
      <c r="K267" s="161">
        <v>45936</v>
      </c>
      <c r="L267" s="165" t="e">
        <f t="shared" ca="1" si="10"/>
        <v>#N/A</v>
      </c>
      <c r="M267" s="148" t="e">
        <v>#N/A</v>
      </c>
      <c r="N267" s="75"/>
      <c r="O267" s="192" t="s">
        <v>237</v>
      </c>
      <c r="P267" s="193" t="s">
        <v>237</v>
      </c>
      <c r="Q267" s="193" t="s">
        <v>237</v>
      </c>
      <c r="R267" s="193" t="s">
        <v>237</v>
      </c>
      <c r="S267" s="193" t="s">
        <v>227</v>
      </c>
      <c r="T267" s="193" t="s">
        <v>237</v>
      </c>
      <c r="U267" s="193" t="s">
        <v>237</v>
      </c>
      <c r="V267" s="193" t="s">
        <v>237</v>
      </c>
    </row>
    <row r="268" spans="1:22" ht="14.5" customHeight="1" x14ac:dyDescent="0.35">
      <c r="A268" s="78">
        <v>267</v>
      </c>
      <c r="B268" s="173" t="s">
        <v>841</v>
      </c>
      <c r="C268" s="181">
        <v>90730605</v>
      </c>
      <c r="D268" s="171" t="str">
        <f>_xlfn.XLOOKUP(C268,Sheet2!B:B,Sheet2!A:A)</f>
        <v>Venkatesh.RS@rockwellautomation.com</v>
      </c>
      <c r="E268" s="107" t="s">
        <v>232</v>
      </c>
      <c r="F268" s="107" t="s">
        <v>244</v>
      </c>
      <c r="G268" s="184" t="s">
        <v>245</v>
      </c>
      <c r="H268" s="151" t="s">
        <v>842</v>
      </c>
      <c r="I268" s="167">
        <f t="shared" si="11"/>
        <v>0.5</v>
      </c>
      <c r="J268" s="163" t="s">
        <v>843</v>
      </c>
      <c r="K268" s="161">
        <v>45810</v>
      </c>
      <c r="L268" s="165">
        <f t="shared" ca="1" si="10"/>
        <v>4</v>
      </c>
      <c r="M268" s="148" t="s">
        <v>844</v>
      </c>
      <c r="N268" s="75"/>
      <c r="O268" s="192" t="s">
        <v>237</v>
      </c>
      <c r="P268" s="193" t="s">
        <v>248</v>
      </c>
      <c r="Q268" s="193" t="s">
        <v>237</v>
      </c>
      <c r="R268" s="193" t="s">
        <v>237</v>
      </c>
      <c r="S268" s="193" t="s">
        <v>237</v>
      </c>
      <c r="T268" s="193" t="s">
        <v>237</v>
      </c>
      <c r="U268" s="193" t="s">
        <v>237</v>
      </c>
      <c r="V268" s="193" t="s">
        <v>237</v>
      </c>
    </row>
    <row r="269" spans="1:22" ht="14.5" customHeight="1" x14ac:dyDescent="0.35">
      <c r="A269" s="78">
        <v>268</v>
      </c>
      <c r="B269" s="155" t="s">
        <v>845</v>
      </c>
      <c r="C269" s="149">
        <v>90732310</v>
      </c>
      <c r="D269" s="171" t="str">
        <f>_xlfn.XLOOKUP(C269,Sheet2!B:B,Sheet2!A:A)</f>
        <v>Vetrivel.Baskaran@rockwellautomation.com</v>
      </c>
      <c r="E269" s="107" t="s">
        <v>232</v>
      </c>
      <c r="F269" s="107" t="s">
        <v>251</v>
      </c>
      <c r="G269" s="184"/>
      <c r="H269" s="151" t="s">
        <v>246</v>
      </c>
      <c r="I269" s="167">
        <f t="shared" si="11"/>
        <v>0.25</v>
      </c>
      <c r="J269" s="163" t="e">
        <v>#N/A</v>
      </c>
      <c r="K269" s="161">
        <v>45891</v>
      </c>
      <c r="L269" s="165" t="e">
        <f t="shared" ca="1" si="10"/>
        <v>#N/A</v>
      </c>
      <c r="M269" s="148" t="s">
        <v>846</v>
      </c>
      <c r="N269" s="75"/>
      <c r="O269" s="192" t="s">
        <v>254</v>
      </c>
      <c r="P269" s="193" t="s">
        <v>237</v>
      </c>
      <c r="Q269" s="193" t="s">
        <v>373</v>
      </c>
      <c r="R269" s="193" t="s">
        <v>237</v>
      </c>
      <c r="S269" s="193" t="s">
        <v>237</v>
      </c>
      <c r="T269" s="193" t="s">
        <v>237</v>
      </c>
      <c r="U269" s="193" t="s">
        <v>237</v>
      </c>
      <c r="V269" s="193" t="s">
        <v>237</v>
      </c>
    </row>
    <row r="270" spans="1:22" ht="14.5" customHeight="1" x14ac:dyDescent="0.35">
      <c r="A270" s="78">
        <v>269</v>
      </c>
      <c r="B270" s="173" t="s">
        <v>847</v>
      </c>
      <c r="C270" s="181">
        <v>90719006</v>
      </c>
      <c r="D270" s="171" t="str">
        <f>_xlfn.XLOOKUP(C270,Sheet2!B:B,Sheet2!A:A)</f>
        <v>Vidushi.Goyal@rockwellautomation.com</v>
      </c>
      <c r="E270" s="107" t="s">
        <v>249</v>
      </c>
      <c r="F270" s="107" t="s">
        <v>309</v>
      </c>
      <c r="G270" s="184"/>
      <c r="H270" s="151" t="s">
        <v>848</v>
      </c>
      <c r="I270" s="167">
        <f t="shared" si="11"/>
        <v>12.25</v>
      </c>
      <c r="J270" s="163" t="s">
        <v>849</v>
      </c>
      <c r="K270" s="161">
        <v>44809</v>
      </c>
      <c r="L270" s="165">
        <f t="shared" ca="1" si="10"/>
        <v>12.75</v>
      </c>
      <c r="M270" s="148" t="s">
        <v>850</v>
      </c>
      <c r="N270" s="75"/>
      <c r="O270" s="192" t="s">
        <v>237</v>
      </c>
      <c r="P270" s="193" t="s">
        <v>237</v>
      </c>
      <c r="Q270" s="193" t="s">
        <v>237</v>
      </c>
      <c r="R270" s="193" t="s">
        <v>237</v>
      </c>
      <c r="S270" s="193" t="s">
        <v>237</v>
      </c>
      <c r="T270" s="193" t="s">
        <v>237</v>
      </c>
      <c r="U270" s="193" t="s">
        <v>237</v>
      </c>
      <c r="V270" s="193" t="s">
        <v>237</v>
      </c>
    </row>
    <row r="271" spans="1:22" ht="14.5" customHeight="1" x14ac:dyDescent="0.35">
      <c r="A271" s="78">
        <v>270</v>
      </c>
      <c r="B271" s="173" t="s">
        <v>851</v>
      </c>
      <c r="C271" s="181">
        <v>90719871</v>
      </c>
      <c r="D271" s="171" t="str">
        <f>_xlfn.XLOOKUP(C271,Sheet2!B:B,Sheet2!A:A)</f>
        <v>Vidya.M@rockwellautomation.com</v>
      </c>
      <c r="E271" s="107" t="s">
        <v>232</v>
      </c>
      <c r="F271" s="107" t="s">
        <v>233</v>
      </c>
      <c r="G271" s="184"/>
      <c r="H271" s="151" t="s">
        <v>283</v>
      </c>
      <c r="I271" s="167">
        <f t="shared" si="11"/>
        <v>2.1666666666666665</v>
      </c>
      <c r="J271" s="163" t="s">
        <v>235</v>
      </c>
      <c r="K271" s="161">
        <v>45189</v>
      </c>
      <c r="L271" s="165">
        <f t="shared" ca="1" si="10"/>
        <v>2.75</v>
      </c>
      <c r="M271" s="148" t="e">
        <v>#N/A</v>
      </c>
      <c r="N271" s="75"/>
      <c r="O271" s="192" t="s">
        <v>237</v>
      </c>
      <c r="P271" s="193" t="s">
        <v>237</v>
      </c>
      <c r="Q271" s="193" t="s">
        <v>237</v>
      </c>
      <c r="R271" s="193" t="s">
        <v>237</v>
      </c>
      <c r="S271" s="193" t="s">
        <v>237</v>
      </c>
      <c r="T271" s="193" t="s">
        <v>237</v>
      </c>
      <c r="U271" s="193" t="s">
        <v>237</v>
      </c>
      <c r="V271" s="193" t="s">
        <v>237</v>
      </c>
    </row>
    <row r="272" spans="1:22" ht="14.5" customHeight="1" x14ac:dyDescent="0.35">
      <c r="A272" s="78">
        <v>271</v>
      </c>
      <c r="B272" s="178" t="s">
        <v>852</v>
      </c>
      <c r="C272" s="181">
        <v>90719921</v>
      </c>
      <c r="D272" s="171" t="str">
        <f>_xlfn.XLOOKUP(C272,Sheet2!B:B,Sheet2!A:A)</f>
        <v>Vidyashree.Vidyashree@rockwellautomation.com</v>
      </c>
      <c r="E272" s="107" t="s">
        <v>232</v>
      </c>
      <c r="F272" s="107" t="s">
        <v>244</v>
      </c>
      <c r="G272" s="184" t="s">
        <v>245</v>
      </c>
      <c r="H272" s="151" t="s">
        <v>283</v>
      </c>
      <c r="I272" s="167">
        <f t="shared" si="11"/>
        <v>2.1666666666666665</v>
      </c>
      <c r="J272" s="163" t="s">
        <v>235</v>
      </c>
      <c r="K272" s="161">
        <v>45205</v>
      </c>
      <c r="L272" s="165">
        <f t="shared" ca="1" si="10"/>
        <v>2.67</v>
      </c>
      <c r="M272" s="148" t="s">
        <v>853</v>
      </c>
      <c r="N272" s="75"/>
      <c r="O272" s="192" t="s">
        <v>237</v>
      </c>
      <c r="P272" s="193" t="s">
        <v>248</v>
      </c>
      <c r="Q272" s="193" t="s">
        <v>268</v>
      </c>
      <c r="R272" s="193" t="s">
        <v>237</v>
      </c>
      <c r="S272" s="193" t="s">
        <v>237</v>
      </c>
      <c r="T272" s="193" t="s">
        <v>237</v>
      </c>
      <c r="U272" s="193" t="s">
        <v>237</v>
      </c>
      <c r="V272" s="193" t="s">
        <v>237</v>
      </c>
    </row>
    <row r="273" spans="1:22" ht="14.5" customHeight="1" x14ac:dyDescent="0.35">
      <c r="A273" s="78">
        <v>272</v>
      </c>
      <c r="B273" s="178" t="s">
        <v>854</v>
      </c>
      <c r="C273" s="181">
        <v>90719805</v>
      </c>
      <c r="D273" s="171" t="str">
        <f>_xlfn.XLOOKUP(C273,Sheet2!B:B,Sheet2!A:A)</f>
        <v>Vidyasree.C@rockwellautomation.com</v>
      </c>
      <c r="E273" s="107" t="s">
        <v>232</v>
      </c>
      <c r="F273" s="107" t="s">
        <v>239</v>
      </c>
      <c r="G273" s="184"/>
      <c r="H273" s="151" t="s">
        <v>564</v>
      </c>
      <c r="I273" s="167">
        <f t="shared" si="11"/>
        <v>3.5</v>
      </c>
      <c r="J273" s="163" t="s">
        <v>235</v>
      </c>
      <c r="K273" s="161">
        <v>44713</v>
      </c>
      <c r="L273" s="165">
        <f t="shared" ca="1" si="10"/>
        <v>4</v>
      </c>
      <c r="M273" s="148" t="e">
        <v>#N/A</v>
      </c>
      <c r="N273" s="75"/>
      <c r="O273" s="192" t="s">
        <v>237</v>
      </c>
      <c r="P273" s="193" t="s">
        <v>237</v>
      </c>
      <c r="Q273" s="193" t="s">
        <v>237</v>
      </c>
      <c r="R273" s="193" t="s">
        <v>237</v>
      </c>
      <c r="S273" s="193" t="s">
        <v>227</v>
      </c>
      <c r="T273" s="193" t="s">
        <v>237</v>
      </c>
      <c r="U273" s="193" t="s">
        <v>237</v>
      </c>
      <c r="V273" s="193" t="s">
        <v>237</v>
      </c>
    </row>
    <row r="274" spans="1:22" ht="14.5" customHeight="1" x14ac:dyDescent="0.35">
      <c r="A274" s="78">
        <v>273</v>
      </c>
      <c r="B274" s="173" t="s">
        <v>172</v>
      </c>
      <c r="C274" s="181">
        <v>90718836</v>
      </c>
      <c r="D274" s="171" t="str">
        <f>_xlfn.XLOOKUP(C274,Sheet2!B:B,Sheet2!A:A)</f>
        <v>Vignesh.P.V@rockwellautomation.com</v>
      </c>
      <c r="E274" s="107" t="s">
        <v>249</v>
      </c>
      <c r="F274" s="107" t="s">
        <v>239</v>
      </c>
      <c r="G274" s="184" t="s">
        <v>245</v>
      </c>
      <c r="H274" s="151" t="s">
        <v>855</v>
      </c>
      <c r="I274" s="167">
        <f t="shared" si="11"/>
        <v>8.25</v>
      </c>
      <c r="J274" s="163" t="s">
        <v>856</v>
      </c>
      <c r="K274" s="161">
        <v>43367</v>
      </c>
      <c r="L274" s="165">
        <f t="shared" ca="1" si="10"/>
        <v>8.75</v>
      </c>
      <c r="M274" s="148" t="s">
        <v>857</v>
      </c>
      <c r="N274" s="75"/>
      <c r="O274" s="192" t="s">
        <v>237</v>
      </c>
      <c r="P274" s="193" t="s">
        <v>237</v>
      </c>
      <c r="Q274" s="193" t="s">
        <v>237</v>
      </c>
      <c r="R274" s="193" t="s">
        <v>237</v>
      </c>
      <c r="S274" s="193" t="s">
        <v>227</v>
      </c>
      <c r="T274" s="193" t="s">
        <v>237</v>
      </c>
      <c r="U274" s="193" t="s">
        <v>237</v>
      </c>
      <c r="V274" s="193" t="s">
        <v>237</v>
      </c>
    </row>
    <row r="275" spans="1:22" ht="14.5" customHeight="1" x14ac:dyDescent="0.35">
      <c r="A275" s="78">
        <v>274</v>
      </c>
      <c r="B275" s="173" t="s">
        <v>858</v>
      </c>
      <c r="C275" s="181">
        <v>90727541</v>
      </c>
      <c r="D275" s="171" t="str">
        <f>_xlfn.XLOOKUP(C275,Sheet2!B:B,Sheet2!A:A)</f>
        <v>VigneshRaj.MSK@rockwellautomation.com</v>
      </c>
      <c r="E275" s="107" t="s">
        <v>249</v>
      </c>
      <c r="F275" s="107" t="s">
        <v>309</v>
      </c>
      <c r="G275" s="184"/>
      <c r="H275" s="151" t="s">
        <v>242</v>
      </c>
      <c r="I275" s="167" t="str">
        <f t="shared" si="11"/>
        <v/>
      </c>
      <c r="J275" s="163" t="e">
        <v>#N/A</v>
      </c>
      <c r="K275" s="161" t="e">
        <v>#N/A</v>
      </c>
      <c r="L275" s="165" t="e">
        <f t="shared" ca="1" si="10"/>
        <v>#N/A</v>
      </c>
      <c r="M275" s="148" t="e">
        <v>#N/A</v>
      </c>
      <c r="N275" s="75"/>
      <c r="O275" s="192" t="s">
        <v>237</v>
      </c>
      <c r="P275" s="193" t="s">
        <v>237</v>
      </c>
      <c r="Q275" s="193" t="s">
        <v>237</v>
      </c>
      <c r="R275" s="193" t="s">
        <v>237</v>
      </c>
      <c r="S275" s="193" t="s">
        <v>237</v>
      </c>
      <c r="T275" s="193" t="s">
        <v>358</v>
      </c>
      <c r="U275" s="193" t="s">
        <v>237</v>
      </c>
      <c r="V275" s="193" t="s">
        <v>320</v>
      </c>
    </row>
    <row r="276" spans="1:22" ht="14.5" customHeight="1" x14ac:dyDescent="0.35">
      <c r="A276" s="78">
        <v>275</v>
      </c>
      <c r="B276" s="173" t="s">
        <v>859</v>
      </c>
      <c r="C276" s="181">
        <v>90719316</v>
      </c>
      <c r="D276" s="171" t="str">
        <f>_xlfn.XLOOKUP(C276,Sheet2!B:B,Sheet2!A:A)</f>
        <v>Vignesh.S@rockwellautomation.com</v>
      </c>
      <c r="E276" s="107" t="s">
        <v>232</v>
      </c>
      <c r="F276" s="107" t="s">
        <v>300</v>
      </c>
      <c r="G276" s="184"/>
      <c r="H276" s="151" t="s">
        <v>860</v>
      </c>
      <c r="I276" s="167">
        <f t="shared" si="11"/>
        <v>9.0833333333333339</v>
      </c>
      <c r="J276" s="163" t="s">
        <v>235</v>
      </c>
      <c r="K276" s="161">
        <v>42681</v>
      </c>
      <c r="L276" s="165">
        <f t="shared" ca="1" si="10"/>
        <v>9.58</v>
      </c>
      <c r="M276" s="148" t="s">
        <v>861</v>
      </c>
      <c r="N276" s="75"/>
      <c r="O276" s="192" t="s">
        <v>237</v>
      </c>
      <c r="P276" s="193" t="s">
        <v>237</v>
      </c>
      <c r="Q276" s="193" t="s">
        <v>237</v>
      </c>
      <c r="R276" s="193" t="s">
        <v>237</v>
      </c>
      <c r="S276" s="193" t="s">
        <v>237</v>
      </c>
      <c r="T276" s="193" t="s">
        <v>237</v>
      </c>
      <c r="U276" s="193" t="s">
        <v>300</v>
      </c>
      <c r="V276" s="193" t="s">
        <v>264</v>
      </c>
    </row>
    <row r="277" spans="1:22" ht="14.5" customHeight="1" x14ac:dyDescent="0.35">
      <c r="A277" s="78">
        <v>276</v>
      </c>
      <c r="B277" s="173" t="s">
        <v>862</v>
      </c>
      <c r="C277" s="181">
        <v>90718940</v>
      </c>
      <c r="D277" s="171" t="str">
        <f>_xlfn.XLOOKUP(C277,Sheet2!B:B,Sheet2!A:A)</f>
        <v>Vinod.Krishnan@rockwellautomation.com</v>
      </c>
      <c r="E277" s="107" t="s">
        <v>308</v>
      </c>
      <c r="F277" s="107" t="s">
        <v>309</v>
      </c>
      <c r="G277" s="184"/>
      <c r="H277" s="151" t="s">
        <v>863</v>
      </c>
      <c r="I277" s="167">
        <f t="shared" si="11"/>
        <v>12.666666666666666</v>
      </c>
      <c r="J277" s="163" t="s">
        <v>531</v>
      </c>
      <c r="K277" s="161">
        <v>41871</v>
      </c>
      <c r="L277" s="165">
        <f t="shared" ca="1" si="10"/>
        <v>13.25</v>
      </c>
      <c r="M277" s="148" t="s">
        <v>864</v>
      </c>
      <c r="N277" s="75"/>
      <c r="O277" s="192" t="s">
        <v>237</v>
      </c>
      <c r="P277" s="193" t="s">
        <v>237</v>
      </c>
      <c r="Q277" s="193" t="s">
        <v>291</v>
      </c>
      <c r="R277" s="193" t="s">
        <v>237</v>
      </c>
      <c r="S277" s="193" t="s">
        <v>237</v>
      </c>
      <c r="T277" s="193" t="s">
        <v>358</v>
      </c>
      <c r="U277" s="193" t="s">
        <v>237</v>
      </c>
      <c r="V277" s="193" t="s">
        <v>237</v>
      </c>
    </row>
    <row r="278" spans="1:22" ht="14.5" customHeight="1" x14ac:dyDescent="0.35">
      <c r="A278" s="78">
        <v>277</v>
      </c>
      <c r="B278" s="173" t="s">
        <v>141</v>
      </c>
      <c r="C278" s="181">
        <v>90719584</v>
      </c>
      <c r="D278" s="171" t="str">
        <f>_xlfn.XLOOKUP(C278,Sheet2!B:B,Sheet2!A:A)</f>
        <v>Vishal.N.Patil@rockwellautomation.com</v>
      </c>
      <c r="E278" s="107" t="s">
        <v>232</v>
      </c>
      <c r="F278" s="107" t="s">
        <v>251</v>
      </c>
      <c r="G278" s="184" t="s">
        <v>245</v>
      </c>
      <c r="H278" s="151" t="s">
        <v>701</v>
      </c>
      <c r="I278" s="167">
        <f t="shared" si="11"/>
        <v>5.083333333333333</v>
      </c>
      <c r="J278" s="163" t="s">
        <v>235</v>
      </c>
      <c r="K278" s="161">
        <v>44131</v>
      </c>
      <c r="L278" s="165">
        <f t="shared" ca="1" si="10"/>
        <v>5.58</v>
      </c>
      <c r="M278" s="148" t="s">
        <v>865</v>
      </c>
      <c r="N278" s="75"/>
      <c r="O278" s="192" t="s">
        <v>254</v>
      </c>
      <c r="P278" s="193" t="s">
        <v>237</v>
      </c>
      <c r="Q278" s="193" t="s">
        <v>237</v>
      </c>
      <c r="R278" s="193" t="s">
        <v>237</v>
      </c>
      <c r="S278" s="193" t="s">
        <v>237</v>
      </c>
      <c r="T278" s="193" t="s">
        <v>237</v>
      </c>
      <c r="U278" s="193" t="s">
        <v>237</v>
      </c>
      <c r="V278" s="193" t="s">
        <v>237</v>
      </c>
    </row>
    <row r="279" spans="1:22" ht="14.5" customHeight="1" x14ac:dyDescent="0.35">
      <c r="A279" s="78">
        <v>278</v>
      </c>
      <c r="B279" s="173" t="s">
        <v>866</v>
      </c>
      <c r="C279" s="181">
        <v>90727329</v>
      </c>
      <c r="D279" s="171" t="str">
        <f>_xlfn.XLOOKUP(C279,Sheet2!B:B,Sheet2!A:A)</f>
        <v>vishal.srivastava@rockwellautomation.com</v>
      </c>
      <c r="E279" s="107" t="s">
        <v>232</v>
      </c>
      <c r="F279" s="107" t="s">
        <v>233</v>
      </c>
      <c r="G279" s="184"/>
      <c r="H279" s="151" t="s">
        <v>242</v>
      </c>
      <c r="I279" s="167" t="str">
        <f t="shared" si="11"/>
        <v/>
      </c>
      <c r="J279" s="163" t="s">
        <v>867</v>
      </c>
      <c r="K279" s="161" t="e">
        <v>#N/A</v>
      </c>
      <c r="L279" s="165" t="e">
        <f t="shared" ca="1" si="10"/>
        <v>#N/A</v>
      </c>
      <c r="M279" s="148" t="e">
        <v>#N/A</v>
      </c>
      <c r="N279" s="75"/>
      <c r="O279" s="192" t="s">
        <v>254</v>
      </c>
      <c r="P279" s="193" t="s">
        <v>237</v>
      </c>
      <c r="Q279" s="193" t="s">
        <v>237</v>
      </c>
      <c r="R279" s="193" t="s">
        <v>237</v>
      </c>
      <c r="S279" s="193" t="s">
        <v>227</v>
      </c>
      <c r="T279" s="193" t="s">
        <v>237</v>
      </c>
      <c r="U279" s="193" t="s">
        <v>237</v>
      </c>
      <c r="V279" s="193" t="s">
        <v>237</v>
      </c>
    </row>
    <row r="280" spans="1:22" ht="14.5" customHeight="1" x14ac:dyDescent="0.35">
      <c r="A280" s="78">
        <v>279</v>
      </c>
      <c r="B280" s="155" t="s">
        <v>868</v>
      </c>
      <c r="C280" s="149">
        <v>90732272</v>
      </c>
      <c r="D280" s="171" t="str">
        <f>_xlfn.XLOOKUP(C280,Sheet2!B:B,Sheet2!A:A)</f>
        <v>VishnuVardhan.Thokala@rockwellautomation.com</v>
      </c>
      <c r="E280" s="107" t="s">
        <v>232</v>
      </c>
      <c r="F280" s="107" t="s">
        <v>251</v>
      </c>
      <c r="G280" s="184"/>
      <c r="H280" s="151" t="s">
        <v>246</v>
      </c>
      <c r="I280" s="167">
        <f t="shared" si="11"/>
        <v>0.25</v>
      </c>
      <c r="J280" s="163" t="e">
        <v>#N/A</v>
      </c>
      <c r="K280" s="161">
        <v>45891</v>
      </c>
      <c r="L280" s="165" t="e">
        <f t="shared" ca="1" si="10"/>
        <v>#N/A</v>
      </c>
      <c r="M280" s="148" t="s">
        <v>869</v>
      </c>
      <c r="N280" s="75"/>
      <c r="O280" s="192" t="s">
        <v>254</v>
      </c>
      <c r="P280" s="193" t="s">
        <v>237</v>
      </c>
      <c r="Q280" s="193" t="s">
        <v>237</v>
      </c>
      <c r="R280" s="193" t="s">
        <v>237</v>
      </c>
      <c r="S280" s="193" t="s">
        <v>237</v>
      </c>
      <c r="T280" s="193" t="s">
        <v>237</v>
      </c>
      <c r="U280" s="193" t="s">
        <v>237</v>
      </c>
      <c r="V280" s="193" t="s">
        <v>237</v>
      </c>
    </row>
    <row r="281" spans="1:22" ht="14.5" customHeight="1" x14ac:dyDescent="0.35">
      <c r="A281" s="78">
        <v>280</v>
      </c>
      <c r="B281" s="177" t="s">
        <v>179</v>
      </c>
      <c r="C281" s="181">
        <v>90719569</v>
      </c>
      <c r="D281" s="171" t="str">
        <f>_xlfn.XLOOKUP(C281,Sheet2!B:B,Sheet2!A:A)</f>
        <v>Visnu.KRB@rockwellautomation.com</v>
      </c>
      <c r="E281" s="107" t="s">
        <v>232</v>
      </c>
      <c r="F281" s="107" t="s">
        <v>300</v>
      </c>
      <c r="G281" s="184"/>
      <c r="H281" s="151" t="s">
        <v>870</v>
      </c>
      <c r="I281" s="167">
        <f t="shared" si="11"/>
        <v>8.8333333333333339</v>
      </c>
      <c r="J281" s="163" t="s">
        <v>871</v>
      </c>
      <c r="K281" s="161">
        <v>44046</v>
      </c>
      <c r="L281" s="165">
        <f t="shared" ca="1" si="10"/>
        <v>9.33</v>
      </c>
      <c r="M281" s="148" t="s">
        <v>872</v>
      </c>
      <c r="N281" s="75"/>
      <c r="O281" s="192" t="s">
        <v>237</v>
      </c>
      <c r="P281" s="193" t="s">
        <v>237</v>
      </c>
      <c r="Q281" s="193" t="s">
        <v>268</v>
      </c>
      <c r="R281" s="193" t="s">
        <v>237</v>
      </c>
      <c r="S281" s="193" t="s">
        <v>237</v>
      </c>
      <c r="T281" s="193" t="s">
        <v>237</v>
      </c>
      <c r="U281" s="193" t="s">
        <v>300</v>
      </c>
      <c r="V281" s="193" t="s">
        <v>237</v>
      </c>
    </row>
    <row r="282" spans="1:22" ht="14.5" customHeight="1" x14ac:dyDescent="0.35">
      <c r="A282" s="78">
        <v>281</v>
      </c>
      <c r="B282" s="173" t="s">
        <v>873</v>
      </c>
      <c r="C282" s="185">
        <v>90719511</v>
      </c>
      <c r="D282" s="171" t="str">
        <f>_xlfn.XLOOKUP(C282,Sheet2!B:B,Sheet2!A:A)</f>
        <v>Vivek.Sharma1@rockwellautomation.com</v>
      </c>
      <c r="E282" s="107" t="s">
        <v>232</v>
      </c>
      <c r="F282" s="107" t="s">
        <v>251</v>
      </c>
      <c r="G282" s="184"/>
      <c r="H282" s="151" t="s">
        <v>289</v>
      </c>
      <c r="I282" s="167">
        <f t="shared" si="11"/>
        <v>8.4166666666666661</v>
      </c>
      <c r="J282" s="163" t="s">
        <v>874</v>
      </c>
      <c r="K282" s="161">
        <v>43752</v>
      </c>
      <c r="L282" s="165">
        <f t="shared" ca="1" si="10"/>
        <v>9</v>
      </c>
      <c r="M282" s="148" t="e">
        <v>#N/A</v>
      </c>
      <c r="N282" s="75"/>
      <c r="O282" s="192" t="s">
        <v>254</v>
      </c>
      <c r="P282" s="193" t="s">
        <v>237</v>
      </c>
      <c r="Q282" s="193" t="s">
        <v>237</v>
      </c>
      <c r="R282" s="193" t="s">
        <v>68</v>
      </c>
      <c r="S282" s="193" t="s">
        <v>237</v>
      </c>
      <c r="T282" s="193" t="s">
        <v>237</v>
      </c>
      <c r="U282" s="193" t="s">
        <v>300</v>
      </c>
      <c r="V282" s="193" t="s">
        <v>237</v>
      </c>
    </row>
    <row r="283" spans="1:22" ht="14.5" customHeight="1" x14ac:dyDescent="0.35">
      <c r="A283" s="78">
        <v>282</v>
      </c>
      <c r="B283" s="175" t="s">
        <v>875</v>
      </c>
      <c r="C283" s="149">
        <v>90732448</v>
      </c>
      <c r="D283" s="171" t="str">
        <f>_xlfn.XLOOKUP(C283,Sheet2!B:B,Sheet2!A:A)</f>
        <v>YashwanthReddyPB.Reddy@rockwellautomation.com</v>
      </c>
      <c r="E283" s="107" t="s">
        <v>232</v>
      </c>
      <c r="F283" s="107" t="s">
        <v>300</v>
      </c>
      <c r="G283" s="184"/>
      <c r="H283" s="151" t="s">
        <v>876</v>
      </c>
      <c r="I283" s="167">
        <f t="shared" si="11"/>
        <v>8.3333333333333329E-2</v>
      </c>
      <c r="J283" s="163" t="e">
        <v>#N/A</v>
      </c>
      <c r="K283" s="161">
        <v>45943</v>
      </c>
      <c r="L283" s="165" t="e">
        <f t="shared" ca="1" si="10"/>
        <v>#N/A</v>
      </c>
      <c r="M283" s="148" t="s">
        <v>877</v>
      </c>
      <c r="N283" s="75"/>
      <c r="O283" s="192" t="s">
        <v>237</v>
      </c>
      <c r="P283" s="193" t="s">
        <v>237</v>
      </c>
      <c r="Q283" s="193" t="s">
        <v>237</v>
      </c>
      <c r="R283" s="193" t="s">
        <v>237</v>
      </c>
      <c r="S283" s="193" t="s">
        <v>237</v>
      </c>
      <c r="T283" s="193" t="s">
        <v>237</v>
      </c>
      <c r="U283" s="193" t="s">
        <v>300</v>
      </c>
      <c r="V283" s="193" t="s">
        <v>237</v>
      </c>
    </row>
    <row r="284" spans="1:22" ht="14.5" customHeight="1" x14ac:dyDescent="0.35">
      <c r="A284" s="78">
        <v>283</v>
      </c>
      <c r="B284" s="173" t="s">
        <v>878</v>
      </c>
      <c r="C284" s="181">
        <v>90719678</v>
      </c>
      <c r="D284" s="171" t="str">
        <f>_xlfn.XLOOKUP(C284,Sheet2!B:B,Sheet2!A:A)</f>
        <v>Pravallika.Yerasu@rockwellautomation.com</v>
      </c>
      <c r="E284" s="107" t="s">
        <v>232</v>
      </c>
      <c r="F284" s="107" t="s">
        <v>233</v>
      </c>
      <c r="G284" s="184"/>
      <c r="H284" s="151" t="s">
        <v>370</v>
      </c>
      <c r="I284" s="167">
        <f t="shared" si="11"/>
        <v>4.333333333333333</v>
      </c>
      <c r="J284" s="163" t="s">
        <v>235</v>
      </c>
      <c r="K284" s="161">
        <v>44410</v>
      </c>
      <c r="L284" s="165">
        <f t="shared" ca="1" si="10"/>
        <v>4.83</v>
      </c>
      <c r="M284" s="148" t="s">
        <v>879</v>
      </c>
      <c r="N284" s="75"/>
      <c r="O284" s="192" t="s">
        <v>237</v>
      </c>
      <c r="P284" s="193" t="s">
        <v>237</v>
      </c>
      <c r="Q284" s="193" t="s">
        <v>237</v>
      </c>
      <c r="R284" s="193" t="s">
        <v>237</v>
      </c>
      <c r="S284" s="193" t="s">
        <v>237</v>
      </c>
      <c r="T284" s="193" t="s">
        <v>237</v>
      </c>
      <c r="U284" s="193" t="s">
        <v>237</v>
      </c>
      <c r="V284" s="193" t="s">
        <v>237</v>
      </c>
    </row>
    <row r="285" spans="1:22" ht="14.5" customHeight="1" x14ac:dyDescent="0.35">
      <c r="A285" s="78">
        <v>284</v>
      </c>
      <c r="B285" s="155" t="s">
        <v>880</v>
      </c>
      <c r="C285" s="149">
        <v>90731699</v>
      </c>
      <c r="D285" s="171" t="str">
        <f>_xlfn.XLOOKUP(C285,Sheet2!B:B,Sheet2!A:A)</f>
        <v>Yeswanth.M@rockwellautomation.com</v>
      </c>
      <c r="E285" s="107" t="s">
        <v>232</v>
      </c>
      <c r="F285" s="107" t="s">
        <v>239</v>
      </c>
      <c r="G285" s="184"/>
      <c r="H285" s="151" t="s">
        <v>242</v>
      </c>
      <c r="I285" s="167" t="str">
        <f t="shared" si="11"/>
        <v/>
      </c>
      <c r="J285" s="163" t="e">
        <v>#N/A</v>
      </c>
      <c r="K285" s="161" t="e">
        <v>#N/A</v>
      </c>
      <c r="L285" s="165" t="e">
        <f t="shared" ca="1" si="10"/>
        <v>#N/A</v>
      </c>
      <c r="M285" s="148" t="e">
        <v>#N/A</v>
      </c>
      <c r="N285" s="75"/>
      <c r="O285" s="192" t="s">
        <v>237</v>
      </c>
      <c r="P285" s="193" t="s">
        <v>237</v>
      </c>
      <c r="Q285" s="193" t="s">
        <v>237</v>
      </c>
      <c r="R285" s="193" t="s">
        <v>237</v>
      </c>
      <c r="S285" s="193" t="s">
        <v>227</v>
      </c>
      <c r="T285" s="193" t="s">
        <v>237</v>
      </c>
      <c r="U285" s="193" t="s">
        <v>237</v>
      </c>
      <c r="V285" s="193" t="s">
        <v>237</v>
      </c>
    </row>
    <row r="286" spans="1:22" ht="14.5" customHeight="1" x14ac:dyDescent="0.35">
      <c r="A286" s="78">
        <v>285</v>
      </c>
      <c r="B286" s="183" t="s">
        <v>881</v>
      </c>
      <c r="C286" s="184">
        <v>90720239</v>
      </c>
      <c r="D286" s="171" t="str">
        <f>_xlfn.XLOOKUP(C286,Sheet2!B:B,Sheet2!A:A)</f>
        <v>Yusuff.SheriffI@rockwellautomation.com</v>
      </c>
      <c r="E286" s="107" t="s">
        <v>232</v>
      </c>
      <c r="F286" s="107" t="s">
        <v>223</v>
      </c>
      <c r="G286" s="184" t="s">
        <v>245</v>
      </c>
      <c r="H286" s="151" t="s">
        <v>283</v>
      </c>
      <c r="I286" s="167">
        <f t="shared" si="11"/>
        <v>2.1666666666666665</v>
      </c>
      <c r="J286" s="163" t="s">
        <v>235</v>
      </c>
      <c r="K286" s="161">
        <v>45205</v>
      </c>
      <c r="L286" s="165">
        <f t="shared" ca="1" si="10"/>
        <v>2.67</v>
      </c>
      <c r="M286" s="148" t="s">
        <v>882</v>
      </c>
      <c r="N286" s="75"/>
      <c r="O286" s="192" t="s">
        <v>254</v>
      </c>
      <c r="P286" s="193" t="s">
        <v>237</v>
      </c>
      <c r="Q286" s="193" t="s">
        <v>255</v>
      </c>
      <c r="R286" s="193" t="s">
        <v>237</v>
      </c>
      <c r="S286" s="193" t="s">
        <v>237</v>
      </c>
      <c r="T286" s="193" t="s">
        <v>237</v>
      </c>
      <c r="U286" s="193" t="s">
        <v>237</v>
      </c>
      <c r="V286" s="193" t="s">
        <v>237</v>
      </c>
    </row>
    <row r="287" spans="1:22" ht="14.5" customHeight="1" x14ac:dyDescent="0.35">
      <c r="A287" s="78">
        <v>286</v>
      </c>
      <c r="B287" s="141"/>
      <c r="C287" s="107"/>
      <c r="D287" s="171"/>
      <c r="E287" s="107"/>
      <c r="F287" s="107"/>
      <c r="G287" s="184"/>
      <c r="I287" s="167" t="str">
        <f t="shared" si="11"/>
        <v/>
      </c>
      <c r="J287" s="163"/>
      <c r="K287" s="161"/>
      <c r="L287" s="165"/>
      <c r="M287" s="148"/>
      <c r="N287" s="75"/>
    </row>
    <row r="288" spans="1:22" ht="14.5" customHeight="1" x14ac:dyDescent="0.35">
      <c r="A288" s="78">
        <v>287</v>
      </c>
      <c r="B288" s="141"/>
      <c r="C288" s="107"/>
      <c r="D288" s="171"/>
      <c r="E288" s="107"/>
      <c r="F288" s="107"/>
      <c r="G288" s="184"/>
      <c r="I288" s="167"/>
      <c r="J288" s="163"/>
      <c r="K288" s="161"/>
      <c r="L288" s="165"/>
      <c r="M288" s="148"/>
      <c r="N288" s="75"/>
    </row>
    <row r="289" spans="1:14" ht="14.5" customHeight="1" x14ac:dyDescent="0.35">
      <c r="A289" s="78">
        <v>288</v>
      </c>
      <c r="B289" s="141"/>
      <c r="C289" s="107"/>
      <c r="D289" s="171"/>
      <c r="E289" s="107"/>
      <c r="F289" s="107"/>
      <c r="G289" s="184"/>
      <c r="I289" s="167"/>
      <c r="J289" s="163"/>
      <c r="K289" s="161"/>
      <c r="L289" s="165"/>
      <c r="M289" s="148"/>
      <c r="N289" s="75"/>
    </row>
    <row r="290" spans="1:14" ht="14.5" customHeight="1" x14ac:dyDescent="0.35">
      <c r="A290" s="78">
        <v>289</v>
      </c>
      <c r="B290" s="141"/>
      <c r="C290" s="107"/>
      <c r="D290" s="171"/>
      <c r="E290" s="107"/>
      <c r="F290" s="107"/>
      <c r="G290" s="184"/>
      <c r="I290" s="167"/>
      <c r="J290" s="163"/>
      <c r="K290" s="161"/>
      <c r="L290" s="165"/>
      <c r="M290" s="148"/>
      <c r="N290" s="75"/>
    </row>
    <row r="291" spans="1:14" ht="14.5" customHeight="1" x14ac:dyDescent="0.35">
      <c r="A291" s="78">
        <v>290</v>
      </c>
      <c r="B291" s="141"/>
      <c r="C291" s="107"/>
      <c r="D291" s="171"/>
      <c r="E291" s="107"/>
      <c r="F291" s="107"/>
      <c r="G291" s="184"/>
      <c r="I291" s="167"/>
      <c r="J291" s="163"/>
      <c r="K291" s="161"/>
      <c r="L291" s="165"/>
      <c r="M291" s="148"/>
      <c r="N291" s="75"/>
    </row>
    <row r="292" spans="1:14" ht="14.5" customHeight="1" x14ac:dyDescent="0.35">
      <c r="A292" s="78">
        <v>291</v>
      </c>
      <c r="B292" s="141"/>
      <c r="C292" s="107"/>
      <c r="D292" s="171"/>
      <c r="E292" s="107"/>
      <c r="F292" s="107"/>
      <c r="G292" s="184"/>
      <c r="I292" s="167"/>
      <c r="J292" s="163"/>
      <c r="K292" s="161"/>
      <c r="L292" s="165"/>
      <c r="M292" s="148"/>
      <c r="N292" s="75"/>
    </row>
    <row r="293" spans="1:14" ht="14.5" customHeight="1" x14ac:dyDescent="0.35">
      <c r="A293" s="78">
        <v>292</v>
      </c>
      <c r="B293" s="141"/>
      <c r="C293" s="107"/>
      <c r="D293" s="171"/>
      <c r="E293" s="107"/>
      <c r="F293" s="107"/>
      <c r="G293" s="184"/>
      <c r="I293" s="167"/>
      <c r="J293" s="163"/>
      <c r="K293" s="161"/>
      <c r="L293" s="165"/>
      <c r="M293" s="148"/>
      <c r="N293" s="75"/>
    </row>
    <row r="294" spans="1:14" ht="14.5" customHeight="1" x14ac:dyDescent="0.35">
      <c r="A294" s="78">
        <v>293</v>
      </c>
      <c r="B294" s="141"/>
      <c r="C294" s="107"/>
      <c r="D294" s="171"/>
      <c r="E294" s="107"/>
      <c r="F294" s="107"/>
      <c r="G294" s="184"/>
      <c r="I294" s="167"/>
      <c r="J294" s="163"/>
      <c r="K294" s="161"/>
      <c r="L294" s="165"/>
      <c r="M294" s="148"/>
      <c r="N294" s="75"/>
    </row>
    <row r="295" spans="1:14" ht="14.5" customHeight="1" x14ac:dyDescent="0.35">
      <c r="A295" s="78">
        <v>294</v>
      </c>
      <c r="B295" s="141"/>
      <c r="C295" s="107"/>
      <c r="D295" s="171"/>
      <c r="E295" s="107"/>
      <c r="F295" s="107"/>
      <c r="G295" s="184"/>
      <c r="I295" s="167"/>
      <c r="J295" s="163"/>
      <c r="K295" s="161"/>
      <c r="L295" s="165"/>
      <c r="M295" s="148"/>
      <c r="N295" s="75"/>
    </row>
    <row r="296" spans="1:14" ht="14.5" customHeight="1" x14ac:dyDescent="0.35">
      <c r="A296" s="78">
        <v>295</v>
      </c>
      <c r="B296" s="141"/>
      <c r="C296" s="107"/>
      <c r="D296" s="171"/>
      <c r="E296" s="107"/>
      <c r="F296" s="107"/>
      <c r="G296" s="184"/>
      <c r="I296" s="167"/>
      <c r="J296" s="163"/>
      <c r="K296" s="161"/>
      <c r="L296" s="165"/>
      <c r="M296" s="148"/>
      <c r="N296" s="75"/>
    </row>
    <row r="297" spans="1:14" ht="14.5" customHeight="1" x14ac:dyDescent="0.35">
      <c r="A297" s="78">
        <v>296</v>
      </c>
      <c r="B297" s="141"/>
      <c r="C297" s="107"/>
      <c r="D297" s="171"/>
      <c r="E297" s="107"/>
      <c r="F297" s="107"/>
      <c r="G297" s="184"/>
      <c r="I297" s="167"/>
      <c r="J297" s="163"/>
      <c r="K297" s="161"/>
      <c r="L297" s="165"/>
      <c r="M297" s="148"/>
      <c r="N297" s="75"/>
    </row>
    <row r="298" spans="1:14" ht="14.5" customHeight="1" x14ac:dyDescent="0.35">
      <c r="A298" s="78">
        <v>297</v>
      </c>
      <c r="B298" s="141"/>
      <c r="C298" s="107"/>
      <c r="D298" s="171"/>
      <c r="E298" s="107"/>
      <c r="F298" s="107"/>
      <c r="G298" s="184"/>
      <c r="I298" s="167"/>
      <c r="J298" s="163"/>
      <c r="K298" s="161"/>
      <c r="L298" s="165"/>
      <c r="M298" s="148"/>
      <c r="N298" s="75"/>
    </row>
    <row r="299" spans="1:14" ht="14.5" customHeight="1" x14ac:dyDescent="0.35">
      <c r="A299" s="78">
        <v>298</v>
      </c>
      <c r="B299" s="141"/>
      <c r="C299" s="107"/>
      <c r="D299" s="171"/>
      <c r="E299" s="107"/>
      <c r="F299" s="107"/>
      <c r="G299" s="184"/>
      <c r="I299" s="167"/>
      <c r="J299" s="163"/>
      <c r="K299" s="161"/>
      <c r="L299" s="165"/>
      <c r="M299" s="148"/>
      <c r="N299" s="75"/>
    </row>
    <row r="300" spans="1:14" ht="14.5" customHeight="1" x14ac:dyDescent="0.35">
      <c r="A300" s="78">
        <v>299</v>
      </c>
      <c r="B300" s="141"/>
      <c r="C300" s="107"/>
      <c r="D300" s="171"/>
      <c r="E300" s="107"/>
      <c r="F300" s="107"/>
      <c r="G300" s="184"/>
      <c r="I300" s="167"/>
      <c r="J300" s="163"/>
      <c r="K300" s="161"/>
      <c r="L300" s="165"/>
      <c r="M300" s="148"/>
      <c r="N300" s="75"/>
    </row>
    <row r="301" spans="1:14" ht="14.5" customHeight="1" x14ac:dyDescent="0.35">
      <c r="A301" s="78">
        <v>300</v>
      </c>
      <c r="B301" s="141"/>
      <c r="C301" s="107"/>
      <c r="D301" s="171"/>
      <c r="E301" s="107"/>
      <c r="F301" s="107"/>
      <c r="G301" s="184"/>
      <c r="H301" s="152"/>
      <c r="I301" s="167"/>
      <c r="J301" s="163"/>
      <c r="K301" s="161"/>
      <c r="L301" s="165"/>
      <c r="M301" s="148"/>
      <c r="N301" s="75"/>
    </row>
    <row r="302" spans="1:14" ht="14.5" customHeight="1" x14ac:dyDescent="0.35">
      <c r="A302" s="78">
        <v>301</v>
      </c>
      <c r="B302" s="141"/>
      <c r="C302" s="107"/>
      <c r="D302" s="171"/>
      <c r="E302" s="107"/>
      <c r="F302" s="107"/>
      <c r="G302" s="184"/>
      <c r="I302" s="167"/>
      <c r="J302" s="163"/>
      <c r="K302" s="161"/>
      <c r="L302" s="165"/>
      <c r="M302" s="148"/>
      <c r="N302" s="75"/>
    </row>
    <row r="303" spans="1:14" ht="14.5" customHeight="1" x14ac:dyDescent="0.35">
      <c r="A303" s="78">
        <v>302</v>
      </c>
      <c r="B303" s="141"/>
      <c r="C303" s="107"/>
      <c r="D303" s="171"/>
      <c r="E303" s="107"/>
      <c r="F303" s="107"/>
      <c r="G303" s="184"/>
      <c r="I303" s="167"/>
      <c r="J303" s="163"/>
      <c r="K303" s="161"/>
      <c r="L303" s="165"/>
      <c r="M303" s="148"/>
      <c r="N303" s="75"/>
    </row>
    <row r="304" spans="1:14" ht="14.5" customHeight="1" x14ac:dyDescent="0.35">
      <c r="A304" s="78">
        <v>303</v>
      </c>
      <c r="B304" s="141"/>
      <c r="C304" s="107"/>
      <c r="D304" s="171"/>
      <c r="E304" s="107"/>
      <c r="F304" s="107"/>
      <c r="G304" s="184"/>
      <c r="I304" s="167"/>
      <c r="J304" s="163"/>
      <c r="K304" s="161"/>
      <c r="L304" s="165"/>
      <c r="M304" s="148"/>
      <c r="N304" s="75"/>
    </row>
    <row r="305" spans="1:14" ht="14.5" customHeight="1" x14ac:dyDescent="0.35">
      <c r="A305" s="78">
        <v>304</v>
      </c>
      <c r="B305" s="141"/>
      <c r="C305" s="107"/>
      <c r="D305" s="171"/>
      <c r="E305" s="107"/>
      <c r="F305" s="107"/>
      <c r="G305" s="184"/>
      <c r="I305" s="167"/>
      <c r="J305" s="163"/>
      <c r="K305" s="161"/>
      <c r="L305" s="165"/>
      <c r="M305" s="148"/>
      <c r="N305" s="75"/>
    </row>
    <row r="306" spans="1:14" ht="14.5" customHeight="1" x14ac:dyDescent="0.35">
      <c r="A306" s="78">
        <v>305</v>
      </c>
      <c r="B306" s="141"/>
      <c r="C306" s="107"/>
      <c r="D306" s="171"/>
      <c r="E306" s="107"/>
      <c r="F306" s="107"/>
      <c r="G306" s="184"/>
      <c r="I306" s="167"/>
      <c r="J306" s="163"/>
      <c r="K306" s="161"/>
      <c r="L306" s="165"/>
      <c r="M306" s="148"/>
      <c r="N306" s="75"/>
    </row>
    <row r="307" spans="1:14" ht="14.5" customHeight="1" x14ac:dyDescent="0.35">
      <c r="A307" s="78">
        <v>306</v>
      </c>
      <c r="B307" s="141"/>
      <c r="C307" s="107"/>
      <c r="D307" s="171"/>
      <c r="E307" s="107"/>
      <c r="F307" s="107"/>
      <c r="G307" s="184"/>
      <c r="I307" s="167"/>
      <c r="J307" s="163"/>
      <c r="K307" s="161"/>
      <c r="L307" s="165"/>
      <c r="M307" s="148"/>
      <c r="N307" s="75"/>
    </row>
    <row r="308" spans="1:14" ht="14.5" customHeight="1" x14ac:dyDescent="0.35">
      <c r="A308" s="78">
        <v>307</v>
      </c>
      <c r="B308" s="141"/>
      <c r="C308" s="107"/>
      <c r="D308" s="171"/>
      <c r="E308" s="107"/>
      <c r="F308" s="107"/>
      <c r="G308" s="184"/>
      <c r="I308" s="167"/>
      <c r="J308" s="163"/>
      <c r="K308" s="161"/>
      <c r="L308" s="165"/>
      <c r="M308" s="148"/>
      <c r="N308" s="75"/>
    </row>
    <row r="309" spans="1:14" ht="14.5" customHeight="1" x14ac:dyDescent="0.35">
      <c r="A309" s="78">
        <v>308</v>
      </c>
      <c r="B309" s="141"/>
      <c r="C309" s="107"/>
      <c r="D309" s="171"/>
      <c r="E309" s="107"/>
      <c r="F309" s="107"/>
      <c r="G309" s="184"/>
      <c r="I309" s="167"/>
      <c r="J309" s="163"/>
      <c r="K309" s="161"/>
      <c r="L309" s="165"/>
      <c r="M309" s="148"/>
      <c r="N309" s="75"/>
    </row>
    <row r="310" spans="1:14" ht="14.5" customHeight="1" x14ac:dyDescent="0.35">
      <c r="A310" s="78">
        <v>309</v>
      </c>
      <c r="B310" s="141"/>
      <c r="C310" s="107"/>
      <c r="D310" s="171"/>
      <c r="E310" s="107"/>
      <c r="F310" s="107"/>
      <c r="G310" s="184"/>
      <c r="I310" s="167"/>
      <c r="J310" s="163"/>
      <c r="K310" s="161"/>
      <c r="L310" s="165"/>
      <c r="M310" s="148"/>
      <c r="N310" s="75"/>
    </row>
    <row r="311" spans="1:14" ht="14.5" customHeight="1" x14ac:dyDescent="0.35">
      <c r="A311" s="78"/>
      <c r="B311" s="141"/>
      <c r="C311" s="107"/>
      <c r="D311" s="171"/>
      <c r="E311" s="107"/>
      <c r="F311" s="107"/>
      <c r="G311" s="184"/>
      <c r="I311" s="167"/>
      <c r="J311" s="163"/>
      <c r="K311" s="161"/>
      <c r="L311" s="165"/>
      <c r="M311" s="105"/>
      <c r="N311" s="208"/>
    </row>
    <row r="312" spans="1:14" ht="14.5" customHeight="1" x14ac:dyDescent="0.35">
      <c r="A312" s="78"/>
      <c r="B312" s="141"/>
      <c r="C312" s="107"/>
      <c r="D312" s="171"/>
      <c r="E312" s="107"/>
      <c r="F312" s="107"/>
      <c r="G312" s="184"/>
      <c r="I312" s="167"/>
      <c r="J312" s="163"/>
      <c r="K312" s="161"/>
      <c r="L312" s="165"/>
      <c r="M312" s="105"/>
      <c r="N312" s="208"/>
    </row>
    <row r="313" spans="1:14" ht="14.5" customHeight="1" x14ac:dyDescent="0.35">
      <c r="A313" s="78"/>
      <c r="B313" s="141"/>
      <c r="C313" s="107"/>
      <c r="D313" s="171"/>
      <c r="E313" s="107"/>
      <c r="F313" s="107"/>
      <c r="G313" s="184"/>
      <c r="I313" s="167"/>
      <c r="J313" s="163"/>
      <c r="K313" s="161"/>
      <c r="L313" s="165"/>
      <c r="M313" s="105"/>
      <c r="N313" s="208"/>
    </row>
    <row r="314" spans="1:14" ht="14.5" customHeight="1" x14ac:dyDescent="0.35">
      <c r="A314" s="78"/>
      <c r="B314" s="141"/>
      <c r="C314" s="107"/>
      <c r="D314" s="171"/>
      <c r="E314" s="107"/>
      <c r="F314" s="107"/>
      <c r="G314" s="184"/>
      <c r="I314" s="167"/>
      <c r="J314" s="163"/>
      <c r="K314" s="161"/>
      <c r="L314" s="165"/>
      <c r="M314" s="105"/>
      <c r="N314" s="208"/>
    </row>
    <row r="315" spans="1:14" ht="14.5" customHeight="1" x14ac:dyDescent="0.35">
      <c r="A315" s="78"/>
      <c r="B315" s="141"/>
      <c r="C315" s="107"/>
      <c r="D315" s="171"/>
      <c r="E315" s="107"/>
      <c r="F315" s="107"/>
      <c r="G315" s="184"/>
      <c r="I315" s="167"/>
      <c r="J315" s="163"/>
      <c r="K315" s="161"/>
      <c r="L315" s="165"/>
      <c r="M315" s="105"/>
      <c r="N315" s="208"/>
    </row>
    <row r="316" spans="1:14" ht="14.5" customHeight="1" x14ac:dyDescent="0.35">
      <c r="A316" s="78"/>
      <c r="B316" s="141"/>
      <c r="C316" s="107"/>
      <c r="D316" s="171"/>
      <c r="E316" s="107"/>
      <c r="F316" s="107"/>
      <c r="G316" s="184"/>
      <c r="I316" s="167"/>
      <c r="J316" s="163"/>
      <c r="K316" s="161"/>
      <c r="L316" s="165"/>
      <c r="M316" s="105"/>
      <c r="N316" s="208"/>
    </row>
    <row r="317" spans="1:14" ht="14.5" customHeight="1" x14ac:dyDescent="0.35">
      <c r="A317" s="78"/>
      <c r="B317" s="141"/>
      <c r="C317" s="107"/>
      <c r="D317" s="171"/>
      <c r="E317" s="107"/>
      <c r="F317" s="107"/>
      <c r="G317" s="184"/>
      <c r="I317" s="167"/>
      <c r="J317" s="163"/>
      <c r="K317" s="161"/>
      <c r="L317" s="165"/>
      <c r="M317" s="105"/>
      <c r="N317" s="208"/>
    </row>
    <row r="318" spans="1:14" ht="14.5" customHeight="1" x14ac:dyDescent="0.35">
      <c r="A318" s="78"/>
      <c r="B318" s="141"/>
      <c r="C318" s="107"/>
      <c r="D318" s="171"/>
      <c r="E318" s="107"/>
      <c r="F318" s="107"/>
      <c r="G318" s="184"/>
      <c r="I318" s="167"/>
      <c r="J318" s="163"/>
      <c r="K318" s="161"/>
      <c r="L318" s="165"/>
      <c r="M318" s="105"/>
      <c r="N318" s="208"/>
    </row>
    <row r="319" spans="1:14" ht="14.5" customHeight="1" x14ac:dyDescent="0.35">
      <c r="A319" s="78"/>
      <c r="B319" s="141"/>
      <c r="C319" s="107"/>
      <c r="D319" s="171"/>
      <c r="E319" s="107"/>
      <c r="F319" s="107"/>
      <c r="G319" s="184"/>
      <c r="I319" s="167"/>
      <c r="J319" s="163"/>
      <c r="K319" s="161"/>
      <c r="L319" s="165"/>
      <c r="M319" s="105"/>
      <c r="N319" s="208"/>
    </row>
    <row r="320" spans="1:14" ht="14.5" customHeight="1" x14ac:dyDescent="0.35">
      <c r="A320" s="78"/>
      <c r="B320" s="141"/>
      <c r="C320" s="107"/>
      <c r="D320" s="171"/>
      <c r="E320" s="107"/>
      <c r="F320" s="107"/>
      <c r="G320" s="184"/>
      <c r="I320" s="167"/>
      <c r="J320" s="163"/>
      <c r="K320" s="161"/>
      <c r="L320" s="165"/>
      <c r="M320" s="105"/>
      <c r="N320" s="208"/>
    </row>
    <row r="321" spans="1:14" ht="14.5" customHeight="1" x14ac:dyDescent="0.35">
      <c r="A321" s="78"/>
      <c r="B321" s="141"/>
      <c r="C321" s="107"/>
      <c r="D321" s="171"/>
      <c r="E321" s="107"/>
      <c r="F321" s="107"/>
      <c r="G321" s="184"/>
      <c r="I321" s="167"/>
      <c r="J321" s="163"/>
      <c r="K321" s="161"/>
      <c r="L321" s="165"/>
      <c r="M321" s="105"/>
      <c r="N321" s="208"/>
    </row>
    <row r="322" spans="1:14" ht="14.5" customHeight="1" x14ac:dyDescent="0.35">
      <c r="A322" s="78"/>
      <c r="B322" s="141"/>
      <c r="C322" s="107"/>
      <c r="D322" s="171"/>
      <c r="E322" s="107"/>
      <c r="F322" s="107"/>
      <c r="G322" s="184"/>
      <c r="I322" s="167"/>
      <c r="J322" s="163"/>
      <c r="K322" s="161"/>
      <c r="L322" s="165"/>
      <c r="M322" s="105"/>
      <c r="N322" s="208"/>
    </row>
    <row r="323" spans="1:14" ht="14.5" customHeight="1" x14ac:dyDescent="0.35">
      <c r="A323" s="78"/>
      <c r="B323" s="141"/>
      <c r="C323" s="107"/>
      <c r="D323" s="171"/>
      <c r="E323" s="107"/>
      <c r="F323" s="107"/>
      <c r="G323" s="184"/>
      <c r="I323" s="167"/>
      <c r="J323" s="163"/>
      <c r="K323" s="161"/>
      <c r="L323" s="165"/>
      <c r="M323" s="105"/>
      <c r="N323" s="208"/>
    </row>
    <row r="324" spans="1:14" ht="14.5" customHeight="1" x14ac:dyDescent="0.35">
      <c r="A324" s="78"/>
      <c r="B324" s="141"/>
      <c r="C324" s="107"/>
      <c r="D324" s="171"/>
      <c r="E324" s="107"/>
      <c r="F324" s="107"/>
      <c r="G324" s="184"/>
      <c r="I324" s="167"/>
      <c r="J324" s="163"/>
      <c r="K324" s="161"/>
      <c r="L324" s="165"/>
      <c r="M324" s="105"/>
      <c r="N324" s="208"/>
    </row>
    <row r="325" spans="1:14" ht="14.5" customHeight="1" x14ac:dyDescent="0.35">
      <c r="A325" s="78"/>
      <c r="B325" s="141"/>
      <c r="C325" s="107"/>
      <c r="D325" s="171"/>
      <c r="E325" s="107"/>
      <c r="F325" s="107"/>
      <c r="G325" s="184"/>
      <c r="I325" s="167"/>
      <c r="J325" s="163"/>
      <c r="K325" s="161"/>
      <c r="L325" s="165"/>
      <c r="M325" s="105"/>
      <c r="N325" s="208"/>
    </row>
    <row r="326" spans="1:14" ht="14.5" customHeight="1" x14ac:dyDescent="0.35">
      <c r="A326" s="78"/>
      <c r="B326" s="141"/>
      <c r="C326" s="107"/>
      <c r="D326" s="171"/>
      <c r="E326" s="107"/>
      <c r="F326" s="107"/>
      <c r="G326" s="184"/>
      <c r="I326" s="167"/>
      <c r="J326" s="163"/>
      <c r="K326" s="161"/>
      <c r="L326" s="165"/>
      <c r="M326" s="105"/>
      <c r="N326" s="208"/>
    </row>
    <row r="327" spans="1:14" ht="14.5" customHeight="1" x14ac:dyDescent="0.35">
      <c r="A327" s="78"/>
      <c r="B327" s="141"/>
      <c r="C327" s="107"/>
      <c r="D327" s="171"/>
      <c r="E327" s="107"/>
      <c r="F327" s="107"/>
      <c r="G327" s="184"/>
      <c r="I327" s="167"/>
      <c r="J327" s="163"/>
      <c r="K327" s="161"/>
      <c r="L327" s="165"/>
      <c r="M327" s="105"/>
      <c r="N327" s="208"/>
    </row>
    <row r="328" spans="1:14" ht="14.5" customHeight="1" x14ac:dyDescent="0.35">
      <c r="A328" s="78"/>
      <c r="B328" s="141"/>
      <c r="C328" s="107"/>
      <c r="D328" s="171"/>
      <c r="E328" s="107"/>
      <c r="F328" s="107"/>
      <c r="G328" s="184"/>
      <c r="I328" s="167"/>
      <c r="J328" s="163"/>
      <c r="K328" s="161"/>
      <c r="L328" s="165"/>
      <c r="M328" s="105"/>
      <c r="N328" s="208"/>
    </row>
    <row r="329" spans="1:14" ht="14.5" customHeight="1" x14ac:dyDescent="0.35">
      <c r="A329" s="78"/>
      <c r="B329" s="141"/>
      <c r="C329" s="107"/>
      <c r="D329" s="171"/>
      <c r="E329" s="107"/>
      <c r="F329" s="107"/>
      <c r="G329" s="184"/>
      <c r="I329" s="167"/>
      <c r="J329" s="163"/>
      <c r="K329" s="161"/>
      <c r="L329" s="165"/>
      <c r="M329" s="105"/>
      <c r="N329" s="208"/>
    </row>
    <row r="330" spans="1:14" ht="14.5" customHeight="1" x14ac:dyDescent="0.35">
      <c r="A330" s="78"/>
      <c r="B330" s="141"/>
      <c r="C330" s="107"/>
      <c r="D330" s="171"/>
      <c r="E330" s="107"/>
      <c r="F330" s="107"/>
      <c r="G330" s="184"/>
      <c r="I330" s="167"/>
      <c r="J330" s="163"/>
      <c r="K330" s="161"/>
      <c r="L330" s="165"/>
      <c r="M330" s="105"/>
      <c r="N330" s="208"/>
    </row>
    <row r="331" spans="1:14" ht="14.5" customHeight="1" x14ac:dyDescent="0.35">
      <c r="A331" s="78"/>
      <c r="B331" s="141"/>
      <c r="C331" s="107"/>
      <c r="D331" s="171"/>
      <c r="E331" s="107"/>
      <c r="F331" s="107"/>
      <c r="G331" s="184"/>
      <c r="I331" s="167"/>
      <c r="J331" s="163"/>
      <c r="K331" s="161"/>
      <c r="L331" s="165"/>
      <c r="M331" s="105"/>
      <c r="N331" s="208"/>
    </row>
    <row r="332" spans="1:14" ht="14.5" customHeight="1" x14ac:dyDescent="0.35">
      <c r="A332" s="78"/>
      <c r="B332" s="141"/>
      <c r="C332" s="107"/>
      <c r="D332" s="171"/>
      <c r="E332" s="107"/>
      <c r="F332" s="107"/>
      <c r="G332" s="184"/>
      <c r="I332" s="167"/>
      <c r="J332" s="163"/>
      <c r="K332" s="161"/>
      <c r="L332" s="165"/>
      <c r="M332" s="105"/>
      <c r="N332" s="208"/>
    </row>
    <row r="333" spans="1:14" ht="14.5" customHeight="1" x14ac:dyDescent="0.35">
      <c r="A333" s="78"/>
      <c r="B333" s="141"/>
      <c r="C333" s="107"/>
      <c r="D333" s="171"/>
      <c r="E333" s="107"/>
      <c r="F333" s="107"/>
      <c r="G333" s="184"/>
      <c r="I333" s="167"/>
      <c r="J333" s="163"/>
      <c r="K333" s="161"/>
      <c r="L333" s="165"/>
      <c r="M333" s="105"/>
      <c r="N333" s="208"/>
    </row>
    <row r="334" spans="1:14" ht="14.5" customHeight="1" x14ac:dyDescent="0.35">
      <c r="A334" s="78"/>
      <c r="B334" s="141"/>
      <c r="C334" s="107"/>
      <c r="D334" s="171"/>
      <c r="E334" s="107"/>
      <c r="F334" s="107"/>
      <c r="G334" s="184"/>
      <c r="I334" s="167"/>
      <c r="J334" s="163"/>
      <c r="K334" s="161"/>
      <c r="L334" s="165"/>
      <c r="M334" s="105"/>
      <c r="N334" s="208"/>
    </row>
    <row r="335" spans="1:14" ht="14.5" customHeight="1" x14ac:dyDescent="0.35">
      <c r="A335" s="78"/>
      <c r="B335" s="141"/>
      <c r="C335" s="107"/>
      <c r="D335" s="171"/>
      <c r="E335" s="107"/>
      <c r="F335" s="107"/>
      <c r="G335" s="184"/>
      <c r="I335" s="167"/>
      <c r="J335" s="163"/>
      <c r="K335" s="161"/>
      <c r="L335" s="165"/>
      <c r="M335" s="105"/>
      <c r="N335" s="208"/>
    </row>
    <row r="336" spans="1:14" ht="14.5" customHeight="1" x14ac:dyDescent="0.35">
      <c r="A336" s="78"/>
      <c r="B336" s="141"/>
      <c r="C336" s="107"/>
      <c r="D336" s="171"/>
      <c r="E336" s="107"/>
      <c r="F336" s="107"/>
      <c r="G336" s="184"/>
      <c r="I336" s="167"/>
      <c r="J336" s="163"/>
      <c r="K336" s="161"/>
      <c r="L336" s="165"/>
      <c r="M336" s="105"/>
      <c r="N336" s="208"/>
    </row>
    <row r="337" spans="1:14" ht="14.5" customHeight="1" x14ac:dyDescent="0.35">
      <c r="A337" s="78"/>
      <c r="B337" s="141"/>
      <c r="C337" s="107"/>
      <c r="D337" s="171"/>
      <c r="E337" s="107"/>
      <c r="F337" s="107"/>
      <c r="G337" s="184"/>
      <c r="I337" s="167"/>
      <c r="J337" s="163"/>
      <c r="K337" s="161"/>
      <c r="L337" s="165"/>
      <c r="M337" s="105"/>
      <c r="N337" s="208"/>
    </row>
    <row r="338" spans="1:14" ht="14.5" customHeight="1" x14ac:dyDescent="0.35">
      <c r="A338" s="78"/>
      <c r="B338" s="141"/>
      <c r="C338" s="107"/>
      <c r="D338" s="171"/>
      <c r="E338" s="107"/>
      <c r="F338" s="107"/>
      <c r="G338" s="184"/>
      <c r="I338" s="167"/>
      <c r="J338" s="163"/>
      <c r="K338" s="161"/>
      <c r="L338" s="165"/>
      <c r="M338" s="105"/>
      <c r="N338" s="208"/>
    </row>
    <row r="339" spans="1:14" ht="14.5" customHeight="1" x14ac:dyDescent="0.35">
      <c r="A339" s="78"/>
      <c r="B339" s="141"/>
      <c r="C339" s="107"/>
      <c r="D339" s="171"/>
      <c r="E339" s="107"/>
      <c r="F339" s="107"/>
      <c r="G339" s="184"/>
      <c r="I339" s="167"/>
      <c r="J339" s="163"/>
      <c r="K339" s="161"/>
      <c r="L339" s="165"/>
      <c r="M339" s="105"/>
      <c r="N339" s="208"/>
    </row>
    <row r="340" spans="1:14" ht="14.5" customHeight="1" x14ac:dyDescent="0.35">
      <c r="A340" s="78"/>
      <c r="B340" s="141"/>
      <c r="C340" s="107"/>
      <c r="D340" s="171"/>
      <c r="E340" s="107"/>
      <c r="F340" s="107"/>
      <c r="G340" s="184"/>
      <c r="I340" s="167"/>
      <c r="J340" s="163"/>
      <c r="K340" s="161"/>
      <c r="L340" s="165"/>
      <c r="M340" s="105"/>
      <c r="N340" s="208"/>
    </row>
    <row r="341" spans="1:14" ht="14.5" customHeight="1" x14ac:dyDescent="0.35">
      <c r="A341" s="78"/>
      <c r="B341" s="141"/>
      <c r="C341" s="107"/>
      <c r="D341" s="171"/>
      <c r="E341" s="107"/>
      <c r="F341" s="107"/>
      <c r="G341" s="184"/>
      <c r="I341" s="167"/>
      <c r="J341" s="163"/>
      <c r="K341" s="161"/>
      <c r="L341" s="165"/>
      <c r="M341" s="105"/>
      <c r="N341" s="208"/>
    </row>
    <row r="342" spans="1:14" ht="14.5" customHeight="1" x14ac:dyDescent="0.35">
      <c r="A342" s="78"/>
      <c r="B342" s="141"/>
      <c r="C342" s="107"/>
      <c r="D342" s="171"/>
      <c r="E342" s="107"/>
      <c r="F342" s="107"/>
      <c r="G342" s="184"/>
      <c r="I342" s="167"/>
      <c r="J342" s="163"/>
      <c r="K342" s="161"/>
      <c r="L342" s="165"/>
      <c r="M342" s="105"/>
      <c r="N342" s="208"/>
    </row>
    <row r="343" spans="1:14" ht="14.5" customHeight="1" x14ac:dyDescent="0.35">
      <c r="A343" s="78"/>
      <c r="B343" s="141"/>
      <c r="C343" s="107"/>
      <c r="D343" s="171"/>
      <c r="E343" s="107"/>
      <c r="F343" s="107"/>
      <c r="G343" s="184"/>
      <c r="I343" s="167"/>
      <c r="J343" s="163"/>
      <c r="K343" s="161"/>
      <c r="L343" s="165"/>
      <c r="M343" s="105"/>
      <c r="N343" s="208"/>
    </row>
    <row r="344" spans="1:14" ht="14.5" customHeight="1" x14ac:dyDescent="0.35">
      <c r="A344" s="78"/>
      <c r="B344" s="141"/>
      <c r="C344" s="107"/>
      <c r="D344" s="171"/>
      <c r="E344" s="107"/>
      <c r="F344" s="107"/>
      <c r="G344" s="184"/>
      <c r="I344" s="167"/>
      <c r="J344" s="163"/>
      <c r="K344" s="161"/>
      <c r="L344" s="165"/>
      <c r="M344" s="105"/>
      <c r="N344" s="208"/>
    </row>
    <row r="345" spans="1:14" ht="14.5" customHeight="1" x14ac:dyDescent="0.35">
      <c r="A345" s="78"/>
      <c r="B345" s="141"/>
      <c r="C345" s="107"/>
      <c r="D345" s="171"/>
      <c r="E345" s="107"/>
      <c r="F345" s="107"/>
      <c r="G345" s="184"/>
      <c r="I345" s="167"/>
      <c r="J345" s="163"/>
      <c r="K345" s="161"/>
      <c r="L345" s="165"/>
      <c r="M345" s="105"/>
      <c r="N345" s="208"/>
    </row>
    <row r="346" spans="1:14" ht="14.5" customHeight="1" x14ac:dyDescent="0.35">
      <c r="A346" s="78"/>
      <c r="B346" s="141"/>
      <c r="C346" s="107"/>
      <c r="D346" s="171"/>
      <c r="E346" s="107"/>
      <c r="F346" s="107"/>
      <c r="G346" s="184"/>
      <c r="I346" s="167"/>
      <c r="J346" s="163"/>
      <c r="K346" s="161"/>
      <c r="L346" s="165"/>
      <c r="M346" s="105"/>
      <c r="N346" s="208"/>
    </row>
    <row r="347" spans="1:14" ht="14.5" customHeight="1" x14ac:dyDescent="0.35">
      <c r="A347" s="78"/>
      <c r="B347" s="141"/>
      <c r="C347" s="107"/>
      <c r="D347" s="171"/>
      <c r="E347" s="107"/>
      <c r="F347" s="107"/>
      <c r="G347" s="184"/>
      <c r="I347" s="167"/>
      <c r="J347" s="163"/>
      <c r="K347" s="161"/>
      <c r="L347" s="165"/>
      <c r="M347" s="105"/>
      <c r="N347" s="208"/>
    </row>
    <row r="348" spans="1:14" ht="14.5" customHeight="1" x14ac:dyDescent="0.35">
      <c r="A348" s="78"/>
      <c r="B348" s="141"/>
      <c r="C348" s="107"/>
      <c r="D348" s="171"/>
      <c r="E348" s="107"/>
      <c r="F348" s="107"/>
      <c r="G348" s="184"/>
      <c r="I348" s="167"/>
      <c r="J348" s="163"/>
      <c r="K348" s="161"/>
      <c r="L348" s="165"/>
      <c r="M348" s="105"/>
      <c r="N348" s="208"/>
    </row>
    <row r="349" spans="1:14" ht="14.5" customHeight="1" x14ac:dyDescent="0.35">
      <c r="A349" s="78"/>
      <c r="B349" s="141"/>
      <c r="C349" s="107"/>
      <c r="D349" s="171"/>
      <c r="E349" s="107"/>
      <c r="F349" s="107"/>
      <c r="G349" s="184"/>
      <c r="I349" s="167"/>
      <c r="J349" s="163"/>
      <c r="K349" s="161"/>
      <c r="L349" s="165"/>
      <c r="M349" s="105"/>
      <c r="N349" s="208"/>
    </row>
    <row r="350" spans="1:14" ht="14.5" customHeight="1" x14ac:dyDescent="0.35">
      <c r="A350" s="78"/>
      <c r="B350" s="141"/>
      <c r="C350" s="107"/>
      <c r="D350" s="171"/>
      <c r="E350" s="107"/>
      <c r="F350" s="107"/>
      <c r="G350" s="184"/>
      <c r="I350" s="167"/>
      <c r="J350" s="163"/>
      <c r="K350" s="161"/>
      <c r="L350" s="165"/>
      <c r="M350" s="105"/>
      <c r="N350" s="208"/>
    </row>
    <row r="351" spans="1:14" ht="14.5" customHeight="1" x14ac:dyDescent="0.35">
      <c r="A351" s="78"/>
      <c r="B351" s="141"/>
      <c r="C351" s="107"/>
      <c r="D351" s="171"/>
      <c r="E351" s="107"/>
      <c r="F351" s="107"/>
      <c r="G351" s="184"/>
      <c r="I351" s="167"/>
      <c r="J351" s="163"/>
      <c r="K351" s="161"/>
      <c r="L351" s="165"/>
      <c r="M351" s="105"/>
      <c r="N351" s="208"/>
    </row>
    <row r="352" spans="1:14" ht="14.5" customHeight="1" x14ac:dyDescent="0.35">
      <c r="A352" s="78"/>
      <c r="B352" s="141"/>
      <c r="C352" s="107"/>
      <c r="D352" s="171"/>
      <c r="E352" s="107"/>
      <c r="F352" s="107"/>
      <c r="G352" s="184"/>
      <c r="I352" s="167"/>
      <c r="J352" s="163"/>
      <c r="K352" s="161"/>
      <c r="L352" s="165"/>
      <c r="M352" s="105"/>
      <c r="N352" s="208"/>
    </row>
    <row r="353" spans="1:14" ht="14.5" customHeight="1" x14ac:dyDescent="0.35">
      <c r="A353" s="78"/>
      <c r="B353" s="141"/>
      <c r="C353" s="107"/>
      <c r="D353" s="171"/>
      <c r="E353" s="107"/>
      <c r="F353" s="107"/>
      <c r="G353" s="184"/>
      <c r="I353" s="167"/>
      <c r="J353" s="163"/>
      <c r="K353" s="161"/>
      <c r="L353" s="165"/>
      <c r="M353" s="105"/>
      <c r="N353" s="208"/>
    </row>
    <row r="354" spans="1:14" ht="14.5" customHeight="1" x14ac:dyDescent="0.35">
      <c r="A354" s="78"/>
      <c r="B354" s="141"/>
      <c r="C354" s="107"/>
      <c r="D354" s="171"/>
      <c r="E354" s="107"/>
      <c r="F354" s="107"/>
      <c r="G354" s="184"/>
      <c r="I354" s="167"/>
      <c r="J354" s="163"/>
      <c r="K354" s="161"/>
      <c r="L354" s="165"/>
      <c r="M354" s="105"/>
      <c r="N354" s="208"/>
    </row>
    <row r="355" spans="1:14" ht="14.5" customHeight="1" x14ac:dyDescent="0.35">
      <c r="A355" s="78"/>
      <c r="B355" s="141"/>
      <c r="C355" s="107"/>
      <c r="D355" s="171"/>
      <c r="E355" s="107"/>
      <c r="F355" s="107"/>
      <c r="G355" s="184"/>
      <c r="I355" s="167"/>
      <c r="J355" s="163"/>
      <c r="K355" s="161"/>
      <c r="L355" s="165"/>
      <c r="M355" s="105"/>
      <c r="N355" s="208"/>
    </row>
    <row r="356" spans="1:14" ht="14.5" customHeight="1" x14ac:dyDescent="0.35">
      <c r="A356" s="78"/>
      <c r="B356" s="141"/>
      <c r="C356" s="107"/>
      <c r="D356" s="171"/>
      <c r="E356" s="107"/>
      <c r="F356" s="107"/>
      <c r="G356" s="184"/>
      <c r="I356" s="167"/>
      <c r="J356" s="163"/>
      <c r="K356" s="161"/>
      <c r="L356" s="165"/>
      <c r="M356" s="105"/>
      <c r="N356" s="208"/>
    </row>
    <row r="357" spans="1:14" ht="14.5" customHeight="1" x14ac:dyDescent="0.35">
      <c r="A357" s="78"/>
      <c r="B357" s="141"/>
      <c r="C357" s="107"/>
      <c r="D357" s="171"/>
      <c r="E357" s="107"/>
      <c r="F357" s="107"/>
      <c r="G357" s="184"/>
      <c r="I357" s="167"/>
      <c r="J357" s="163"/>
      <c r="K357" s="161"/>
      <c r="L357" s="165"/>
      <c r="M357" s="105"/>
      <c r="N357" s="208"/>
    </row>
    <row r="358" spans="1:14" ht="14.5" customHeight="1" x14ac:dyDescent="0.35">
      <c r="A358" s="78"/>
      <c r="B358" s="141"/>
      <c r="C358" s="107"/>
      <c r="D358" s="171"/>
      <c r="E358" s="107"/>
      <c r="F358" s="107"/>
      <c r="G358" s="184"/>
      <c r="I358" s="167"/>
      <c r="J358" s="163"/>
      <c r="K358" s="161"/>
      <c r="L358" s="165"/>
      <c r="M358" s="105"/>
      <c r="N358" s="208"/>
    </row>
    <row r="359" spans="1:14" ht="14.5" customHeight="1" x14ac:dyDescent="0.35">
      <c r="A359" s="78"/>
      <c r="B359" s="141"/>
      <c r="C359" s="107"/>
      <c r="D359" s="171"/>
      <c r="E359" s="107"/>
      <c r="F359" s="107"/>
      <c r="G359" s="184"/>
      <c r="I359" s="167"/>
      <c r="J359" s="163"/>
      <c r="K359" s="161"/>
      <c r="L359" s="165"/>
      <c r="M359" s="105"/>
      <c r="N359" s="208"/>
    </row>
    <row r="360" spans="1:14" ht="14.5" customHeight="1" x14ac:dyDescent="0.35">
      <c r="A360" s="78"/>
      <c r="B360" s="141"/>
      <c r="C360" s="107"/>
      <c r="D360" s="171"/>
      <c r="E360" s="107"/>
      <c r="F360" s="107"/>
      <c r="G360" s="184"/>
      <c r="I360" s="167"/>
      <c r="J360" s="163"/>
      <c r="K360" s="161"/>
      <c r="L360" s="165"/>
      <c r="M360" s="105"/>
      <c r="N360" s="208"/>
    </row>
    <row r="361" spans="1:14" ht="14.5" customHeight="1" x14ac:dyDescent="0.35">
      <c r="A361" s="78"/>
      <c r="B361" s="141"/>
      <c r="C361" s="107"/>
      <c r="D361" s="171"/>
      <c r="E361" s="107"/>
      <c r="F361" s="107"/>
      <c r="G361" s="184"/>
      <c r="I361" s="167"/>
      <c r="J361" s="163"/>
      <c r="K361" s="161"/>
      <c r="L361" s="165"/>
      <c r="M361" s="105"/>
      <c r="N361" s="208"/>
    </row>
    <row r="362" spans="1:14" ht="14.5" customHeight="1" x14ac:dyDescent="0.35">
      <c r="A362" s="78"/>
      <c r="B362" s="141"/>
      <c r="C362" s="107"/>
      <c r="D362" s="171"/>
      <c r="E362" s="107"/>
      <c r="F362" s="107"/>
      <c r="G362" s="184"/>
      <c r="I362" s="167"/>
      <c r="J362" s="163"/>
      <c r="K362" s="161"/>
      <c r="L362" s="165"/>
      <c r="M362" s="105"/>
      <c r="N362" s="208"/>
    </row>
    <row r="363" spans="1:14" ht="14.5" customHeight="1" x14ac:dyDescent="0.35">
      <c r="A363" s="78"/>
      <c r="B363" s="141"/>
      <c r="C363" s="107"/>
      <c r="D363" s="171"/>
      <c r="E363" s="107"/>
      <c r="F363" s="107"/>
      <c r="G363" s="184"/>
      <c r="I363" s="167"/>
      <c r="J363" s="163"/>
      <c r="K363" s="161"/>
      <c r="L363" s="165"/>
      <c r="M363" s="105"/>
      <c r="N363" s="208"/>
    </row>
    <row r="364" spans="1:14" ht="14.5" customHeight="1" x14ac:dyDescent="0.35">
      <c r="A364" s="78"/>
      <c r="B364" s="141"/>
      <c r="C364" s="107"/>
      <c r="D364" s="171"/>
      <c r="E364" s="107"/>
      <c r="F364" s="107"/>
      <c r="G364" s="184"/>
      <c r="I364" s="167"/>
      <c r="J364" s="163"/>
      <c r="K364" s="161"/>
      <c r="L364" s="165"/>
      <c r="M364" s="105"/>
      <c r="N364" s="208"/>
    </row>
    <row r="365" spans="1:14" ht="14.5" customHeight="1" x14ac:dyDescent="0.35">
      <c r="A365" s="78"/>
      <c r="B365" s="141"/>
      <c r="C365" s="107"/>
      <c r="D365" s="171"/>
      <c r="E365" s="107"/>
      <c r="F365" s="107"/>
      <c r="G365" s="184"/>
      <c r="I365" s="167"/>
      <c r="J365" s="163"/>
      <c r="K365" s="161"/>
      <c r="L365" s="165"/>
      <c r="M365" s="105"/>
      <c r="N365" s="208"/>
    </row>
    <row r="366" spans="1:14" ht="14.5" customHeight="1" x14ac:dyDescent="0.35">
      <c r="A366" s="78"/>
      <c r="B366" s="141"/>
      <c r="C366" s="107"/>
      <c r="D366" s="171"/>
      <c r="E366" s="107"/>
      <c r="F366" s="107"/>
      <c r="G366" s="184"/>
      <c r="I366" s="167"/>
      <c r="J366" s="163"/>
      <c r="K366" s="161"/>
      <c r="L366" s="165"/>
      <c r="M366" s="105"/>
      <c r="N366" s="208"/>
    </row>
    <row r="367" spans="1:14" ht="14.5" customHeight="1" x14ac:dyDescent="0.35">
      <c r="A367" s="78"/>
      <c r="B367" s="141"/>
      <c r="C367" s="107"/>
      <c r="D367" s="171"/>
      <c r="E367" s="107"/>
      <c r="F367" s="107"/>
      <c r="G367" s="184"/>
      <c r="I367" s="167"/>
      <c r="J367" s="163"/>
      <c r="K367" s="161"/>
      <c r="L367" s="165"/>
      <c r="M367" s="105"/>
      <c r="N367" s="208"/>
    </row>
    <row r="368" spans="1:14" ht="14.5" customHeight="1" x14ac:dyDescent="0.35">
      <c r="A368" s="78"/>
      <c r="B368" s="141"/>
      <c r="C368" s="107"/>
      <c r="D368" s="171"/>
      <c r="E368" s="107"/>
      <c r="F368" s="107"/>
      <c r="G368" s="184"/>
      <c r="I368" s="167"/>
      <c r="J368" s="163"/>
      <c r="K368" s="161"/>
      <c r="L368" s="165"/>
      <c r="M368" s="105"/>
      <c r="N368" s="208"/>
    </row>
    <row r="369" spans="1:14" ht="14.5" customHeight="1" x14ac:dyDescent="0.35">
      <c r="A369" s="78"/>
      <c r="B369" s="141"/>
      <c r="C369" s="107"/>
      <c r="D369" s="171"/>
      <c r="E369" s="107"/>
      <c r="F369" s="107"/>
      <c r="G369" s="184"/>
      <c r="I369" s="167"/>
      <c r="J369" s="163"/>
      <c r="K369" s="161"/>
      <c r="L369" s="165"/>
      <c r="M369" s="105"/>
      <c r="N369" s="208"/>
    </row>
    <row r="370" spans="1:14" ht="14.5" customHeight="1" x14ac:dyDescent="0.35">
      <c r="A370" s="106"/>
      <c r="B370" s="142"/>
      <c r="C370" s="107"/>
      <c r="D370" s="171"/>
      <c r="E370" s="107"/>
      <c r="F370" s="107"/>
      <c r="G370" s="184"/>
      <c r="I370" s="167"/>
      <c r="J370" s="163"/>
      <c r="K370" s="161"/>
      <c r="L370" s="165"/>
      <c r="M370" s="105"/>
      <c r="N370" s="208"/>
    </row>
  </sheetData>
  <sheetProtection sheet="1" formatCells="0" formatColumns="0" insertColumns="0" insertRows="0" insertHyperlinks="0" sort="0" autoFilter="0" pivotTables="0"/>
  <autoFilter ref="A1:XEL310" xr:uid="{CB3271CE-B0B3-4CA2-853E-50EF5D5A154D}"/>
  <sortState xmlns:xlrd2="http://schemas.microsoft.com/office/spreadsheetml/2017/richdata2" ref="A2:M479">
    <sortCondition ref="B2:B479"/>
  </sortState>
  <conditionalFormatting sqref="M1:N1 M311:N1048576 M3:M310">
    <cfRule type="cellIs" dxfId="9" priority="4" operator="equal">
      <formula>"Bench"</formula>
    </cfRule>
  </conditionalFormatting>
  <hyperlinks>
    <hyperlink ref="D124" r:id="rId1" xr:uid="{137B53DD-8D40-4F9C-AA6F-6E1C32F20289}"/>
    <hyperlink ref="D165" r:id="rId2" xr:uid="{2678646B-3E62-4FCC-832E-42D9C252C571}"/>
    <hyperlink ref="D238" r:id="rId3" xr:uid="{01461790-67BE-42C1-A476-7D941CB00DFA}"/>
  </hyperlinks>
  <pageMargins left="0.7" right="0.7" top="0.75" bottom="0.75" header="0.3" footer="0.3"/>
  <pageSetup orientation="portrait" r:id="rId4"/>
  <legacy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C1452-638B-412F-BFDD-7E75FC1D8CAD}">
  <dimension ref="A1:E305"/>
  <sheetViews>
    <sheetView workbookViewId="0">
      <selection activeCell="B51" sqref="B51"/>
    </sheetView>
  </sheetViews>
  <sheetFormatPr defaultRowHeight="14.5" x14ac:dyDescent="0.35"/>
  <cols>
    <col min="1" max="1" width="12.26953125" bestFit="1" customWidth="1"/>
    <col min="2" max="2" width="38.26953125" bestFit="1" customWidth="1"/>
    <col min="3" max="3" width="21.26953125" customWidth="1"/>
    <col min="4" max="4" width="17.81640625" bestFit="1" customWidth="1"/>
    <col min="5" max="5" width="16.1796875" bestFit="1" customWidth="1"/>
  </cols>
  <sheetData>
    <row r="1" spans="1:5" x14ac:dyDescent="0.35">
      <c r="A1" s="156" t="s">
        <v>883</v>
      </c>
      <c r="B1" s="156" t="s">
        <v>211</v>
      </c>
      <c r="C1" s="157" t="s">
        <v>884</v>
      </c>
      <c r="D1" s="156" t="s">
        <v>885</v>
      </c>
      <c r="E1" s="156" t="s">
        <v>886</v>
      </c>
    </row>
    <row r="2" spans="1:5" x14ac:dyDescent="0.35">
      <c r="A2" s="155">
        <v>20072996</v>
      </c>
      <c r="B2" s="155" t="s">
        <v>522</v>
      </c>
      <c r="C2" s="158" t="e">
        <v>#N/A</v>
      </c>
      <c r="D2" s="155">
        <v>0</v>
      </c>
      <c r="E2" s="155" t="e">
        <v>#N/A</v>
      </c>
    </row>
    <row r="3" spans="1:5" x14ac:dyDescent="0.35">
      <c r="A3" s="155">
        <v>20104555</v>
      </c>
      <c r="B3" s="155" t="s">
        <v>887</v>
      </c>
      <c r="C3" s="158">
        <v>43456</v>
      </c>
      <c r="D3" s="155" t="s">
        <v>458</v>
      </c>
      <c r="E3" s="155" t="s">
        <v>663</v>
      </c>
    </row>
    <row r="4" spans="1:5" x14ac:dyDescent="0.35">
      <c r="A4" s="155">
        <v>20104603</v>
      </c>
      <c r="B4" s="155" t="s">
        <v>888</v>
      </c>
      <c r="C4" s="158" t="e">
        <v>#N/A</v>
      </c>
      <c r="D4" s="155" t="s">
        <v>570</v>
      </c>
      <c r="E4" s="155" t="s">
        <v>889</v>
      </c>
    </row>
    <row r="5" spans="1:5" x14ac:dyDescent="0.35">
      <c r="A5" s="155">
        <v>20111306</v>
      </c>
      <c r="B5" s="155" t="s">
        <v>890</v>
      </c>
      <c r="C5" s="158">
        <v>42705</v>
      </c>
      <c r="D5" s="155"/>
      <c r="E5" s="155" t="s">
        <v>377</v>
      </c>
    </row>
    <row r="6" spans="1:5" x14ac:dyDescent="0.35">
      <c r="A6" s="155">
        <v>20111413</v>
      </c>
      <c r="B6" s="155" t="s">
        <v>891</v>
      </c>
      <c r="C6" s="158">
        <v>42121</v>
      </c>
      <c r="D6" s="155" t="s">
        <v>235</v>
      </c>
      <c r="E6" s="155" t="s">
        <v>436</v>
      </c>
    </row>
    <row r="7" spans="1:5" x14ac:dyDescent="0.35">
      <c r="A7" s="155">
        <v>80114706</v>
      </c>
      <c r="B7" s="155" t="s">
        <v>892</v>
      </c>
      <c r="C7" s="158">
        <v>43587</v>
      </c>
      <c r="D7" s="155" t="s">
        <v>235</v>
      </c>
      <c r="E7" s="155" t="s">
        <v>501</v>
      </c>
    </row>
    <row r="8" spans="1:5" x14ac:dyDescent="0.35">
      <c r="A8" s="155">
        <v>80114707</v>
      </c>
      <c r="B8" s="155" t="s">
        <v>893</v>
      </c>
      <c r="C8" s="158">
        <v>44424</v>
      </c>
      <c r="D8" s="155" t="s">
        <v>235</v>
      </c>
      <c r="E8" s="155" t="s">
        <v>370</v>
      </c>
    </row>
    <row r="9" spans="1:5" x14ac:dyDescent="0.35">
      <c r="A9" s="155">
        <v>80114708</v>
      </c>
      <c r="B9" s="155" t="s">
        <v>894</v>
      </c>
      <c r="C9" s="158">
        <v>44235</v>
      </c>
      <c r="D9" s="155" t="s">
        <v>717</v>
      </c>
      <c r="E9" s="155" t="s">
        <v>895</v>
      </c>
    </row>
    <row r="10" spans="1:5" x14ac:dyDescent="0.35">
      <c r="A10" s="155">
        <v>80116859</v>
      </c>
      <c r="B10" s="155" t="s">
        <v>327</v>
      </c>
      <c r="C10" s="158">
        <v>44410</v>
      </c>
      <c r="D10" s="155" t="s">
        <v>329</v>
      </c>
      <c r="E10" s="155" t="s">
        <v>370</v>
      </c>
    </row>
    <row r="11" spans="1:5" x14ac:dyDescent="0.35">
      <c r="A11" s="155">
        <v>80119778</v>
      </c>
      <c r="B11" s="155" t="s">
        <v>896</v>
      </c>
      <c r="C11" s="158">
        <v>42865</v>
      </c>
      <c r="D11" s="155" t="s">
        <v>235</v>
      </c>
      <c r="E11" s="155" t="s">
        <v>537</v>
      </c>
    </row>
    <row r="12" spans="1:5" x14ac:dyDescent="0.35">
      <c r="A12" s="155">
        <v>90718833</v>
      </c>
      <c r="B12" s="155" t="s">
        <v>897</v>
      </c>
      <c r="C12" s="158">
        <v>42226</v>
      </c>
      <c r="D12" s="155" t="s">
        <v>386</v>
      </c>
      <c r="E12" s="155" t="s">
        <v>898</v>
      </c>
    </row>
    <row r="13" spans="1:5" x14ac:dyDescent="0.35">
      <c r="A13" s="155">
        <v>90718836</v>
      </c>
      <c r="B13" s="155" t="s">
        <v>899</v>
      </c>
      <c r="C13" s="158">
        <v>43367</v>
      </c>
      <c r="D13" s="155" t="s">
        <v>856</v>
      </c>
      <c r="E13" s="155" t="s">
        <v>360</v>
      </c>
    </row>
    <row r="14" spans="1:5" x14ac:dyDescent="0.35">
      <c r="A14" s="155">
        <v>90718839</v>
      </c>
      <c r="B14" s="155" t="s">
        <v>900</v>
      </c>
      <c r="C14" s="158">
        <v>42513</v>
      </c>
      <c r="D14" s="155" t="s">
        <v>235</v>
      </c>
      <c r="E14" s="155" t="s">
        <v>763</v>
      </c>
    </row>
    <row r="15" spans="1:5" x14ac:dyDescent="0.35">
      <c r="A15" s="155">
        <v>90718853</v>
      </c>
      <c r="B15" s="155" t="s">
        <v>901</v>
      </c>
      <c r="C15" s="158">
        <v>42430</v>
      </c>
      <c r="D15" s="155" t="s">
        <v>479</v>
      </c>
      <c r="E15" s="155" t="s">
        <v>902</v>
      </c>
    </row>
    <row r="16" spans="1:5" x14ac:dyDescent="0.35">
      <c r="A16" s="155">
        <v>90718856</v>
      </c>
      <c r="B16" s="155" t="s">
        <v>903</v>
      </c>
      <c r="C16" s="158">
        <v>42891</v>
      </c>
      <c r="D16" s="155" t="s">
        <v>235</v>
      </c>
      <c r="E16" s="155" t="s">
        <v>341</v>
      </c>
    </row>
    <row r="17" spans="1:5" x14ac:dyDescent="0.35">
      <c r="A17" s="155">
        <v>90718940</v>
      </c>
      <c r="B17" s="155" t="s">
        <v>904</v>
      </c>
      <c r="C17" s="158">
        <v>41871</v>
      </c>
      <c r="D17" s="155" t="s">
        <v>531</v>
      </c>
      <c r="E17" s="155" t="s">
        <v>905</v>
      </c>
    </row>
    <row r="18" spans="1:5" x14ac:dyDescent="0.35">
      <c r="A18" s="155">
        <v>90718943</v>
      </c>
      <c r="B18" s="155" t="s">
        <v>906</v>
      </c>
      <c r="C18" s="158">
        <v>42292</v>
      </c>
      <c r="D18" s="155" t="s">
        <v>361</v>
      </c>
      <c r="E18" s="155" t="s">
        <v>310</v>
      </c>
    </row>
    <row r="19" spans="1:5" x14ac:dyDescent="0.35">
      <c r="A19" s="155">
        <v>90718946</v>
      </c>
      <c r="B19" s="155" t="s">
        <v>907</v>
      </c>
      <c r="C19" s="158">
        <v>42592</v>
      </c>
      <c r="D19" s="155" t="s">
        <v>356</v>
      </c>
      <c r="E19" s="155" t="s">
        <v>908</v>
      </c>
    </row>
    <row r="20" spans="1:5" x14ac:dyDescent="0.35">
      <c r="A20" s="155">
        <v>90718947</v>
      </c>
      <c r="B20" s="155" t="s">
        <v>909</v>
      </c>
      <c r="C20" s="158">
        <v>42353</v>
      </c>
      <c r="D20" s="155" t="s">
        <v>235</v>
      </c>
      <c r="E20" s="155" t="s">
        <v>754</v>
      </c>
    </row>
    <row r="21" spans="1:5" x14ac:dyDescent="0.35">
      <c r="A21" s="155">
        <v>90718952</v>
      </c>
      <c r="B21" s="155" t="s">
        <v>910</v>
      </c>
      <c r="C21" s="158">
        <v>43430</v>
      </c>
      <c r="D21" s="155" t="s">
        <v>627</v>
      </c>
      <c r="E21" s="155" t="s">
        <v>911</v>
      </c>
    </row>
    <row r="22" spans="1:5" x14ac:dyDescent="0.35">
      <c r="A22" s="155">
        <v>90718956</v>
      </c>
      <c r="B22" s="155" t="s">
        <v>912</v>
      </c>
      <c r="C22" s="158">
        <v>44977</v>
      </c>
      <c r="D22" s="155" t="s">
        <v>913</v>
      </c>
      <c r="E22" s="155" t="s">
        <v>914</v>
      </c>
    </row>
    <row r="23" spans="1:5" x14ac:dyDescent="0.35">
      <c r="A23" s="155">
        <v>90718960</v>
      </c>
      <c r="B23" s="155" t="s">
        <v>915</v>
      </c>
      <c r="C23" s="158">
        <v>42443</v>
      </c>
      <c r="D23" s="155" t="s">
        <v>235</v>
      </c>
      <c r="E23" s="155" t="s">
        <v>902</v>
      </c>
    </row>
    <row r="24" spans="1:5" x14ac:dyDescent="0.35">
      <c r="A24" s="155">
        <v>90718971</v>
      </c>
      <c r="B24" s="155" t="s">
        <v>916</v>
      </c>
      <c r="C24" s="158">
        <v>43836</v>
      </c>
      <c r="D24" s="155" t="s">
        <v>917</v>
      </c>
      <c r="E24" s="155" t="s">
        <v>918</v>
      </c>
    </row>
    <row r="25" spans="1:5" x14ac:dyDescent="0.35">
      <c r="A25" s="155">
        <v>90719003</v>
      </c>
      <c r="B25" s="155" t="s">
        <v>919</v>
      </c>
      <c r="C25" s="158">
        <v>44537</v>
      </c>
      <c r="D25" s="155" t="s">
        <v>755</v>
      </c>
      <c r="E25" s="155" t="s">
        <v>518</v>
      </c>
    </row>
    <row r="26" spans="1:5" x14ac:dyDescent="0.35">
      <c r="A26" s="155">
        <v>90719006</v>
      </c>
      <c r="B26" s="155" t="s">
        <v>920</v>
      </c>
      <c r="C26" s="158">
        <v>44809</v>
      </c>
      <c r="D26" s="155" t="s">
        <v>849</v>
      </c>
      <c r="E26" s="155" t="s">
        <v>257</v>
      </c>
    </row>
    <row r="27" spans="1:5" x14ac:dyDescent="0.35">
      <c r="A27" s="155">
        <v>90719008</v>
      </c>
      <c r="B27" s="155" t="s">
        <v>921</v>
      </c>
      <c r="C27" s="158">
        <v>43713</v>
      </c>
      <c r="D27" s="155" t="s">
        <v>632</v>
      </c>
      <c r="E27" s="155" t="s">
        <v>744</v>
      </c>
    </row>
    <row r="28" spans="1:5" x14ac:dyDescent="0.35">
      <c r="A28" s="155">
        <v>90719011</v>
      </c>
      <c r="B28" s="155" t="s">
        <v>922</v>
      </c>
      <c r="C28" s="158">
        <v>44340</v>
      </c>
      <c r="D28" s="155" t="s">
        <v>261</v>
      </c>
      <c r="E28" s="155" t="s">
        <v>285</v>
      </c>
    </row>
    <row r="29" spans="1:5" x14ac:dyDescent="0.35">
      <c r="A29" s="155">
        <v>90719211</v>
      </c>
      <c r="B29" s="155" t="s">
        <v>923</v>
      </c>
      <c r="C29" s="158">
        <v>42296</v>
      </c>
      <c r="D29" s="155" t="s">
        <v>235</v>
      </c>
      <c r="E29" s="155" t="s">
        <v>310</v>
      </c>
    </row>
    <row r="30" spans="1:5" x14ac:dyDescent="0.35">
      <c r="A30" s="155">
        <v>90719229</v>
      </c>
      <c r="B30" s="155" t="s">
        <v>924</v>
      </c>
      <c r="C30" s="158">
        <v>43550</v>
      </c>
      <c r="D30" s="155" t="s">
        <v>925</v>
      </c>
      <c r="E30" s="155" t="s">
        <v>668</v>
      </c>
    </row>
    <row r="31" spans="1:5" x14ac:dyDescent="0.35">
      <c r="A31" s="155">
        <v>90719236</v>
      </c>
      <c r="B31" s="155" t="s">
        <v>926</v>
      </c>
      <c r="C31" s="158">
        <v>42923</v>
      </c>
      <c r="D31" s="155" t="s">
        <v>235</v>
      </c>
      <c r="E31" s="155" t="s">
        <v>289</v>
      </c>
    </row>
    <row r="32" spans="1:5" x14ac:dyDescent="0.35">
      <c r="A32" s="155">
        <v>90719238</v>
      </c>
      <c r="B32" s="155" t="s">
        <v>927</v>
      </c>
      <c r="C32" s="158">
        <v>43087</v>
      </c>
      <c r="D32" s="155" t="s">
        <v>235</v>
      </c>
      <c r="E32" s="155" t="s">
        <v>439</v>
      </c>
    </row>
    <row r="33" spans="1:5" x14ac:dyDescent="0.35">
      <c r="A33" s="155">
        <v>90719301</v>
      </c>
      <c r="B33" s="155" t="s">
        <v>928</v>
      </c>
      <c r="C33" s="158">
        <v>42186</v>
      </c>
      <c r="D33" s="155" t="s">
        <v>538</v>
      </c>
      <c r="E33" s="155" t="s">
        <v>929</v>
      </c>
    </row>
    <row r="34" spans="1:5" x14ac:dyDescent="0.35">
      <c r="A34" s="155">
        <v>90719304</v>
      </c>
      <c r="B34" s="155" t="s">
        <v>930</v>
      </c>
      <c r="C34" s="158">
        <v>42282</v>
      </c>
      <c r="D34" s="155" t="s">
        <v>235</v>
      </c>
      <c r="E34" s="155" t="s">
        <v>310</v>
      </c>
    </row>
    <row r="35" spans="1:5" x14ac:dyDescent="0.35">
      <c r="A35" s="155">
        <v>90719316</v>
      </c>
      <c r="B35" s="155" t="s">
        <v>931</v>
      </c>
      <c r="C35" s="158">
        <v>42681</v>
      </c>
      <c r="D35" s="155" t="s">
        <v>235</v>
      </c>
      <c r="E35" s="155" t="s">
        <v>860</v>
      </c>
    </row>
    <row r="36" spans="1:5" x14ac:dyDescent="0.35">
      <c r="A36" s="155">
        <v>90719323</v>
      </c>
      <c r="B36" s="155" t="s">
        <v>932</v>
      </c>
      <c r="C36" s="158">
        <v>42829</v>
      </c>
      <c r="D36" s="155" t="s">
        <v>235</v>
      </c>
      <c r="E36" s="155" t="s">
        <v>441</v>
      </c>
    </row>
    <row r="37" spans="1:5" x14ac:dyDescent="0.35">
      <c r="A37" s="155">
        <v>90719326</v>
      </c>
      <c r="B37" s="155" t="s">
        <v>933</v>
      </c>
      <c r="C37" s="158">
        <v>42865</v>
      </c>
      <c r="D37" s="155" t="s">
        <v>235</v>
      </c>
      <c r="E37" s="155" t="s">
        <v>537</v>
      </c>
    </row>
    <row r="38" spans="1:5" x14ac:dyDescent="0.35">
      <c r="A38" s="155">
        <v>90719331</v>
      </c>
      <c r="B38" s="155" t="s">
        <v>934</v>
      </c>
      <c r="C38" s="158">
        <v>42870</v>
      </c>
      <c r="D38" s="155" t="s">
        <v>594</v>
      </c>
      <c r="E38" s="155" t="s">
        <v>537</v>
      </c>
    </row>
    <row r="39" spans="1:5" x14ac:dyDescent="0.35">
      <c r="A39" s="155">
        <v>90719345</v>
      </c>
      <c r="B39" s="155" t="s">
        <v>935</v>
      </c>
      <c r="C39" s="158">
        <v>42905</v>
      </c>
      <c r="D39" s="155" t="s">
        <v>235</v>
      </c>
      <c r="E39" s="155" t="s">
        <v>341</v>
      </c>
    </row>
    <row r="40" spans="1:5" x14ac:dyDescent="0.35">
      <c r="A40" s="155">
        <v>90719350</v>
      </c>
      <c r="B40" s="155" t="s">
        <v>936</v>
      </c>
      <c r="C40" s="158">
        <v>42926</v>
      </c>
      <c r="D40" s="155" t="s">
        <v>235</v>
      </c>
      <c r="E40" s="155" t="s">
        <v>289</v>
      </c>
    </row>
    <row r="41" spans="1:5" x14ac:dyDescent="0.35">
      <c r="A41" s="155">
        <v>90719354</v>
      </c>
      <c r="B41" s="155" t="s">
        <v>937</v>
      </c>
      <c r="C41" s="158">
        <v>42917</v>
      </c>
      <c r="D41" s="155" t="s">
        <v>235</v>
      </c>
      <c r="E41" s="155" t="s">
        <v>289</v>
      </c>
    </row>
    <row r="42" spans="1:5" x14ac:dyDescent="0.35">
      <c r="A42" s="155">
        <v>90719376</v>
      </c>
      <c r="B42" s="155" t="s">
        <v>938</v>
      </c>
      <c r="C42" s="158">
        <v>42996</v>
      </c>
      <c r="D42" s="155" t="s">
        <v>311</v>
      </c>
      <c r="E42" s="155" t="s">
        <v>939</v>
      </c>
    </row>
    <row r="43" spans="1:5" x14ac:dyDescent="0.35">
      <c r="A43" s="155">
        <v>90719378</v>
      </c>
      <c r="B43" s="155" t="s">
        <v>760</v>
      </c>
      <c r="C43" s="158">
        <v>43018</v>
      </c>
      <c r="D43" s="155" t="s">
        <v>235</v>
      </c>
      <c r="E43" s="155" t="s">
        <v>542</v>
      </c>
    </row>
    <row r="44" spans="1:5" x14ac:dyDescent="0.35">
      <c r="A44" s="155">
        <v>90719381</v>
      </c>
      <c r="B44" s="155" t="s">
        <v>940</v>
      </c>
      <c r="C44" s="158">
        <v>43024</v>
      </c>
      <c r="D44" s="155" t="s">
        <v>837</v>
      </c>
      <c r="E44" s="155" t="s">
        <v>542</v>
      </c>
    </row>
    <row r="45" spans="1:5" x14ac:dyDescent="0.35">
      <c r="A45" s="155">
        <v>90719384</v>
      </c>
      <c r="B45" s="155" t="s">
        <v>941</v>
      </c>
      <c r="C45" s="158">
        <v>43031</v>
      </c>
      <c r="D45" s="155" t="s">
        <v>235</v>
      </c>
      <c r="E45" s="155" t="s">
        <v>542</v>
      </c>
    </row>
    <row r="46" spans="1:5" x14ac:dyDescent="0.35">
      <c r="A46" s="155">
        <v>90719387</v>
      </c>
      <c r="B46" s="155" t="s">
        <v>942</v>
      </c>
      <c r="C46" s="158">
        <v>43031</v>
      </c>
      <c r="D46" s="155" t="s">
        <v>235</v>
      </c>
      <c r="E46" s="155" t="s">
        <v>542</v>
      </c>
    </row>
    <row r="47" spans="1:5" x14ac:dyDescent="0.35">
      <c r="A47" s="155">
        <v>90719394</v>
      </c>
      <c r="B47" s="155" t="s">
        <v>943</v>
      </c>
      <c r="C47" s="158">
        <v>43073</v>
      </c>
      <c r="D47" s="155" t="s">
        <v>806</v>
      </c>
      <c r="E47" s="155" t="s">
        <v>439</v>
      </c>
    </row>
    <row r="48" spans="1:5" x14ac:dyDescent="0.35">
      <c r="A48" s="155">
        <v>90719396</v>
      </c>
      <c r="B48" s="155" t="s">
        <v>944</v>
      </c>
      <c r="C48" s="158">
        <v>43076</v>
      </c>
      <c r="D48" s="155" t="s">
        <v>437</v>
      </c>
      <c r="E48" s="155" t="s">
        <v>439</v>
      </c>
    </row>
    <row r="49" spans="1:5" x14ac:dyDescent="0.35">
      <c r="A49" s="155">
        <v>90719400</v>
      </c>
      <c r="B49" s="155" t="s">
        <v>945</v>
      </c>
      <c r="C49" s="158">
        <v>43200</v>
      </c>
      <c r="D49" s="155" t="s">
        <v>266</v>
      </c>
      <c r="E49" s="155" t="s">
        <v>828</v>
      </c>
    </row>
    <row r="50" spans="1:5" x14ac:dyDescent="0.35">
      <c r="A50" s="155">
        <v>90719406</v>
      </c>
      <c r="B50" s="155" t="s">
        <v>946</v>
      </c>
      <c r="C50" s="158">
        <v>43252</v>
      </c>
      <c r="D50" s="155" t="s">
        <v>235</v>
      </c>
      <c r="E50" s="155" t="s">
        <v>252</v>
      </c>
    </row>
    <row r="51" spans="1:5" x14ac:dyDescent="0.35">
      <c r="A51" s="155">
        <v>90719409</v>
      </c>
      <c r="B51" s="155" t="s">
        <v>947</v>
      </c>
      <c r="C51" s="158">
        <v>43252</v>
      </c>
      <c r="D51" s="155" t="s">
        <v>235</v>
      </c>
      <c r="E51" s="155" t="s">
        <v>252</v>
      </c>
    </row>
    <row r="52" spans="1:5" x14ac:dyDescent="0.35">
      <c r="A52" s="155">
        <v>90719413</v>
      </c>
      <c r="B52" s="155" t="s">
        <v>948</v>
      </c>
      <c r="C52" s="158">
        <v>43328</v>
      </c>
      <c r="D52" s="155" t="s">
        <v>235</v>
      </c>
      <c r="E52" s="155" t="s">
        <v>533</v>
      </c>
    </row>
    <row r="53" spans="1:5" x14ac:dyDescent="0.35">
      <c r="A53" s="155">
        <v>90719416</v>
      </c>
      <c r="B53" s="155" t="s">
        <v>949</v>
      </c>
      <c r="C53" s="158">
        <v>43335</v>
      </c>
      <c r="D53" s="155" t="s">
        <v>806</v>
      </c>
      <c r="E53" s="155" t="s">
        <v>533</v>
      </c>
    </row>
    <row r="54" spans="1:5" x14ac:dyDescent="0.35">
      <c r="A54" s="155">
        <v>90719426</v>
      </c>
      <c r="B54" s="155" t="s">
        <v>815</v>
      </c>
      <c r="C54" s="158">
        <v>43388</v>
      </c>
      <c r="D54" s="155" t="s">
        <v>816</v>
      </c>
      <c r="E54" s="155" t="s">
        <v>832</v>
      </c>
    </row>
    <row r="55" spans="1:5" x14ac:dyDescent="0.35">
      <c r="A55" s="155">
        <v>90719433</v>
      </c>
      <c r="B55" s="155" t="s">
        <v>950</v>
      </c>
      <c r="C55" s="158">
        <v>43416</v>
      </c>
      <c r="D55" s="155" t="s">
        <v>235</v>
      </c>
      <c r="E55" s="155" t="s">
        <v>911</v>
      </c>
    </row>
    <row r="56" spans="1:5" x14ac:dyDescent="0.35">
      <c r="A56" s="155">
        <v>90719443</v>
      </c>
      <c r="B56" s="155" t="s">
        <v>951</v>
      </c>
      <c r="C56" s="158">
        <v>43444</v>
      </c>
      <c r="D56" s="155" t="s">
        <v>386</v>
      </c>
      <c r="E56" s="155" t="s">
        <v>663</v>
      </c>
    </row>
    <row r="57" spans="1:5" x14ac:dyDescent="0.35">
      <c r="A57" s="155">
        <v>90719444</v>
      </c>
      <c r="B57" s="155" t="s">
        <v>952</v>
      </c>
      <c r="C57" s="158">
        <v>43452</v>
      </c>
      <c r="D57" s="155" t="s">
        <v>538</v>
      </c>
      <c r="E57" s="155" t="s">
        <v>663</v>
      </c>
    </row>
    <row r="58" spans="1:5" x14ac:dyDescent="0.35">
      <c r="A58" s="155">
        <v>90719446</v>
      </c>
      <c r="B58" s="155" t="s">
        <v>953</v>
      </c>
      <c r="C58" s="158">
        <v>43500</v>
      </c>
      <c r="D58" s="155" t="s">
        <v>235</v>
      </c>
      <c r="E58" s="155" t="s">
        <v>265</v>
      </c>
    </row>
    <row r="59" spans="1:5" x14ac:dyDescent="0.35">
      <c r="A59" s="155">
        <v>90719449</v>
      </c>
      <c r="B59" s="155" t="s">
        <v>954</v>
      </c>
      <c r="C59" s="158">
        <v>43507</v>
      </c>
      <c r="D59" s="155" t="s">
        <v>235</v>
      </c>
      <c r="E59" s="155" t="s">
        <v>265</v>
      </c>
    </row>
    <row r="60" spans="1:5" x14ac:dyDescent="0.35">
      <c r="A60" s="155">
        <v>90719450</v>
      </c>
      <c r="B60" s="155" t="s">
        <v>955</v>
      </c>
      <c r="C60" s="158">
        <v>43497</v>
      </c>
      <c r="D60" s="155" t="s">
        <v>235</v>
      </c>
      <c r="E60" s="155" t="s">
        <v>265</v>
      </c>
    </row>
    <row r="61" spans="1:5" x14ac:dyDescent="0.35">
      <c r="A61" s="155">
        <v>90719452</v>
      </c>
      <c r="B61" s="155" t="s">
        <v>956</v>
      </c>
      <c r="C61" s="158">
        <v>43511</v>
      </c>
      <c r="D61" s="155" t="s">
        <v>957</v>
      </c>
      <c r="E61" s="155" t="s">
        <v>265</v>
      </c>
    </row>
    <row r="62" spans="1:5" x14ac:dyDescent="0.35">
      <c r="A62" s="155">
        <v>90719454</v>
      </c>
      <c r="B62" s="155" t="s">
        <v>958</v>
      </c>
      <c r="C62" s="158">
        <v>43514</v>
      </c>
      <c r="D62" s="155" t="s">
        <v>925</v>
      </c>
      <c r="E62" s="155" t="s">
        <v>265</v>
      </c>
    </row>
    <row r="63" spans="1:5" x14ac:dyDescent="0.35">
      <c r="A63" s="155">
        <v>90719455</v>
      </c>
      <c r="B63" s="155" t="s">
        <v>959</v>
      </c>
      <c r="C63" s="158">
        <v>43514</v>
      </c>
      <c r="D63" s="155" t="s">
        <v>428</v>
      </c>
      <c r="E63" s="155" t="s">
        <v>265</v>
      </c>
    </row>
    <row r="64" spans="1:5" x14ac:dyDescent="0.35">
      <c r="A64" s="155">
        <v>90719457</v>
      </c>
      <c r="B64" s="155" t="s">
        <v>960</v>
      </c>
      <c r="C64" s="158">
        <v>43514</v>
      </c>
      <c r="D64" s="155" t="s">
        <v>235</v>
      </c>
      <c r="E64" s="155" t="s">
        <v>265</v>
      </c>
    </row>
    <row r="65" spans="1:5" x14ac:dyDescent="0.35">
      <c r="A65" s="155">
        <v>90719459</v>
      </c>
      <c r="B65" s="155" t="s">
        <v>961</v>
      </c>
      <c r="C65" s="158">
        <v>43516</v>
      </c>
      <c r="D65" s="155" t="s">
        <v>235</v>
      </c>
      <c r="E65" s="155" t="s">
        <v>265</v>
      </c>
    </row>
    <row r="66" spans="1:5" x14ac:dyDescent="0.35">
      <c r="A66" s="155">
        <v>90719462</v>
      </c>
      <c r="B66" s="155" t="s">
        <v>962</v>
      </c>
      <c r="C66" s="158">
        <v>43570</v>
      </c>
      <c r="D66" s="155" t="s">
        <v>235</v>
      </c>
      <c r="E66" s="155" t="s">
        <v>963</v>
      </c>
    </row>
    <row r="67" spans="1:5" x14ac:dyDescent="0.35">
      <c r="A67" s="155">
        <v>90719463</v>
      </c>
      <c r="B67" s="155" t="s">
        <v>964</v>
      </c>
      <c r="C67" s="158">
        <v>43570</v>
      </c>
      <c r="D67" s="155" t="s">
        <v>378</v>
      </c>
      <c r="E67" s="155" t="s">
        <v>963</v>
      </c>
    </row>
    <row r="68" spans="1:5" x14ac:dyDescent="0.35">
      <c r="A68" s="155">
        <v>90719465</v>
      </c>
      <c r="B68" s="155" t="s">
        <v>965</v>
      </c>
      <c r="C68" s="158">
        <v>43570</v>
      </c>
      <c r="D68" s="155" t="s">
        <v>235</v>
      </c>
      <c r="E68" s="155" t="s">
        <v>963</v>
      </c>
    </row>
    <row r="69" spans="1:5" x14ac:dyDescent="0.35">
      <c r="A69" s="155">
        <v>90719469</v>
      </c>
      <c r="B69" s="155" t="s">
        <v>966</v>
      </c>
      <c r="C69" s="158">
        <v>43570</v>
      </c>
      <c r="D69" s="155" t="s">
        <v>808</v>
      </c>
      <c r="E69" s="155" t="s">
        <v>963</v>
      </c>
    </row>
    <row r="70" spans="1:5" x14ac:dyDescent="0.35">
      <c r="A70" s="155">
        <v>90719470</v>
      </c>
      <c r="B70" s="155" t="s">
        <v>967</v>
      </c>
      <c r="C70" s="158">
        <v>43571</v>
      </c>
      <c r="D70" s="155" t="s">
        <v>311</v>
      </c>
      <c r="E70" s="155" t="s">
        <v>963</v>
      </c>
    </row>
    <row r="71" spans="1:5" x14ac:dyDescent="0.35">
      <c r="A71" s="155">
        <v>90719475</v>
      </c>
      <c r="B71" s="155" t="s">
        <v>968</v>
      </c>
      <c r="C71" s="158">
        <v>43587</v>
      </c>
      <c r="D71" s="155" t="s">
        <v>235</v>
      </c>
      <c r="E71" s="155" t="s">
        <v>501</v>
      </c>
    </row>
    <row r="72" spans="1:5" x14ac:dyDescent="0.35">
      <c r="A72" s="155">
        <v>90719479</v>
      </c>
      <c r="B72" s="155" t="s">
        <v>969</v>
      </c>
      <c r="C72" s="158">
        <v>43591</v>
      </c>
      <c r="D72" s="155" t="s">
        <v>235</v>
      </c>
      <c r="E72" s="155" t="s">
        <v>501</v>
      </c>
    </row>
    <row r="73" spans="1:5" x14ac:dyDescent="0.35">
      <c r="A73" s="155">
        <v>90719482</v>
      </c>
      <c r="B73" s="155" t="s">
        <v>970</v>
      </c>
      <c r="C73" s="158">
        <v>43591</v>
      </c>
      <c r="D73" s="155" t="s">
        <v>235</v>
      </c>
      <c r="E73" s="155" t="s">
        <v>501</v>
      </c>
    </row>
    <row r="74" spans="1:5" x14ac:dyDescent="0.35">
      <c r="A74" s="155">
        <v>90719485</v>
      </c>
      <c r="B74" s="155" t="s">
        <v>971</v>
      </c>
      <c r="C74" s="158">
        <v>43593</v>
      </c>
      <c r="D74" s="155" t="s">
        <v>235</v>
      </c>
      <c r="E74" s="155" t="s">
        <v>501</v>
      </c>
    </row>
    <row r="75" spans="1:5" x14ac:dyDescent="0.35">
      <c r="A75" s="155">
        <v>90719487</v>
      </c>
      <c r="B75" s="155" t="s">
        <v>972</v>
      </c>
      <c r="C75" s="158">
        <v>43598</v>
      </c>
      <c r="D75" s="155" t="s">
        <v>235</v>
      </c>
      <c r="E75" s="155" t="s">
        <v>501</v>
      </c>
    </row>
    <row r="76" spans="1:5" x14ac:dyDescent="0.35">
      <c r="A76" s="155">
        <v>90719489</v>
      </c>
      <c r="B76" s="155" t="s">
        <v>973</v>
      </c>
      <c r="C76" s="158">
        <v>43647</v>
      </c>
      <c r="D76" s="155" t="s">
        <v>235</v>
      </c>
      <c r="E76" s="155" t="s">
        <v>787</v>
      </c>
    </row>
    <row r="77" spans="1:5" x14ac:dyDescent="0.35">
      <c r="A77" s="155">
        <v>90719496</v>
      </c>
      <c r="B77" s="155" t="s">
        <v>974</v>
      </c>
      <c r="C77" s="158">
        <v>43675</v>
      </c>
      <c r="D77" s="155" t="s">
        <v>235</v>
      </c>
      <c r="E77" s="155" t="s">
        <v>787</v>
      </c>
    </row>
    <row r="78" spans="1:5" x14ac:dyDescent="0.35">
      <c r="A78" s="155">
        <v>90719500</v>
      </c>
      <c r="B78" s="155" t="s">
        <v>975</v>
      </c>
      <c r="C78" s="158">
        <v>43696</v>
      </c>
      <c r="D78" s="155" t="s">
        <v>235</v>
      </c>
      <c r="E78" s="155" t="s">
        <v>976</v>
      </c>
    </row>
    <row r="79" spans="1:5" x14ac:dyDescent="0.35">
      <c r="A79" s="155">
        <v>90719506</v>
      </c>
      <c r="B79" s="155" t="s">
        <v>977</v>
      </c>
      <c r="C79" s="158">
        <v>43738</v>
      </c>
      <c r="D79" s="155" t="s">
        <v>235</v>
      </c>
      <c r="E79" s="155" t="s">
        <v>744</v>
      </c>
    </row>
    <row r="80" spans="1:5" x14ac:dyDescent="0.35">
      <c r="A80" s="155">
        <v>90719511</v>
      </c>
      <c r="B80" s="155" t="s">
        <v>978</v>
      </c>
      <c r="C80" s="158">
        <v>43752</v>
      </c>
      <c r="D80" s="155" t="s">
        <v>874</v>
      </c>
      <c r="E80" s="155" t="s">
        <v>240</v>
      </c>
    </row>
    <row r="81" spans="1:5" x14ac:dyDescent="0.35">
      <c r="A81" s="155">
        <v>90719513</v>
      </c>
      <c r="B81" s="155" t="s">
        <v>979</v>
      </c>
      <c r="C81" s="158">
        <v>43752</v>
      </c>
      <c r="D81" s="155" t="s">
        <v>361</v>
      </c>
      <c r="E81" s="155" t="s">
        <v>240</v>
      </c>
    </row>
    <row r="82" spans="1:5" x14ac:dyDescent="0.35">
      <c r="A82" s="155">
        <v>90719514</v>
      </c>
      <c r="B82" s="155" t="s">
        <v>980</v>
      </c>
      <c r="C82" s="158">
        <v>43760</v>
      </c>
      <c r="D82" s="155" t="s">
        <v>543</v>
      </c>
      <c r="E82" s="155" t="s">
        <v>240</v>
      </c>
    </row>
    <row r="83" spans="1:5" x14ac:dyDescent="0.35">
      <c r="A83" s="155">
        <v>90719515</v>
      </c>
      <c r="B83" s="155" t="s">
        <v>981</v>
      </c>
      <c r="C83" s="158">
        <v>43761</v>
      </c>
      <c r="D83" s="155" t="s">
        <v>235</v>
      </c>
      <c r="E83" s="155" t="s">
        <v>240</v>
      </c>
    </row>
    <row r="84" spans="1:5" x14ac:dyDescent="0.35">
      <c r="A84" s="155">
        <v>90719518</v>
      </c>
      <c r="B84" s="155" t="s">
        <v>982</v>
      </c>
      <c r="C84" s="158">
        <v>43767</v>
      </c>
      <c r="D84" s="155" t="s">
        <v>538</v>
      </c>
      <c r="E84" s="155" t="s">
        <v>240</v>
      </c>
    </row>
    <row r="85" spans="1:5" x14ac:dyDescent="0.35">
      <c r="A85" s="155">
        <v>90719521</v>
      </c>
      <c r="B85" s="155" t="s">
        <v>983</v>
      </c>
      <c r="C85" s="158">
        <v>43780</v>
      </c>
      <c r="D85" s="155" t="s">
        <v>592</v>
      </c>
      <c r="E85" s="155" t="s">
        <v>350</v>
      </c>
    </row>
    <row r="86" spans="1:5" x14ac:dyDescent="0.35">
      <c r="A86" s="155">
        <v>90719522</v>
      </c>
      <c r="B86" s="155" t="s">
        <v>984</v>
      </c>
      <c r="C86" s="158">
        <v>43789</v>
      </c>
      <c r="D86" s="155" t="s">
        <v>311</v>
      </c>
      <c r="E86" s="155" t="s">
        <v>350</v>
      </c>
    </row>
    <row r="87" spans="1:5" x14ac:dyDescent="0.35">
      <c r="A87" s="155">
        <v>90719525</v>
      </c>
      <c r="B87" s="155" t="s">
        <v>985</v>
      </c>
      <c r="C87" s="158">
        <v>43808</v>
      </c>
      <c r="D87" s="155" t="s">
        <v>378</v>
      </c>
      <c r="E87" s="155" t="s">
        <v>347</v>
      </c>
    </row>
    <row r="88" spans="1:5" x14ac:dyDescent="0.35">
      <c r="A88" s="155">
        <v>90719526</v>
      </c>
      <c r="B88" s="155" t="s">
        <v>986</v>
      </c>
      <c r="C88" s="158">
        <v>43759</v>
      </c>
      <c r="D88" s="155" t="s">
        <v>235</v>
      </c>
      <c r="E88" s="155" t="s">
        <v>240</v>
      </c>
    </row>
    <row r="89" spans="1:5" x14ac:dyDescent="0.35">
      <c r="A89" s="155">
        <v>90719530</v>
      </c>
      <c r="B89" s="155" t="s">
        <v>987</v>
      </c>
      <c r="C89" s="158">
        <v>43800</v>
      </c>
      <c r="D89" s="155" t="s">
        <v>235</v>
      </c>
      <c r="E89" s="155" t="s">
        <v>347</v>
      </c>
    </row>
    <row r="90" spans="1:5" x14ac:dyDescent="0.35">
      <c r="A90" s="155">
        <v>90719534</v>
      </c>
      <c r="B90" s="155" t="s">
        <v>988</v>
      </c>
      <c r="C90" s="158">
        <v>43800</v>
      </c>
      <c r="D90" s="155" t="s">
        <v>235</v>
      </c>
      <c r="E90" s="155" t="s">
        <v>347</v>
      </c>
    </row>
    <row r="91" spans="1:5" x14ac:dyDescent="0.35">
      <c r="A91" s="155">
        <v>90719535</v>
      </c>
      <c r="B91" s="155" t="s">
        <v>989</v>
      </c>
      <c r="C91" s="158">
        <v>43800</v>
      </c>
      <c r="D91" s="155" t="s">
        <v>235</v>
      </c>
      <c r="E91" s="155" t="s">
        <v>347</v>
      </c>
    </row>
    <row r="92" spans="1:5" x14ac:dyDescent="0.35">
      <c r="A92" s="155">
        <v>90719536</v>
      </c>
      <c r="B92" s="155" t="s">
        <v>990</v>
      </c>
      <c r="C92" s="158">
        <v>43864</v>
      </c>
      <c r="D92" s="155" t="s">
        <v>266</v>
      </c>
      <c r="E92" s="155" t="s">
        <v>991</v>
      </c>
    </row>
    <row r="93" spans="1:5" x14ac:dyDescent="0.35">
      <c r="A93" s="155">
        <v>90719551</v>
      </c>
      <c r="B93" s="155" t="s">
        <v>992</v>
      </c>
      <c r="C93" s="158">
        <v>43983</v>
      </c>
      <c r="D93" s="155" t="s">
        <v>235</v>
      </c>
      <c r="E93" s="155" t="s">
        <v>390</v>
      </c>
    </row>
    <row r="94" spans="1:5" x14ac:dyDescent="0.35">
      <c r="A94" s="155">
        <v>90719554</v>
      </c>
      <c r="B94" s="155" t="s">
        <v>993</v>
      </c>
      <c r="C94" s="158">
        <v>43850</v>
      </c>
      <c r="D94" s="155" t="s">
        <v>428</v>
      </c>
      <c r="E94" s="155" t="s">
        <v>918</v>
      </c>
    </row>
    <row r="95" spans="1:5" x14ac:dyDescent="0.35">
      <c r="A95" s="155">
        <v>90719555</v>
      </c>
      <c r="B95" s="155" t="s">
        <v>994</v>
      </c>
      <c r="C95" s="158">
        <v>43983</v>
      </c>
      <c r="D95" s="155" t="s">
        <v>235</v>
      </c>
      <c r="E95" s="155" t="s">
        <v>390</v>
      </c>
    </row>
    <row r="96" spans="1:5" x14ac:dyDescent="0.35">
      <c r="A96" s="155">
        <v>90719557</v>
      </c>
      <c r="B96" s="155" t="s">
        <v>995</v>
      </c>
      <c r="C96" s="158">
        <v>43983</v>
      </c>
      <c r="D96" s="155" t="s">
        <v>235</v>
      </c>
      <c r="E96" s="155" t="s">
        <v>390</v>
      </c>
    </row>
    <row r="97" spans="1:5" x14ac:dyDescent="0.35">
      <c r="A97" s="155">
        <v>90719559</v>
      </c>
      <c r="B97" s="155" t="s">
        <v>996</v>
      </c>
      <c r="C97" s="158">
        <v>43983</v>
      </c>
      <c r="D97" s="155" t="s">
        <v>235</v>
      </c>
      <c r="E97" s="155" t="s">
        <v>390</v>
      </c>
    </row>
    <row r="98" spans="1:5" x14ac:dyDescent="0.35">
      <c r="A98" s="155">
        <v>90719563</v>
      </c>
      <c r="B98" s="155" t="s">
        <v>997</v>
      </c>
      <c r="C98" s="158">
        <v>43983</v>
      </c>
      <c r="D98" s="155" t="s">
        <v>235</v>
      </c>
      <c r="E98" s="155" t="s">
        <v>390</v>
      </c>
    </row>
    <row r="99" spans="1:5" x14ac:dyDescent="0.35">
      <c r="A99" s="155">
        <v>90719569</v>
      </c>
      <c r="B99" s="155" t="s">
        <v>998</v>
      </c>
      <c r="C99" s="158">
        <v>44046</v>
      </c>
      <c r="D99" s="155" t="s">
        <v>871</v>
      </c>
      <c r="E99" s="155" t="s">
        <v>352</v>
      </c>
    </row>
    <row r="100" spans="1:5" x14ac:dyDescent="0.35">
      <c r="A100" s="155">
        <v>90719576</v>
      </c>
      <c r="B100" s="155" t="s">
        <v>999</v>
      </c>
      <c r="C100" s="158">
        <v>44070</v>
      </c>
      <c r="D100" s="155" t="s">
        <v>594</v>
      </c>
      <c r="E100" s="155" t="s">
        <v>352</v>
      </c>
    </row>
    <row r="101" spans="1:5" x14ac:dyDescent="0.35">
      <c r="A101" s="155">
        <v>90719578</v>
      </c>
      <c r="B101" s="155" t="s">
        <v>1000</v>
      </c>
      <c r="C101" s="158">
        <v>43991</v>
      </c>
      <c r="D101" s="155" t="s">
        <v>235</v>
      </c>
      <c r="E101" s="155" t="s">
        <v>390</v>
      </c>
    </row>
    <row r="102" spans="1:5" x14ac:dyDescent="0.35">
      <c r="A102" s="155">
        <v>90719584</v>
      </c>
      <c r="B102" s="155" t="s">
        <v>1001</v>
      </c>
      <c r="C102" s="158">
        <v>44131</v>
      </c>
      <c r="D102" s="155" t="s">
        <v>235</v>
      </c>
      <c r="E102" s="155" t="s">
        <v>449</v>
      </c>
    </row>
    <row r="103" spans="1:5" x14ac:dyDescent="0.35">
      <c r="A103" s="155">
        <v>90719587</v>
      </c>
      <c r="B103" s="155" t="s">
        <v>1002</v>
      </c>
      <c r="C103" s="158" t="e">
        <v>#N/A</v>
      </c>
      <c r="D103" s="155" t="e">
        <v>#N/A</v>
      </c>
      <c r="E103" s="155" t="e">
        <v>#N/A</v>
      </c>
    </row>
    <row r="104" spans="1:5" x14ac:dyDescent="0.35">
      <c r="A104" s="155">
        <v>90719594</v>
      </c>
      <c r="B104" s="155" t="s">
        <v>1003</v>
      </c>
      <c r="C104" s="158">
        <v>44097</v>
      </c>
      <c r="D104" s="155" t="s">
        <v>235</v>
      </c>
      <c r="E104" s="155" t="s">
        <v>321</v>
      </c>
    </row>
    <row r="105" spans="1:5" x14ac:dyDescent="0.35">
      <c r="A105" s="155">
        <v>90719600</v>
      </c>
      <c r="B105" s="155" t="s">
        <v>1004</v>
      </c>
      <c r="C105" s="158">
        <v>44144</v>
      </c>
      <c r="D105" s="155" t="s">
        <v>266</v>
      </c>
      <c r="E105" s="155" t="s">
        <v>701</v>
      </c>
    </row>
    <row r="106" spans="1:5" x14ac:dyDescent="0.35">
      <c r="A106" s="155">
        <v>90719602</v>
      </c>
      <c r="B106" s="155" t="s">
        <v>1005</v>
      </c>
      <c r="C106" s="158">
        <v>44145</v>
      </c>
      <c r="D106" s="155" t="s">
        <v>587</v>
      </c>
      <c r="E106" s="155" t="s">
        <v>701</v>
      </c>
    </row>
    <row r="107" spans="1:5" x14ac:dyDescent="0.35">
      <c r="A107" s="155">
        <v>90719604</v>
      </c>
      <c r="B107" s="155" t="s">
        <v>1006</v>
      </c>
      <c r="C107" s="158">
        <v>44153</v>
      </c>
      <c r="D107" s="155" t="s">
        <v>235</v>
      </c>
      <c r="E107" s="155" t="s">
        <v>701</v>
      </c>
    </row>
    <row r="108" spans="1:5" x14ac:dyDescent="0.35">
      <c r="A108" s="155">
        <v>90719605</v>
      </c>
      <c r="B108" s="155" t="s">
        <v>1007</v>
      </c>
      <c r="C108" s="158">
        <v>44200</v>
      </c>
      <c r="D108" s="155" t="s">
        <v>871</v>
      </c>
      <c r="E108" s="155" t="s">
        <v>1008</v>
      </c>
    </row>
    <row r="109" spans="1:5" x14ac:dyDescent="0.35">
      <c r="A109" s="155">
        <v>90719614</v>
      </c>
      <c r="B109" s="155" t="s">
        <v>1009</v>
      </c>
      <c r="C109" s="158">
        <v>44186</v>
      </c>
      <c r="D109" s="155" t="s">
        <v>235</v>
      </c>
      <c r="E109" s="155" t="s">
        <v>530</v>
      </c>
    </row>
    <row r="110" spans="1:5" x14ac:dyDescent="0.35">
      <c r="A110" s="155">
        <v>90719617</v>
      </c>
      <c r="B110" s="155" t="s">
        <v>1010</v>
      </c>
      <c r="C110" s="158">
        <v>44067</v>
      </c>
      <c r="D110" s="155" t="s">
        <v>235</v>
      </c>
      <c r="E110" s="155" t="s">
        <v>352</v>
      </c>
    </row>
    <row r="111" spans="1:5" x14ac:dyDescent="0.35">
      <c r="A111" s="155">
        <v>90719621</v>
      </c>
      <c r="B111" s="155" t="s">
        <v>1011</v>
      </c>
      <c r="C111" s="158">
        <v>44249</v>
      </c>
      <c r="D111" s="155" t="s">
        <v>235</v>
      </c>
      <c r="E111" s="155" t="s">
        <v>895</v>
      </c>
    </row>
    <row r="112" spans="1:5" x14ac:dyDescent="0.35">
      <c r="A112" s="155">
        <v>90719622</v>
      </c>
      <c r="B112" s="155" t="s">
        <v>1012</v>
      </c>
      <c r="C112" s="158">
        <v>44270</v>
      </c>
      <c r="D112" s="155" t="s">
        <v>235</v>
      </c>
      <c r="E112" s="155" t="s">
        <v>653</v>
      </c>
    </row>
    <row r="113" spans="1:5" x14ac:dyDescent="0.35">
      <c r="A113" s="155">
        <v>90719627</v>
      </c>
      <c r="B113" s="155" t="s">
        <v>1013</v>
      </c>
      <c r="C113" s="158">
        <v>44249</v>
      </c>
      <c r="D113" s="155" t="s">
        <v>235</v>
      </c>
      <c r="E113" s="155" t="s">
        <v>895</v>
      </c>
    </row>
    <row r="114" spans="1:5" x14ac:dyDescent="0.35">
      <c r="A114" s="155">
        <v>90719628</v>
      </c>
      <c r="B114" s="155" t="s">
        <v>1014</v>
      </c>
      <c r="C114" s="158">
        <v>44256</v>
      </c>
      <c r="D114" s="155" t="s">
        <v>594</v>
      </c>
      <c r="E114" s="155" t="s">
        <v>653</v>
      </c>
    </row>
    <row r="115" spans="1:5" x14ac:dyDescent="0.35">
      <c r="A115" s="155">
        <v>90719629</v>
      </c>
      <c r="B115" s="155" t="s">
        <v>1015</v>
      </c>
      <c r="C115" s="158" t="e">
        <v>#N/A</v>
      </c>
      <c r="D115" s="155" t="e">
        <v>#N/A</v>
      </c>
      <c r="E115" s="155" t="e">
        <v>#N/A</v>
      </c>
    </row>
    <row r="116" spans="1:5" x14ac:dyDescent="0.35">
      <c r="A116" s="155">
        <v>90719633</v>
      </c>
      <c r="B116" s="155" t="s">
        <v>1016</v>
      </c>
      <c r="C116" s="158">
        <v>44256</v>
      </c>
      <c r="D116" s="155" t="s">
        <v>795</v>
      </c>
      <c r="E116" s="155" t="s">
        <v>653</v>
      </c>
    </row>
    <row r="117" spans="1:5" x14ac:dyDescent="0.35">
      <c r="A117" s="155">
        <v>90719637</v>
      </c>
      <c r="B117" s="155" t="s">
        <v>1017</v>
      </c>
      <c r="C117" s="158">
        <v>44137</v>
      </c>
      <c r="D117" s="155" t="s">
        <v>235</v>
      </c>
      <c r="E117" s="155" t="s">
        <v>701</v>
      </c>
    </row>
    <row r="118" spans="1:5" x14ac:dyDescent="0.35">
      <c r="A118" s="155">
        <v>90719641</v>
      </c>
      <c r="B118" s="155" t="s">
        <v>1018</v>
      </c>
      <c r="C118" s="158">
        <v>44279</v>
      </c>
      <c r="D118" s="155" t="s">
        <v>235</v>
      </c>
      <c r="E118" s="155" t="s">
        <v>653</v>
      </c>
    </row>
    <row r="119" spans="1:5" x14ac:dyDescent="0.35">
      <c r="A119" s="155">
        <v>90719643</v>
      </c>
      <c r="B119" s="155" t="s">
        <v>1019</v>
      </c>
      <c r="C119" s="158">
        <v>44291</v>
      </c>
      <c r="D119" s="155" t="s">
        <v>235</v>
      </c>
      <c r="E119" s="155" t="s">
        <v>611</v>
      </c>
    </row>
    <row r="120" spans="1:5" x14ac:dyDescent="0.35">
      <c r="A120" s="155">
        <v>90719649</v>
      </c>
      <c r="B120" s="155" t="s">
        <v>1020</v>
      </c>
      <c r="C120" s="158">
        <v>44348</v>
      </c>
      <c r="D120" s="155" t="s">
        <v>543</v>
      </c>
      <c r="E120" s="155" t="s">
        <v>444</v>
      </c>
    </row>
    <row r="121" spans="1:5" x14ac:dyDescent="0.35">
      <c r="A121" s="155">
        <v>90719651</v>
      </c>
      <c r="B121" s="155" t="s">
        <v>679</v>
      </c>
      <c r="C121" s="158">
        <v>44284</v>
      </c>
      <c r="D121" s="155" t="s">
        <v>356</v>
      </c>
      <c r="E121" s="155" t="s">
        <v>653</v>
      </c>
    </row>
    <row r="122" spans="1:5" x14ac:dyDescent="0.35">
      <c r="A122" s="155">
        <v>90719653</v>
      </c>
      <c r="B122" s="155" t="s">
        <v>1021</v>
      </c>
      <c r="C122" s="158">
        <v>44354</v>
      </c>
      <c r="D122" s="155" t="s">
        <v>235</v>
      </c>
      <c r="E122" s="155" t="s">
        <v>444</v>
      </c>
    </row>
    <row r="123" spans="1:5" x14ac:dyDescent="0.35">
      <c r="A123" s="155">
        <v>90719657</v>
      </c>
      <c r="B123" s="155" t="s">
        <v>1022</v>
      </c>
      <c r="C123" s="158">
        <v>44348</v>
      </c>
      <c r="D123" s="155" t="s">
        <v>235</v>
      </c>
      <c r="E123" s="155" t="s">
        <v>444</v>
      </c>
    </row>
    <row r="124" spans="1:5" x14ac:dyDescent="0.35">
      <c r="A124" s="155">
        <v>90719664</v>
      </c>
      <c r="B124" s="155" t="s">
        <v>1023</v>
      </c>
      <c r="C124" s="158">
        <v>44232</v>
      </c>
      <c r="D124" s="155" t="s">
        <v>356</v>
      </c>
      <c r="E124" s="155" t="s">
        <v>895</v>
      </c>
    </row>
    <row r="125" spans="1:5" x14ac:dyDescent="0.35">
      <c r="A125" s="155">
        <v>90719666</v>
      </c>
      <c r="B125" s="155" t="s">
        <v>1024</v>
      </c>
      <c r="C125" s="158">
        <v>44298</v>
      </c>
      <c r="D125" s="155" t="s">
        <v>235</v>
      </c>
      <c r="E125" s="155" t="s">
        <v>611</v>
      </c>
    </row>
    <row r="126" spans="1:5" x14ac:dyDescent="0.35">
      <c r="A126" s="155">
        <v>90719667</v>
      </c>
      <c r="B126" s="155" t="s">
        <v>1025</v>
      </c>
      <c r="C126" s="158">
        <v>44348</v>
      </c>
      <c r="D126" s="155" t="s">
        <v>235</v>
      </c>
      <c r="E126" s="155" t="s">
        <v>444</v>
      </c>
    </row>
    <row r="127" spans="1:5" x14ac:dyDescent="0.35">
      <c r="A127" s="155">
        <v>90719672</v>
      </c>
      <c r="B127" s="155" t="s">
        <v>1026</v>
      </c>
      <c r="C127" s="158">
        <v>44349</v>
      </c>
      <c r="D127" s="155" t="s">
        <v>235</v>
      </c>
      <c r="E127" s="155" t="s">
        <v>444</v>
      </c>
    </row>
    <row r="128" spans="1:5" x14ac:dyDescent="0.35">
      <c r="A128" s="155">
        <v>90719674</v>
      </c>
      <c r="B128" s="155" t="s">
        <v>1027</v>
      </c>
      <c r="C128" s="158">
        <v>44410</v>
      </c>
      <c r="D128" s="155" t="s">
        <v>235</v>
      </c>
      <c r="E128" s="155" t="s">
        <v>370</v>
      </c>
    </row>
    <row r="129" spans="1:5" x14ac:dyDescent="0.35">
      <c r="A129" s="155">
        <v>90719677</v>
      </c>
      <c r="B129" s="155" t="s">
        <v>1028</v>
      </c>
      <c r="C129" s="158">
        <v>44410</v>
      </c>
      <c r="D129" s="155" t="s">
        <v>526</v>
      </c>
      <c r="E129" s="155" t="s">
        <v>370</v>
      </c>
    </row>
    <row r="130" spans="1:5" x14ac:dyDescent="0.35">
      <c r="A130" s="155">
        <v>90719678</v>
      </c>
      <c r="B130" s="155" t="s">
        <v>1029</v>
      </c>
      <c r="C130" s="158">
        <v>44410</v>
      </c>
      <c r="D130" s="155" t="s">
        <v>235</v>
      </c>
      <c r="E130" s="155" t="s">
        <v>370</v>
      </c>
    </row>
    <row r="131" spans="1:5" x14ac:dyDescent="0.35">
      <c r="A131" s="155">
        <v>90719708</v>
      </c>
      <c r="B131" s="155" t="s">
        <v>1030</v>
      </c>
      <c r="C131" s="158">
        <v>44494</v>
      </c>
      <c r="D131" s="155" t="s">
        <v>235</v>
      </c>
      <c r="E131" s="155" t="s">
        <v>367</v>
      </c>
    </row>
    <row r="132" spans="1:5" x14ac:dyDescent="0.35">
      <c r="A132" s="155">
        <v>90719710</v>
      </c>
      <c r="B132" s="155" t="s">
        <v>1031</v>
      </c>
      <c r="C132" s="158">
        <v>44447</v>
      </c>
      <c r="D132" s="155" t="s">
        <v>235</v>
      </c>
      <c r="E132" s="155" t="s">
        <v>490</v>
      </c>
    </row>
    <row r="133" spans="1:5" x14ac:dyDescent="0.35">
      <c r="A133" s="155">
        <v>90719713</v>
      </c>
      <c r="B133" s="155" t="s">
        <v>1032</v>
      </c>
      <c r="C133" s="158">
        <v>44473</v>
      </c>
      <c r="D133" s="155" t="s">
        <v>526</v>
      </c>
      <c r="E133" s="155" t="s">
        <v>367</v>
      </c>
    </row>
    <row r="134" spans="1:5" x14ac:dyDescent="0.35">
      <c r="A134" s="155">
        <v>90719714</v>
      </c>
      <c r="B134" s="155" t="s">
        <v>1033</v>
      </c>
      <c r="C134" s="158">
        <v>44452</v>
      </c>
      <c r="D134" s="155" t="s">
        <v>378</v>
      </c>
      <c r="E134" s="155" t="s">
        <v>490</v>
      </c>
    </row>
    <row r="135" spans="1:5" x14ac:dyDescent="0.35">
      <c r="A135" s="155">
        <v>90719715</v>
      </c>
      <c r="B135" s="155" t="s">
        <v>1034</v>
      </c>
      <c r="C135" s="158">
        <v>44473</v>
      </c>
      <c r="D135" s="155" t="s">
        <v>235</v>
      </c>
      <c r="E135" s="155" t="s">
        <v>367</v>
      </c>
    </row>
    <row r="136" spans="1:5" x14ac:dyDescent="0.35">
      <c r="A136" s="155">
        <v>90719717</v>
      </c>
      <c r="B136" s="155" t="s">
        <v>1035</v>
      </c>
      <c r="C136" s="158">
        <v>44494</v>
      </c>
      <c r="D136" s="155" t="s">
        <v>235</v>
      </c>
      <c r="E136" s="155" t="s">
        <v>367</v>
      </c>
    </row>
    <row r="137" spans="1:5" x14ac:dyDescent="0.35">
      <c r="A137" s="155">
        <v>90719718</v>
      </c>
      <c r="B137" s="155" t="s">
        <v>1036</v>
      </c>
      <c r="C137" s="158">
        <v>44522</v>
      </c>
      <c r="D137" s="155" t="s">
        <v>235</v>
      </c>
      <c r="E137" s="155" t="s">
        <v>635</v>
      </c>
    </row>
    <row r="138" spans="1:5" x14ac:dyDescent="0.35">
      <c r="A138" s="155">
        <v>90719724</v>
      </c>
      <c r="B138" s="155" t="s">
        <v>1037</v>
      </c>
      <c r="C138" s="158">
        <v>44494</v>
      </c>
      <c r="D138" s="155" t="s">
        <v>428</v>
      </c>
      <c r="E138" s="155" t="s">
        <v>367</v>
      </c>
    </row>
    <row r="139" spans="1:5" x14ac:dyDescent="0.35">
      <c r="A139" s="155">
        <v>90719730</v>
      </c>
      <c r="B139" s="155" t="s">
        <v>1038</v>
      </c>
      <c r="C139" s="158">
        <v>44515</v>
      </c>
      <c r="D139" s="155" t="s">
        <v>266</v>
      </c>
      <c r="E139" s="155" t="s">
        <v>635</v>
      </c>
    </row>
    <row r="140" spans="1:5" x14ac:dyDescent="0.35">
      <c r="A140" s="155">
        <v>90719734</v>
      </c>
      <c r="B140" s="155" t="s">
        <v>1039</v>
      </c>
      <c r="C140" s="158">
        <v>44550</v>
      </c>
      <c r="D140" s="155" t="s">
        <v>235</v>
      </c>
      <c r="E140" s="155" t="s">
        <v>518</v>
      </c>
    </row>
    <row r="141" spans="1:5" x14ac:dyDescent="0.35">
      <c r="A141" s="155">
        <v>90719735</v>
      </c>
      <c r="B141" s="155" t="s">
        <v>1040</v>
      </c>
      <c r="C141" s="158">
        <v>44552</v>
      </c>
      <c r="D141" s="155" t="s">
        <v>235</v>
      </c>
      <c r="E141" s="155" t="s">
        <v>518</v>
      </c>
    </row>
    <row r="142" spans="1:5" x14ac:dyDescent="0.35">
      <c r="A142" s="155">
        <v>90719744</v>
      </c>
      <c r="B142" s="155" t="s">
        <v>1041</v>
      </c>
      <c r="C142" s="158">
        <v>44348</v>
      </c>
      <c r="D142" s="155" t="s">
        <v>235</v>
      </c>
      <c r="E142" s="155" t="s">
        <v>444</v>
      </c>
    </row>
    <row r="143" spans="1:5" x14ac:dyDescent="0.35">
      <c r="A143" s="155">
        <v>90719749</v>
      </c>
      <c r="B143" s="155" t="s">
        <v>1042</v>
      </c>
      <c r="C143" s="158">
        <v>44557</v>
      </c>
      <c r="D143" s="155" t="s">
        <v>235</v>
      </c>
      <c r="E143" s="155" t="s">
        <v>518</v>
      </c>
    </row>
    <row r="144" spans="1:5" x14ac:dyDescent="0.35">
      <c r="A144" s="155">
        <v>90719751</v>
      </c>
      <c r="B144" s="155" t="s">
        <v>1043</v>
      </c>
      <c r="C144" s="158">
        <v>44536</v>
      </c>
      <c r="D144" s="155" t="s">
        <v>235</v>
      </c>
      <c r="E144" s="155" t="s">
        <v>518</v>
      </c>
    </row>
    <row r="145" spans="1:5" x14ac:dyDescent="0.35">
      <c r="A145" s="155">
        <v>90719753</v>
      </c>
      <c r="B145" s="155" t="s">
        <v>1044</v>
      </c>
      <c r="C145" s="158">
        <v>44571</v>
      </c>
      <c r="D145" s="155" t="s">
        <v>286</v>
      </c>
      <c r="E145" s="155" t="s">
        <v>281</v>
      </c>
    </row>
    <row r="146" spans="1:5" x14ac:dyDescent="0.35">
      <c r="A146" s="155">
        <v>90719769</v>
      </c>
      <c r="B146" s="155" t="s">
        <v>1045</v>
      </c>
      <c r="C146" s="158">
        <v>44690</v>
      </c>
      <c r="D146" s="155" t="s">
        <v>531</v>
      </c>
      <c r="E146" s="155" t="s">
        <v>1046</v>
      </c>
    </row>
    <row r="147" spans="1:5" x14ac:dyDescent="0.35">
      <c r="A147" s="155">
        <v>90719777</v>
      </c>
      <c r="B147" s="155" t="s">
        <v>1047</v>
      </c>
      <c r="C147" s="158">
        <v>44621</v>
      </c>
      <c r="D147" s="155" t="s">
        <v>470</v>
      </c>
      <c r="E147" s="155" t="s">
        <v>277</v>
      </c>
    </row>
    <row r="148" spans="1:5" x14ac:dyDescent="0.35">
      <c r="A148" s="159">
        <v>90719778</v>
      </c>
      <c r="B148" s="159" t="s">
        <v>1048</v>
      </c>
      <c r="C148" s="158">
        <v>44621</v>
      </c>
      <c r="D148" s="155" t="s">
        <v>325</v>
      </c>
      <c r="E148" s="155" t="s">
        <v>277</v>
      </c>
    </row>
    <row r="149" spans="1:5" x14ac:dyDescent="0.35">
      <c r="A149" s="155">
        <v>90719782</v>
      </c>
      <c r="B149" s="155" t="s">
        <v>1049</v>
      </c>
      <c r="C149" s="158">
        <v>44419</v>
      </c>
      <c r="D149" s="155" t="s">
        <v>235</v>
      </c>
      <c r="E149" s="155" t="s">
        <v>370</v>
      </c>
    </row>
    <row r="150" spans="1:5" x14ac:dyDescent="0.35">
      <c r="A150" s="155">
        <v>90719784</v>
      </c>
      <c r="B150" s="155" t="s">
        <v>1050</v>
      </c>
      <c r="C150" s="158">
        <v>44718</v>
      </c>
      <c r="D150" s="155" t="s">
        <v>235</v>
      </c>
      <c r="E150" s="155" t="s">
        <v>564</v>
      </c>
    </row>
    <row r="151" spans="1:5" x14ac:dyDescent="0.35">
      <c r="A151" s="155">
        <v>90719787</v>
      </c>
      <c r="B151" s="155" t="s">
        <v>1051</v>
      </c>
      <c r="C151" s="158">
        <v>44725</v>
      </c>
      <c r="D151" s="155" t="s">
        <v>235</v>
      </c>
      <c r="E151" s="155" t="s">
        <v>564</v>
      </c>
    </row>
    <row r="152" spans="1:5" x14ac:dyDescent="0.35">
      <c r="A152" s="155">
        <v>90719791</v>
      </c>
      <c r="B152" s="155" t="s">
        <v>1052</v>
      </c>
      <c r="C152" s="158">
        <v>44713</v>
      </c>
      <c r="D152" s="155" t="s">
        <v>235</v>
      </c>
      <c r="E152" s="155" t="s">
        <v>564</v>
      </c>
    </row>
    <row r="153" spans="1:5" x14ac:dyDescent="0.35">
      <c r="A153" s="155">
        <v>90719796</v>
      </c>
      <c r="B153" s="155" t="s">
        <v>1053</v>
      </c>
      <c r="C153" s="158">
        <v>44424</v>
      </c>
      <c r="D153" s="155" t="s">
        <v>235</v>
      </c>
      <c r="E153" s="155" t="s">
        <v>370</v>
      </c>
    </row>
    <row r="154" spans="1:5" x14ac:dyDescent="0.35">
      <c r="A154" s="155">
        <v>90719798</v>
      </c>
      <c r="B154" s="155" t="s">
        <v>1054</v>
      </c>
      <c r="C154" s="158">
        <v>44739</v>
      </c>
      <c r="D154" s="155" t="s">
        <v>235</v>
      </c>
      <c r="E154" s="155" t="s">
        <v>564</v>
      </c>
    </row>
    <row r="155" spans="1:5" x14ac:dyDescent="0.35">
      <c r="A155" s="155">
        <v>90719805</v>
      </c>
      <c r="B155" s="155" t="s">
        <v>1055</v>
      </c>
      <c r="C155" s="158">
        <v>44713</v>
      </c>
      <c r="D155" s="155" t="s">
        <v>235</v>
      </c>
      <c r="E155" s="155" t="s">
        <v>564</v>
      </c>
    </row>
    <row r="156" spans="1:5" x14ac:dyDescent="0.35">
      <c r="A156" s="155">
        <v>90719813</v>
      </c>
      <c r="B156" s="155" t="s">
        <v>1056</v>
      </c>
      <c r="C156" s="158">
        <v>44718</v>
      </c>
      <c r="D156" s="155" t="s">
        <v>235</v>
      </c>
      <c r="E156" s="155" t="s">
        <v>564</v>
      </c>
    </row>
    <row r="157" spans="1:5" x14ac:dyDescent="0.35">
      <c r="A157" s="155">
        <v>90719816</v>
      </c>
      <c r="B157" s="155" t="s">
        <v>799</v>
      </c>
      <c r="C157" s="158">
        <v>44725</v>
      </c>
      <c r="D157" s="155" t="s">
        <v>235</v>
      </c>
      <c r="E157" s="155" t="s">
        <v>564</v>
      </c>
    </row>
    <row r="158" spans="1:5" x14ac:dyDescent="0.35">
      <c r="A158" s="155">
        <v>90719817</v>
      </c>
      <c r="B158" s="155" t="s">
        <v>1057</v>
      </c>
      <c r="C158" s="158">
        <v>44774</v>
      </c>
      <c r="D158" s="155" t="s">
        <v>235</v>
      </c>
      <c r="E158" s="155" t="s">
        <v>271</v>
      </c>
    </row>
    <row r="159" spans="1:5" x14ac:dyDescent="0.35">
      <c r="A159" s="155">
        <v>90719819</v>
      </c>
      <c r="B159" s="155" t="s">
        <v>1058</v>
      </c>
      <c r="C159" s="158">
        <v>44732</v>
      </c>
      <c r="D159" s="155" t="s">
        <v>235</v>
      </c>
      <c r="E159" s="155" t="s">
        <v>564</v>
      </c>
    </row>
    <row r="160" spans="1:5" x14ac:dyDescent="0.35">
      <c r="A160" s="155">
        <v>90719826</v>
      </c>
      <c r="B160" s="155" t="s">
        <v>1059</v>
      </c>
      <c r="C160" s="158">
        <v>44739</v>
      </c>
      <c r="D160" s="155" t="s">
        <v>235</v>
      </c>
      <c r="E160" s="155" t="s">
        <v>564</v>
      </c>
    </row>
    <row r="161" spans="1:5" x14ac:dyDescent="0.35">
      <c r="A161" s="155">
        <v>90719830</v>
      </c>
      <c r="B161" s="155" t="s">
        <v>1060</v>
      </c>
      <c r="C161" s="158">
        <v>44447</v>
      </c>
      <c r="D161" s="155" t="s">
        <v>235</v>
      </c>
      <c r="E161" s="155" t="s">
        <v>490</v>
      </c>
    </row>
    <row r="162" spans="1:5" x14ac:dyDescent="0.35">
      <c r="A162" s="155">
        <v>90719832</v>
      </c>
      <c r="B162" s="155" t="s">
        <v>1061</v>
      </c>
      <c r="C162" s="158">
        <v>44447</v>
      </c>
      <c r="D162" s="155" t="s">
        <v>235</v>
      </c>
      <c r="E162" s="155" t="s">
        <v>490</v>
      </c>
    </row>
    <row r="163" spans="1:5" x14ac:dyDescent="0.35">
      <c r="A163" s="155">
        <v>90719837</v>
      </c>
      <c r="B163" s="155" t="s">
        <v>1062</v>
      </c>
      <c r="C163" s="158">
        <v>44809</v>
      </c>
      <c r="D163" s="155" t="s">
        <v>587</v>
      </c>
      <c r="E163" s="155" t="s">
        <v>257</v>
      </c>
    </row>
    <row r="164" spans="1:5" x14ac:dyDescent="0.35">
      <c r="A164" s="155">
        <v>90719838</v>
      </c>
      <c r="B164" s="155" t="s">
        <v>1063</v>
      </c>
      <c r="C164" s="158">
        <v>44739</v>
      </c>
      <c r="D164" s="155" t="s">
        <v>235</v>
      </c>
      <c r="E164" s="155" t="s">
        <v>564</v>
      </c>
    </row>
    <row r="165" spans="1:5" x14ac:dyDescent="0.35">
      <c r="A165" s="155">
        <v>90719847</v>
      </c>
      <c r="B165" s="155" t="s">
        <v>1064</v>
      </c>
      <c r="C165" s="158">
        <v>44746</v>
      </c>
      <c r="D165" s="155" t="s">
        <v>378</v>
      </c>
      <c r="E165" s="155" t="s">
        <v>297</v>
      </c>
    </row>
    <row r="166" spans="1:5" x14ac:dyDescent="0.35">
      <c r="A166" s="155">
        <v>90719853</v>
      </c>
      <c r="B166" s="155" t="s">
        <v>1065</v>
      </c>
      <c r="C166" s="158">
        <v>44781</v>
      </c>
      <c r="D166" s="155" t="s">
        <v>235</v>
      </c>
      <c r="E166" s="155" t="s">
        <v>271</v>
      </c>
    </row>
    <row r="167" spans="1:5" x14ac:dyDescent="0.35">
      <c r="A167" s="155">
        <v>90719859</v>
      </c>
      <c r="B167" s="155" t="s">
        <v>1066</v>
      </c>
      <c r="C167" s="158">
        <v>44781</v>
      </c>
      <c r="D167" s="155" t="s">
        <v>235</v>
      </c>
      <c r="E167" s="155" t="s">
        <v>271</v>
      </c>
    </row>
    <row r="168" spans="1:5" x14ac:dyDescent="0.35">
      <c r="A168" s="155">
        <v>90719862</v>
      </c>
      <c r="B168" s="155" t="s">
        <v>1067</v>
      </c>
      <c r="C168" s="158">
        <v>45194</v>
      </c>
      <c r="D168" s="155" t="s">
        <v>235</v>
      </c>
      <c r="E168" s="155" t="s">
        <v>1068</v>
      </c>
    </row>
    <row r="169" spans="1:5" x14ac:dyDescent="0.35">
      <c r="A169" s="155">
        <v>90719868</v>
      </c>
      <c r="B169" s="155" t="s">
        <v>403</v>
      </c>
      <c r="C169" s="158">
        <v>45205</v>
      </c>
      <c r="D169" s="155" t="s">
        <v>235</v>
      </c>
      <c r="E169" s="155" t="s">
        <v>283</v>
      </c>
    </row>
    <row r="170" spans="1:5" x14ac:dyDescent="0.35">
      <c r="A170" s="155">
        <v>90719869</v>
      </c>
      <c r="B170" s="155" t="s">
        <v>1069</v>
      </c>
      <c r="C170" s="158">
        <v>44805</v>
      </c>
      <c r="D170" s="155" t="s">
        <v>235</v>
      </c>
      <c r="E170" s="155" t="s">
        <v>257</v>
      </c>
    </row>
    <row r="171" spans="1:5" x14ac:dyDescent="0.35">
      <c r="A171" s="155">
        <v>90719871</v>
      </c>
      <c r="B171" s="155" t="s">
        <v>1070</v>
      </c>
      <c r="C171" s="158">
        <v>45189</v>
      </c>
      <c r="D171" s="155" t="s">
        <v>235</v>
      </c>
      <c r="E171" s="155" t="s">
        <v>1068</v>
      </c>
    </row>
    <row r="172" spans="1:5" x14ac:dyDescent="0.35">
      <c r="A172" s="155">
        <v>90719874</v>
      </c>
      <c r="B172" s="155" t="s">
        <v>1071</v>
      </c>
      <c r="C172" s="158">
        <v>44805</v>
      </c>
      <c r="D172" s="155" t="s">
        <v>235</v>
      </c>
      <c r="E172" s="155" t="s">
        <v>257</v>
      </c>
    </row>
    <row r="173" spans="1:5" x14ac:dyDescent="0.35">
      <c r="A173" s="155">
        <v>90719879</v>
      </c>
      <c r="B173" s="155" t="s">
        <v>1072</v>
      </c>
      <c r="C173" s="158" t="e">
        <v>#N/A</v>
      </c>
      <c r="D173" s="155" t="e">
        <v>#N/A</v>
      </c>
      <c r="E173" s="155" t="e">
        <v>#N/A</v>
      </c>
    </row>
    <row r="174" spans="1:5" x14ac:dyDescent="0.35">
      <c r="A174" s="155">
        <v>90719880</v>
      </c>
      <c r="B174" s="155" t="s">
        <v>1073</v>
      </c>
      <c r="C174" s="158">
        <v>44817</v>
      </c>
      <c r="D174" s="155" t="s">
        <v>235</v>
      </c>
      <c r="E174" s="155" t="s">
        <v>257</v>
      </c>
    </row>
    <row r="175" spans="1:5" x14ac:dyDescent="0.35">
      <c r="A175" s="155">
        <v>90719882</v>
      </c>
      <c r="B175" s="155" t="s">
        <v>1074</v>
      </c>
      <c r="C175" s="158">
        <v>44928</v>
      </c>
      <c r="D175" s="155" t="s">
        <v>235</v>
      </c>
      <c r="E175" s="155" t="s">
        <v>304</v>
      </c>
    </row>
    <row r="176" spans="1:5" x14ac:dyDescent="0.35">
      <c r="A176" s="155">
        <v>90719885</v>
      </c>
      <c r="B176" s="155" t="s">
        <v>1075</v>
      </c>
      <c r="C176" s="158">
        <v>44928</v>
      </c>
      <c r="D176" s="155" t="s">
        <v>235</v>
      </c>
      <c r="E176" s="155" t="s">
        <v>304</v>
      </c>
    </row>
    <row r="177" spans="1:5" x14ac:dyDescent="0.35">
      <c r="A177" s="155">
        <v>90719886</v>
      </c>
      <c r="B177" s="155" t="s">
        <v>1076</v>
      </c>
      <c r="C177" s="158">
        <v>45205</v>
      </c>
      <c r="D177" s="155" t="s">
        <v>235</v>
      </c>
      <c r="E177" s="155" t="s">
        <v>283</v>
      </c>
    </row>
    <row r="178" spans="1:5" x14ac:dyDescent="0.35">
      <c r="A178" s="155">
        <v>90719887</v>
      </c>
      <c r="B178" s="155" t="s">
        <v>1077</v>
      </c>
      <c r="C178" s="158">
        <v>44928</v>
      </c>
      <c r="D178" s="155" t="s">
        <v>235</v>
      </c>
      <c r="E178" s="155" t="s">
        <v>304</v>
      </c>
    </row>
    <row r="179" spans="1:5" x14ac:dyDescent="0.35">
      <c r="A179" s="155">
        <v>90719892</v>
      </c>
      <c r="B179" s="155" t="s">
        <v>1078</v>
      </c>
      <c r="C179" s="158">
        <v>44928</v>
      </c>
      <c r="D179" s="155" t="s">
        <v>235</v>
      </c>
      <c r="E179" s="155" t="s">
        <v>304</v>
      </c>
    </row>
    <row r="180" spans="1:5" x14ac:dyDescent="0.35">
      <c r="A180" s="155">
        <v>90719895</v>
      </c>
      <c r="B180" s="155" t="s">
        <v>1079</v>
      </c>
      <c r="C180" s="158">
        <v>44928</v>
      </c>
      <c r="D180" s="155" t="s">
        <v>235</v>
      </c>
      <c r="E180" s="155" t="s">
        <v>304</v>
      </c>
    </row>
    <row r="181" spans="1:5" x14ac:dyDescent="0.35">
      <c r="A181" s="155">
        <v>90719897</v>
      </c>
      <c r="B181" s="155" t="s">
        <v>1080</v>
      </c>
      <c r="C181" s="158">
        <v>44928</v>
      </c>
      <c r="D181" s="155" t="s">
        <v>235</v>
      </c>
      <c r="E181" s="155" t="s">
        <v>304</v>
      </c>
    </row>
    <row r="182" spans="1:5" x14ac:dyDescent="0.35">
      <c r="A182" s="155">
        <v>90719899</v>
      </c>
      <c r="B182" s="155" t="s">
        <v>1081</v>
      </c>
      <c r="C182" s="158">
        <v>45205</v>
      </c>
      <c r="D182" s="155" t="s">
        <v>235</v>
      </c>
      <c r="E182" s="155" t="s">
        <v>283</v>
      </c>
    </row>
    <row r="183" spans="1:5" x14ac:dyDescent="0.35">
      <c r="A183" s="155">
        <v>90719900</v>
      </c>
      <c r="B183" s="155" t="s">
        <v>1082</v>
      </c>
      <c r="C183" s="158">
        <v>45107</v>
      </c>
      <c r="D183" s="155" t="s">
        <v>235</v>
      </c>
      <c r="E183" s="155" t="s">
        <v>689</v>
      </c>
    </row>
    <row r="184" spans="1:5" x14ac:dyDescent="0.35">
      <c r="A184" s="155">
        <v>90719904</v>
      </c>
      <c r="B184" s="155" t="s">
        <v>1083</v>
      </c>
      <c r="C184" s="158">
        <v>45107</v>
      </c>
      <c r="D184" s="155" t="s">
        <v>235</v>
      </c>
      <c r="E184" s="155" t="s">
        <v>689</v>
      </c>
    </row>
    <row r="185" spans="1:5" x14ac:dyDescent="0.35">
      <c r="A185" s="155">
        <v>90719905</v>
      </c>
      <c r="B185" s="155" t="s">
        <v>1084</v>
      </c>
      <c r="C185" s="158">
        <v>45205</v>
      </c>
      <c r="D185" s="155" t="s">
        <v>235</v>
      </c>
      <c r="E185" s="155" t="s">
        <v>283</v>
      </c>
    </row>
    <row r="186" spans="1:5" x14ac:dyDescent="0.35">
      <c r="A186" s="155">
        <v>90719906</v>
      </c>
      <c r="B186" s="155" t="s">
        <v>1085</v>
      </c>
      <c r="C186" s="158">
        <v>45107</v>
      </c>
      <c r="D186" s="155" t="s">
        <v>235</v>
      </c>
      <c r="E186" s="155" t="s">
        <v>689</v>
      </c>
    </row>
    <row r="187" spans="1:5" x14ac:dyDescent="0.35">
      <c r="A187" s="155">
        <v>90719907</v>
      </c>
      <c r="B187" s="155" t="s">
        <v>1086</v>
      </c>
      <c r="C187" s="158">
        <v>45107</v>
      </c>
      <c r="D187" s="155" t="s">
        <v>235</v>
      </c>
      <c r="E187" s="155" t="s">
        <v>689</v>
      </c>
    </row>
    <row r="188" spans="1:5" x14ac:dyDescent="0.35">
      <c r="A188" s="155">
        <v>90719908</v>
      </c>
      <c r="B188" s="155" t="s">
        <v>1087</v>
      </c>
      <c r="C188" s="158">
        <v>45205</v>
      </c>
      <c r="D188" s="155" t="s">
        <v>235</v>
      </c>
      <c r="E188" s="155" t="s">
        <v>283</v>
      </c>
    </row>
    <row r="189" spans="1:5" x14ac:dyDescent="0.35">
      <c r="A189" s="155">
        <v>90719909</v>
      </c>
      <c r="B189" s="155" t="s">
        <v>1088</v>
      </c>
      <c r="C189" s="158">
        <v>45107</v>
      </c>
      <c r="D189" s="155" t="s">
        <v>235</v>
      </c>
      <c r="E189" s="155" t="s">
        <v>689</v>
      </c>
    </row>
    <row r="190" spans="1:5" x14ac:dyDescent="0.35">
      <c r="A190" s="155">
        <v>90719910</v>
      </c>
      <c r="B190" s="155" t="s">
        <v>1089</v>
      </c>
      <c r="C190" s="158">
        <v>45205</v>
      </c>
      <c r="D190" s="155" t="s">
        <v>235</v>
      </c>
      <c r="E190" s="155" t="s">
        <v>283</v>
      </c>
    </row>
    <row r="191" spans="1:5" x14ac:dyDescent="0.35">
      <c r="A191" s="155">
        <v>90719911</v>
      </c>
      <c r="B191" s="155" t="s">
        <v>1090</v>
      </c>
      <c r="C191" s="158">
        <v>45205</v>
      </c>
      <c r="D191" s="155" t="s">
        <v>235</v>
      </c>
      <c r="E191" s="155" t="s">
        <v>283</v>
      </c>
    </row>
    <row r="192" spans="1:5" x14ac:dyDescent="0.35">
      <c r="A192" s="155">
        <v>90719913</v>
      </c>
      <c r="B192" s="155" t="s">
        <v>775</v>
      </c>
      <c r="C192" s="158">
        <v>44781</v>
      </c>
      <c r="D192" s="155" t="s">
        <v>235</v>
      </c>
      <c r="E192" s="155" t="s">
        <v>271</v>
      </c>
    </row>
    <row r="193" spans="1:5" x14ac:dyDescent="0.35">
      <c r="A193" s="155">
        <v>90719916</v>
      </c>
      <c r="B193" s="155" t="s">
        <v>1091</v>
      </c>
      <c r="C193" s="158">
        <v>44774</v>
      </c>
      <c r="D193" s="155" t="s">
        <v>235</v>
      </c>
      <c r="E193" s="155" t="s">
        <v>271</v>
      </c>
    </row>
    <row r="194" spans="1:5" x14ac:dyDescent="0.35">
      <c r="A194" s="155">
        <v>90719920</v>
      </c>
      <c r="B194" s="155" t="s">
        <v>1092</v>
      </c>
      <c r="C194" s="158">
        <v>45205</v>
      </c>
      <c r="D194" s="155" t="s">
        <v>235</v>
      </c>
      <c r="E194" s="155" t="s">
        <v>283</v>
      </c>
    </row>
    <row r="195" spans="1:5" x14ac:dyDescent="0.35">
      <c r="A195" s="155">
        <v>90719921</v>
      </c>
      <c r="B195" s="155" t="s">
        <v>1093</v>
      </c>
      <c r="C195" s="158">
        <v>45205</v>
      </c>
      <c r="D195" s="155" t="s">
        <v>235</v>
      </c>
      <c r="E195" s="155" t="s">
        <v>283</v>
      </c>
    </row>
    <row r="196" spans="1:5" x14ac:dyDescent="0.35">
      <c r="A196" s="155">
        <v>90719922</v>
      </c>
      <c r="B196" s="155" t="s">
        <v>1094</v>
      </c>
      <c r="C196" s="158">
        <v>45205</v>
      </c>
      <c r="D196" s="155" t="s">
        <v>235</v>
      </c>
      <c r="E196" s="155" t="s">
        <v>283</v>
      </c>
    </row>
    <row r="197" spans="1:5" x14ac:dyDescent="0.35">
      <c r="A197" s="155">
        <v>90719923</v>
      </c>
      <c r="B197" s="155" t="s">
        <v>1095</v>
      </c>
      <c r="C197" s="158">
        <v>45205</v>
      </c>
      <c r="D197" s="155" t="s">
        <v>235</v>
      </c>
      <c r="E197" s="155" t="s">
        <v>283</v>
      </c>
    </row>
    <row r="198" spans="1:5" x14ac:dyDescent="0.35">
      <c r="A198" s="155">
        <v>90719925</v>
      </c>
      <c r="B198" s="155" t="s">
        <v>1096</v>
      </c>
      <c r="C198" s="158">
        <v>45205</v>
      </c>
      <c r="D198" s="155" t="s">
        <v>235</v>
      </c>
      <c r="E198" s="155" t="s">
        <v>283</v>
      </c>
    </row>
    <row r="199" spans="1:5" x14ac:dyDescent="0.35">
      <c r="A199" s="155">
        <v>90719926</v>
      </c>
      <c r="B199" s="155" t="s">
        <v>731</v>
      </c>
      <c r="C199" s="158">
        <v>45205</v>
      </c>
      <c r="D199" s="155" t="s">
        <v>235</v>
      </c>
      <c r="E199" s="155" t="s">
        <v>283</v>
      </c>
    </row>
    <row r="200" spans="1:5" x14ac:dyDescent="0.35">
      <c r="A200" s="155">
        <v>90719927</v>
      </c>
      <c r="B200" s="155" t="s">
        <v>1097</v>
      </c>
      <c r="C200" s="158">
        <v>45205</v>
      </c>
      <c r="D200" s="155" t="s">
        <v>235</v>
      </c>
      <c r="E200" s="155" t="s">
        <v>283</v>
      </c>
    </row>
    <row r="201" spans="1:5" x14ac:dyDescent="0.35">
      <c r="A201" s="155">
        <v>90719931</v>
      </c>
      <c r="B201" s="155" t="s">
        <v>1098</v>
      </c>
      <c r="C201" s="158">
        <v>45205</v>
      </c>
      <c r="D201" s="155" t="s">
        <v>235</v>
      </c>
      <c r="E201" s="155" t="s">
        <v>283</v>
      </c>
    </row>
    <row r="202" spans="1:5" x14ac:dyDescent="0.35">
      <c r="A202" s="155">
        <v>90719933</v>
      </c>
      <c r="B202" s="155" t="s">
        <v>1099</v>
      </c>
      <c r="C202" s="158">
        <v>45205</v>
      </c>
      <c r="D202" s="155" t="s">
        <v>235</v>
      </c>
      <c r="E202" s="155" t="s">
        <v>283</v>
      </c>
    </row>
    <row r="203" spans="1:5" x14ac:dyDescent="0.35">
      <c r="A203" s="155">
        <v>90719934</v>
      </c>
      <c r="B203" s="155" t="s">
        <v>1100</v>
      </c>
      <c r="C203" s="158">
        <v>45205</v>
      </c>
      <c r="D203" s="155" t="s">
        <v>235</v>
      </c>
      <c r="E203" s="155" t="s">
        <v>283</v>
      </c>
    </row>
    <row r="204" spans="1:5" x14ac:dyDescent="0.35">
      <c r="A204" s="155">
        <v>90719937</v>
      </c>
      <c r="B204" s="155" t="s">
        <v>1101</v>
      </c>
      <c r="C204" s="158">
        <v>45205</v>
      </c>
      <c r="D204" s="155" t="s">
        <v>235</v>
      </c>
      <c r="E204" s="155" t="s">
        <v>283</v>
      </c>
    </row>
    <row r="205" spans="1:5" x14ac:dyDescent="0.35">
      <c r="A205" s="155">
        <v>90719938</v>
      </c>
      <c r="B205" s="155" t="s">
        <v>1102</v>
      </c>
      <c r="C205" s="158">
        <v>45205</v>
      </c>
      <c r="D205" s="155" t="s">
        <v>235</v>
      </c>
      <c r="E205" s="155" t="s">
        <v>283</v>
      </c>
    </row>
    <row r="206" spans="1:5" x14ac:dyDescent="0.35">
      <c r="A206" s="155">
        <v>90719939</v>
      </c>
      <c r="B206" s="155" t="s">
        <v>1103</v>
      </c>
      <c r="C206" s="158">
        <v>45205</v>
      </c>
      <c r="D206" s="155" t="s">
        <v>235</v>
      </c>
      <c r="E206" s="155" t="s">
        <v>283</v>
      </c>
    </row>
    <row r="207" spans="1:5" x14ac:dyDescent="0.35">
      <c r="A207" s="155">
        <v>90719940</v>
      </c>
      <c r="B207" s="155" t="s">
        <v>1104</v>
      </c>
      <c r="C207" s="158">
        <v>45205</v>
      </c>
      <c r="D207" s="155" t="s">
        <v>235</v>
      </c>
      <c r="E207" s="155" t="s">
        <v>283</v>
      </c>
    </row>
    <row r="208" spans="1:5" x14ac:dyDescent="0.35">
      <c r="A208" s="155">
        <v>90719941</v>
      </c>
      <c r="B208" s="155" t="s">
        <v>1105</v>
      </c>
      <c r="C208" s="158">
        <v>45205</v>
      </c>
      <c r="D208" s="155" t="s">
        <v>235</v>
      </c>
      <c r="E208" s="155" t="s">
        <v>283</v>
      </c>
    </row>
    <row r="209" spans="1:5" x14ac:dyDescent="0.35">
      <c r="A209" s="155">
        <v>90719943</v>
      </c>
      <c r="B209" s="155" t="s">
        <v>1106</v>
      </c>
      <c r="C209" s="158">
        <v>45205</v>
      </c>
      <c r="D209" s="155" t="s">
        <v>235</v>
      </c>
      <c r="E209" s="155" t="s">
        <v>283</v>
      </c>
    </row>
    <row r="210" spans="1:5" x14ac:dyDescent="0.35">
      <c r="A210" s="155">
        <v>90719944</v>
      </c>
      <c r="B210" s="155" t="s">
        <v>1107</v>
      </c>
      <c r="C210" s="158">
        <v>45205</v>
      </c>
      <c r="D210" s="155" t="s">
        <v>235</v>
      </c>
      <c r="E210" s="155" t="s">
        <v>283</v>
      </c>
    </row>
    <row r="211" spans="1:5" x14ac:dyDescent="0.35">
      <c r="A211" s="155">
        <v>90719945</v>
      </c>
      <c r="B211" s="155" t="s">
        <v>1108</v>
      </c>
      <c r="C211" s="158">
        <v>45205</v>
      </c>
      <c r="D211" s="155" t="s">
        <v>235</v>
      </c>
      <c r="E211" s="155" t="s">
        <v>283</v>
      </c>
    </row>
    <row r="212" spans="1:5" x14ac:dyDescent="0.35">
      <c r="A212" s="155">
        <v>90719946</v>
      </c>
      <c r="B212" s="155" t="s">
        <v>1109</v>
      </c>
      <c r="C212" s="158">
        <v>45205</v>
      </c>
      <c r="D212" s="155" t="s">
        <v>235</v>
      </c>
      <c r="E212" s="155" t="s">
        <v>283</v>
      </c>
    </row>
    <row r="213" spans="1:5" x14ac:dyDescent="0.35">
      <c r="A213" s="155">
        <v>90719949</v>
      </c>
      <c r="B213" s="155" t="s">
        <v>1110</v>
      </c>
      <c r="C213" s="158">
        <v>45205</v>
      </c>
      <c r="D213" s="155" t="s">
        <v>235</v>
      </c>
      <c r="E213" s="155" t="s">
        <v>283</v>
      </c>
    </row>
    <row r="214" spans="1:5" x14ac:dyDescent="0.35">
      <c r="A214" s="155">
        <v>90719950</v>
      </c>
      <c r="B214" s="155" t="s">
        <v>1111</v>
      </c>
      <c r="C214" s="158">
        <v>45205</v>
      </c>
      <c r="D214" s="155" t="s">
        <v>235</v>
      </c>
      <c r="E214" s="155" t="s">
        <v>283</v>
      </c>
    </row>
    <row r="215" spans="1:5" x14ac:dyDescent="0.35">
      <c r="A215" s="155">
        <v>90719953</v>
      </c>
      <c r="B215" s="155" t="s">
        <v>1112</v>
      </c>
      <c r="C215" s="158">
        <v>45205</v>
      </c>
      <c r="D215" s="155" t="s">
        <v>235</v>
      </c>
      <c r="E215" s="155" t="s">
        <v>283</v>
      </c>
    </row>
    <row r="216" spans="1:5" x14ac:dyDescent="0.35">
      <c r="A216" s="155">
        <v>90719959</v>
      </c>
      <c r="B216" s="155" t="s">
        <v>1113</v>
      </c>
      <c r="C216" s="158">
        <v>44791</v>
      </c>
      <c r="D216" s="155" t="s">
        <v>723</v>
      </c>
      <c r="E216" s="155" t="s">
        <v>271</v>
      </c>
    </row>
    <row r="217" spans="1:5" x14ac:dyDescent="0.35">
      <c r="A217" s="155">
        <v>90719961</v>
      </c>
      <c r="B217" s="155" t="s">
        <v>1114</v>
      </c>
      <c r="C217" s="158">
        <v>44837</v>
      </c>
      <c r="D217" s="155" t="s">
        <v>235</v>
      </c>
      <c r="E217" s="155" t="s">
        <v>294</v>
      </c>
    </row>
    <row r="218" spans="1:5" x14ac:dyDescent="0.35">
      <c r="A218" s="155">
        <v>90719963</v>
      </c>
      <c r="B218" s="155" t="s">
        <v>1115</v>
      </c>
      <c r="C218" s="158">
        <v>45205</v>
      </c>
      <c r="D218" s="155" t="s">
        <v>235</v>
      </c>
      <c r="E218" s="155" t="s">
        <v>283</v>
      </c>
    </row>
    <row r="219" spans="1:5" x14ac:dyDescent="0.35">
      <c r="A219" s="155">
        <v>90719967</v>
      </c>
      <c r="B219" s="155" t="s">
        <v>1116</v>
      </c>
      <c r="C219" s="158">
        <v>43252</v>
      </c>
      <c r="D219" s="155" t="s">
        <v>235</v>
      </c>
      <c r="E219" s="155" t="s">
        <v>252</v>
      </c>
    </row>
    <row r="220" spans="1:5" x14ac:dyDescent="0.35">
      <c r="A220" s="155">
        <v>90719975</v>
      </c>
      <c r="B220" s="155" t="s">
        <v>1117</v>
      </c>
      <c r="C220" s="158">
        <v>43591</v>
      </c>
      <c r="D220" s="155" t="s">
        <v>235</v>
      </c>
      <c r="E220" s="155" t="s">
        <v>501</v>
      </c>
    </row>
    <row r="221" spans="1:5" x14ac:dyDescent="0.35">
      <c r="A221" s="155">
        <v>90719979</v>
      </c>
      <c r="B221" s="155" t="s">
        <v>1118</v>
      </c>
      <c r="C221" s="158">
        <v>43829</v>
      </c>
      <c r="D221" s="155" t="s">
        <v>378</v>
      </c>
      <c r="E221" s="155" t="s">
        <v>347</v>
      </c>
    </row>
    <row r="222" spans="1:5" x14ac:dyDescent="0.35">
      <c r="A222" s="155">
        <v>90720201</v>
      </c>
      <c r="B222" s="155" t="s">
        <v>1119</v>
      </c>
      <c r="C222" s="158">
        <v>45250</v>
      </c>
      <c r="D222" s="155" t="s">
        <v>235</v>
      </c>
      <c r="E222" s="155" t="s">
        <v>1120</v>
      </c>
    </row>
    <row r="223" spans="1:5" x14ac:dyDescent="0.35">
      <c r="A223" s="155">
        <v>90720239</v>
      </c>
      <c r="B223" s="155" t="s">
        <v>1121</v>
      </c>
      <c r="C223" s="158">
        <v>45205</v>
      </c>
      <c r="D223" s="155" t="s">
        <v>235</v>
      </c>
      <c r="E223" s="155" t="s">
        <v>283</v>
      </c>
    </row>
    <row r="224" spans="1:5" x14ac:dyDescent="0.35">
      <c r="A224" s="155">
        <v>90721957</v>
      </c>
      <c r="B224" s="155" t="s">
        <v>1122</v>
      </c>
      <c r="C224" s="158">
        <v>44543</v>
      </c>
      <c r="D224" s="155" t="s">
        <v>235</v>
      </c>
      <c r="E224" s="155" t="s">
        <v>518</v>
      </c>
    </row>
    <row r="225" spans="1:5" x14ac:dyDescent="0.35">
      <c r="A225" s="155">
        <v>90724603</v>
      </c>
      <c r="B225" s="155" t="s">
        <v>1123</v>
      </c>
      <c r="C225" s="158">
        <v>45490</v>
      </c>
      <c r="D225" s="155" t="s">
        <v>235</v>
      </c>
      <c r="E225" s="155" t="s">
        <v>434</v>
      </c>
    </row>
    <row r="226" spans="1:5" x14ac:dyDescent="0.35">
      <c r="A226" s="155">
        <v>90724613</v>
      </c>
      <c r="B226" s="155" t="s">
        <v>1124</v>
      </c>
      <c r="C226" s="158">
        <v>45490</v>
      </c>
      <c r="D226" s="155" t="s">
        <v>235</v>
      </c>
      <c r="E226" s="155" t="s">
        <v>434</v>
      </c>
    </row>
    <row r="227" spans="1:5" x14ac:dyDescent="0.35">
      <c r="A227" s="155">
        <v>90724630</v>
      </c>
      <c r="B227" s="155" t="s">
        <v>1125</v>
      </c>
      <c r="C227" s="158">
        <v>45490</v>
      </c>
      <c r="D227" s="155" t="s">
        <v>235</v>
      </c>
      <c r="E227" s="155" t="s">
        <v>434</v>
      </c>
    </row>
    <row r="228" spans="1:5" x14ac:dyDescent="0.35">
      <c r="A228" s="155">
        <v>90724640</v>
      </c>
      <c r="B228" s="155" t="s">
        <v>1126</v>
      </c>
      <c r="C228" s="158">
        <v>45490</v>
      </c>
      <c r="D228" s="155" t="s">
        <v>235</v>
      </c>
      <c r="E228" s="155" t="s">
        <v>434</v>
      </c>
    </row>
    <row r="229" spans="1:5" x14ac:dyDescent="0.35">
      <c r="A229" s="155">
        <v>90724644</v>
      </c>
      <c r="B229" s="155" t="s">
        <v>1127</v>
      </c>
      <c r="C229" s="158">
        <v>45490</v>
      </c>
      <c r="D229" s="155" t="s">
        <v>235</v>
      </c>
      <c r="E229" s="155" t="s">
        <v>434</v>
      </c>
    </row>
    <row r="230" spans="1:5" x14ac:dyDescent="0.35">
      <c r="A230" s="155">
        <v>90724646</v>
      </c>
      <c r="B230" s="155" t="s">
        <v>1128</v>
      </c>
      <c r="C230" s="158" t="e">
        <v>#N/A</v>
      </c>
      <c r="D230" s="155" t="e">
        <v>#N/A</v>
      </c>
      <c r="E230" s="155" t="e">
        <v>#N/A</v>
      </c>
    </row>
    <row r="231" spans="1:5" x14ac:dyDescent="0.35">
      <c r="A231" s="155">
        <v>90724651</v>
      </c>
      <c r="B231" s="155" t="s">
        <v>1129</v>
      </c>
      <c r="C231" s="158">
        <v>45490</v>
      </c>
      <c r="D231" s="155" t="s">
        <v>235</v>
      </c>
      <c r="E231" s="155" t="s">
        <v>434</v>
      </c>
    </row>
    <row r="232" spans="1:5" x14ac:dyDescent="0.35">
      <c r="A232" s="155">
        <v>90724656</v>
      </c>
      <c r="B232" s="155" t="s">
        <v>1130</v>
      </c>
      <c r="C232" s="158">
        <v>45490</v>
      </c>
      <c r="D232" s="155" t="s">
        <v>235</v>
      </c>
      <c r="E232" s="155" t="s">
        <v>434</v>
      </c>
    </row>
    <row r="233" spans="1:5" x14ac:dyDescent="0.35">
      <c r="A233" s="155">
        <v>90724670</v>
      </c>
      <c r="B233" s="155" t="s">
        <v>1131</v>
      </c>
      <c r="C233" s="158">
        <v>45301</v>
      </c>
      <c r="D233" s="155" t="s">
        <v>235</v>
      </c>
      <c r="E233" s="155" t="s">
        <v>802</v>
      </c>
    </row>
    <row r="234" spans="1:5" x14ac:dyDescent="0.35">
      <c r="A234" s="155">
        <v>90724671</v>
      </c>
      <c r="B234" s="155" t="s">
        <v>1132</v>
      </c>
      <c r="C234" s="158">
        <v>45301</v>
      </c>
      <c r="D234" s="155" t="s">
        <v>1133</v>
      </c>
      <c r="E234" s="155" t="s">
        <v>802</v>
      </c>
    </row>
    <row r="235" spans="1:5" x14ac:dyDescent="0.35">
      <c r="A235" s="155">
        <v>90725456</v>
      </c>
      <c r="B235" s="155" t="s">
        <v>1134</v>
      </c>
      <c r="C235" s="158">
        <v>45329</v>
      </c>
      <c r="D235" s="155" t="s">
        <v>1135</v>
      </c>
      <c r="E235" s="155" t="s">
        <v>578</v>
      </c>
    </row>
    <row r="236" spans="1:5" x14ac:dyDescent="0.35">
      <c r="A236" s="155">
        <v>90725460</v>
      </c>
      <c r="B236" s="155" t="s">
        <v>1136</v>
      </c>
      <c r="C236" s="158" t="e">
        <v>#N/A</v>
      </c>
      <c r="D236" s="155" t="e">
        <v>#N/A</v>
      </c>
      <c r="E236" s="155" t="e">
        <v>#N/A</v>
      </c>
    </row>
    <row r="237" spans="1:5" x14ac:dyDescent="0.35">
      <c r="A237" s="155">
        <v>90725469</v>
      </c>
      <c r="B237" s="155" t="s">
        <v>1137</v>
      </c>
      <c r="C237" s="158" t="e">
        <v>#N/A</v>
      </c>
      <c r="D237" s="155" t="e">
        <v>#N/A</v>
      </c>
      <c r="E237" s="155" t="e">
        <v>#N/A</v>
      </c>
    </row>
    <row r="238" spans="1:5" x14ac:dyDescent="0.35">
      <c r="A238" s="155">
        <v>90725487</v>
      </c>
      <c r="B238" s="155" t="s">
        <v>1138</v>
      </c>
      <c r="C238" s="158" t="e">
        <v>#N/A</v>
      </c>
      <c r="D238" s="155" t="e">
        <v>#N/A</v>
      </c>
      <c r="E238" s="155" t="e">
        <v>#N/A</v>
      </c>
    </row>
    <row r="239" spans="1:5" x14ac:dyDescent="0.35">
      <c r="A239" s="155">
        <v>90725490</v>
      </c>
      <c r="B239" s="155" t="s">
        <v>1139</v>
      </c>
      <c r="C239" s="158" t="e">
        <v>#N/A</v>
      </c>
      <c r="D239" s="155" t="e">
        <v>#N/A</v>
      </c>
      <c r="E239" s="155" t="e">
        <v>#N/A</v>
      </c>
    </row>
    <row r="240" spans="1:5" x14ac:dyDescent="0.35">
      <c r="A240" s="155">
        <v>90725496</v>
      </c>
      <c r="B240" s="155" t="s">
        <v>1140</v>
      </c>
      <c r="C240" s="158" t="e">
        <v>#N/A</v>
      </c>
      <c r="D240" s="155" t="e">
        <v>#N/A</v>
      </c>
      <c r="E240" s="155" t="e">
        <v>#N/A</v>
      </c>
    </row>
    <row r="241" spans="1:5" x14ac:dyDescent="0.35">
      <c r="A241" s="155">
        <v>90727173</v>
      </c>
      <c r="B241" s="155" t="s">
        <v>586</v>
      </c>
      <c r="C241" s="158">
        <v>45488</v>
      </c>
      <c r="D241" s="155" t="s">
        <v>235</v>
      </c>
      <c r="E241" s="155" t="s">
        <v>434</v>
      </c>
    </row>
    <row r="242" spans="1:5" x14ac:dyDescent="0.35">
      <c r="A242" s="155">
        <v>90727174</v>
      </c>
      <c r="B242" s="155" t="s">
        <v>1141</v>
      </c>
      <c r="C242" s="158">
        <v>45488</v>
      </c>
      <c r="D242" s="155" t="s">
        <v>235</v>
      </c>
      <c r="E242" s="155" t="s">
        <v>434</v>
      </c>
    </row>
    <row r="243" spans="1:5" x14ac:dyDescent="0.35">
      <c r="A243" s="155">
        <v>90727175</v>
      </c>
      <c r="B243" s="155" t="s">
        <v>1142</v>
      </c>
      <c r="C243" s="158">
        <v>45488</v>
      </c>
      <c r="D243" s="155" t="s">
        <v>1143</v>
      </c>
      <c r="E243" s="155" t="s">
        <v>434</v>
      </c>
    </row>
    <row r="244" spans="1:5" x14ac:dyDescent="0.35">
      <c r="A244" s="155">
        <v>90727176</v>
      </c>
      <c r="B244" s="155" t="s">
        <v>1144</v>
      </c>
      <c r="C244" s="158">
        <v>45488</v>
      </c>
      <c r="D244" s="155" t="s">
        <v>235</v>
      </c>
      <c r="E244" s="155" t="s">
        <v>434</v>
      </c>
    </row>
    <row r="245" spans="1:5" x14ac:dyDescent="0.35">
      <c r="A245" s="155">
        <v>90727177</v>
      </c>
      <c r="B245" s="155" t="s">
        <v>1145</v>
      </c>
      <c r="C245" s="158">
        <v>45488</v>
      </c>
      <c r="D245" s="155" t="s">
        <v>235</v>
      </c>
      <c r="E245" s="155" t="s">
        <v>434</v>
      </c>
    </row>
    <row r="246" spans="1:5" x14ac:dyDescent="0.35">
      <c r="A246" s="155">
        <v>90727178</v>
      </c>
      <c r="B246" s="155" t="s">
        <v>1146</v>
      </c>
      <c r="C246" s="158">
        <v>45488</v>
      </c>
      <c r="D246" s="155" t="s">
        <v>1147</v>
      </c>
      <c r="E246" s="155" t="s">
        <v>434</v>
      </c>
    </row>
    <row r="247" spans="1:5" x14ac:dyDescent="0.35">
      <c r="A247" s="155">
        <v>90727179</v>
      </c>
      <c r="B247" s="155" t="s">
        <v>1148</v>
      </c>
      <c r="C247" s="158" t="e">
        <v>#N/A</v>
      </c>
      <c r="D247" s="155" t="e">
        <v>#N/A</v>
      </c>
      <c r="E247" s="155" t="e">
        <v>#N/A</v>
      </c>
    </row>
    <row r="248" spans="1:5" x14ac:dyDescent="0.35">
      <c r="A248" s="155">
        <v>90727181</v>
      </c>
      <c r="B248" s="155" t="s">
        <v>1149</v>
      </c>
      <c r="C248" s="158">
        <v>45488</v>
      </c>
      <c r="D248" s="155" t="s">
        <v>235</v>
      </c>
      <c r="E248" s="155" t="s">
        <v>434</v>
      </c>
    </row>
    <row r="249" spans="1:5" x14ac:dyDescent="0.35">
      <c r="A249" s="155">
        <v>90727232</v>
      </c>
      <c r="B249" s="155" t="s">
        <v>1150</v>
      </c>
      <c r="C249" s="158">
        <v>45474</v>
      </c>
      <c r="D249" s="155" t="s">
        <v>394</v>
      </c>
      <c r="E249" s="155" t="s">
        <v>434</v>
      </c>
    </row>
    <row r="250" spans="1:5" x14ac:dyDescent="0.35">
      <c r="A250" s="155">
        <v>90727246</v>
      </c>
      <c r="B250" s="155" t="s">
        <v>1151</v>
      </c>
      <c r="C250" s="158">
        <v>45481</v>
      </c>
      <c r="D250" s="155" t="s">
        <v>1152</v>
      </c>
      <c r="E250" s="155" t="s">
        <v>434</v>
      </c>
    </row>
    <row r="251" spans="1:5" x14ac:dyDescent="0.35">
      <c r="A251" s="155">
        <v>90727247</v>
      </c>
      <c r="B251" s="155" t="s">
        <v>1153</v>
      </c>
      <c r="C251" s="158">
        <v>45481</v>
      </c>
      <c r="D251" s="155" t="s">
        <v>601</v>
      </c>
      <c r="E251" s="155" t="s">
        <v>434</v>
      </c>
    </row>
    <row r="252" spans="1:5" x14ac:dyDescent="0.35">
      <c r="A252" s="155">
        <v>90727248</v>
      </c>
      <c r="B252" s="155" t="s">
        <v>1154</v>
      </c>
      <c r="C252" s="158">
        <v>45481</v>
      </c>
      <c r="D252" s="155" t="s">
        <v>504</v>
      </c>
      <c r="E252" s="155" t="s">
        <v>434</v>
      </c>
    </row>
    <row r="253" spans="1:5" x14ac:dyDescent="0.35">
      <c r="A253" s="155">
        <v>90727249</v>
      </c>
      <c r="B253" s="155" t="s">
        <v>1155</v>
      </c>
      <c r="C253" s="158">
        <v>45481</v>
      </c>
      <c r="D253" s="155" t="s">
        <v>473</v>
      </c>
      <c r="E253" s="155" t="s">
        <v>434</v>
      </c>
    </row>
    <row r="254" spans="1:5" x14ac:dyDescent="0.35">
      <c r="A254" s="155">
        <v>90727250</v>
      </c>
      <c r="B254" s="155" t="s">
        <v>1156</v>
      </c>
      <c r="C254" s="158">
        <v>45488</v>
      </c>
      <c r="D254" s="155" t="s">
        <v>235</v>
      </c>
      <c r="E254" s="155" t="s">
        <v>434</v>
      </c>
    </row>
    <row r="255" spans="1:5" x14ac:dyDescent="0.35">
      <c r="A255" s="155">
        <v>90727255</v>
      </c>
      <c r="B255" s="155" t="s">
        <v>1157</v>
      </c>
      <c r="C255" s="158" t="e">
        <v>#N/A</v>
      </c>
      <c r="D255" s="155" t="e">
        <v>#N/A</v>
      </c>
      <c r="E255" s="155" t="e">
        <v>#N/A</v>
      </c>
    </row>
    <row r="256" spans="1:5" x14ac:dyDescent="0.35">
      <c r="A256" s="155">
        <v>90727329</v>
      </c>
      <c r="B256" s="155" t="s">
        <v>1158</v>
      </c>
      <c r="C256" s="158" t="e">
        <v>#N/A</v>
      </c>
      <c r="D256" s="155" t="s">
        <v>867</v>
      </c>
      <c r="E256" s="155" t="e">
        <v>#N/A</v>
      </c>
    </row>
    <row r="257" spans="1:5" x14ac:dyDescent="0.35">
      <c r="A257" s="155">
        <v>90727330</v>
      </c>
      <c r="B257" s="155" t="s">
        <v>1159</v>
      </c>
      <c r="C257" s="158" t="e">
        <v>#N/A</v>
      </c>
      <c r="D257" s="155" t="e">
        <v>#N/A</v>
      </c>
      <c r="E257" s="155" t="e">
        <v>#N/A</v>
      </c>
    </row>
    <row r="258" spans="1:5" x14ac:dyDescent="0.35">
      <c r="A258" s="155">
        <v>90727397</v>
      </c>
      <c r="B258" s="155" t="s">
        <v>1160</v>
      </c>
      <c r="C258" s="158" t="e">
        <v>#N/A</v>
      </c>
      <c r="D258" s="155" t="e">
        <v>#N/A</v>
      </c>
      <c r="E258" s="155" t="e">
        <v>#N/A</v>
      </c>
    </row>
    <row r="259" spans="1:5" x14ac:dyDescent="0.35">
      <c r="A259" s="155">
        <v>90727541</v>
      </c>
      <c r="B259" s="155" t="s">
        <v>1161</v>
      </c>
      <c r="C259" s="158" t="e">
        <v>#N/A</v>
      </c>
      <c r="D259" s="155" t="e">
        <v>#N/A</v>
      </c>
      <c r="E259" s="155" t="e">
        <v>#N/A</v>
      </c>
    </row>
    <row r="260" spans="1:5" x14ac:dyDescent="0.35">
      <c r="A260" s="155">
        <v>90727544</v>
      </c>
      <c r="B260" s="155" t="s">
        <v>1162</v>
      </c>
      <c r="C260" s="158" t="e">
        <v>#N/A</v>
      </c>
      <c r="D260" s="155" t="e">
        <v>#N/A</v>
      </c>
      <c r="E260" s="155" t="e">
        <v>#N/A</v>
      </c>
    </row>
    <row r="261" spans="1:5" x14ac:dyDescent="0.35">
      <c r="A261" s="155">
        <v>90728065</v>
      </c>
      <c r="B261" s="155" t="s">
        <v>684</v>
      </c>
      <c r="C261" s="158">
        <v>45659</v>
      </c>
      <c r="D261" s="155" t="e">
        <v>#N/A</v>
      </c>
      <c r="E261" s="155" t="s">
        <v>1163</v>
      </c>
    </row>
    <row r="262" spans="1:5" x14ac:dyDescent="0.35">
      <c r="A262" s="155">
        <v>90729433</v>
      </c>
      <c r="B262" s="155" t="s">
        <v>1164</v>
      </c>
      <c r="C262" s="158" t="e">
        <v>#N/A</v>
      </c>
      <c r="D262" s="155" t="e">
        <v>#N/A</v>
      </c>
      <c r="E262" s="155" t="e">
        <v>#N/A</v>
      </c>
    </row>
    <row r="263" spans="1:5" x14ac:dyDescent="0.35">
      <c r="A263" s="155">
        <v>90729512</v>
      </c>
      <c r="B263" s="155" t="s">
        <v>1165</v>
      </c>
      <c r="C263" s="158">
        <v>45736</v>
      </c>
      <c r="D263" s="155" t="e">
        <v>#N/A</v>
      </c>
      <c r="E263" s="155" t="s">
        <v>1166</v>
      </c>
    </row>
    <row r="264" spans="1:5" x14ac:dyDescent="0.35">
      <c r="A264" s="155">
        <v>90729513</v>
      </c>
      <c r="B264" s="155" t="s">
        <v>415</v>
      </c>
      <c r="C264" s="158">
        <v>45736</v>
      </c>
      <c r="D264" s="155" t="e">
        <v>#N/A</v>
      </c>
      <c r="E264" s="155" t="s">
        <v>1166</v>
      </c>
    </row>
    <row r="265" spans="1:5" x14ac:dyDescent="0.35">
      <c r="A265" s="155">
        <v>90729815</v>
      </c>
      <c r="B265" s="155" t="s">
        <v>1167</v>
      </c>
      <c r="C265" s="158">
        <v>45761</v>
      </c>
      <c r="D265" s="155" t="e">
        <v>#N/A</v>
      </c>
      <c r="E265" s="155" t="s">
        <v>1168</v>
      </c>
    </row>
    <row r="266" spans="1:5" x14ac:dyDescent="0.35">
      <c r="A266" s="155">
        <v>90730198</v>
      </c>
      <c r="B266" s="155" t="s">
        <v>1169</v>
      </c>
      <c r="C266" s="158">
        <v>45782</v>
      </c>
      <c r="D266" s="155" t="s">
        <v>235</v>
      </c>
      <c r="E266" s="155" t="s">
        <v>400</v>
      </c>
    </row>
    <row r="267" spans="1:5" x14ac:dyDescent="0.35">
      <c r="A267" s="155">
        <v>90730600</v>
      </c>
      <c r="B267" s="155" t="s">
        <v>1170</v>
      </c>
      <c r="C267" s="158">
        <v>45810</v>
      </c>
      <c r="D267" s="155" t="s">
        <v>690</v>
      </c>
      <c r="E267" s="155" t="s">
        <v>842</v>
      </c>
    </row>
    <row r="268" spans="1:5" x14ac:dyDescent="0.35">
      <c r="A268" s="155">
        <v>90730605</v>
      </c>
      <c r="B268" s="155" t="s">
        <v>1171</v>
      </c>
      <c r="C268" s="158">
        <v>45810</v>
      </c>
      <c r="D268" s="155" t="s">
        <v>812</v>
      </c>
      <c r="E268" s="155" t="s">
        <v>842</v>
      </c>
    </row>
    <row r="269" spans="1:5" x14ac:dyDescent="0.35">
      <c r="A269" s="155">
        <v>90731122</v>
      </c>
      <c r="B269" s="155" t="s">
        <v>1172</v>
      </c>
      <c r="C269" s="158">
        <v>0</v>
      </c>
      <c r="D269" s="155" t="s">
        <v>235</v>
      </c>
      <c r="E269" s="155" t="s">
        <v>409</v>
      </c>
    </row>
    <row r="270" spans="1:5" x14ac:dyDescent="0.35">
      <c r="A270" s="155">
        <v>90731123</v>
      </c>
      <c r="B270" s="155" t="s">
        <v>1173</v>
      </c>
      <c r="C270" s="158">
        <v>0</v>
      </c>
      <c r="D270" s="155" t="s">
        <v>235</v>
      </c>
      <c r="E270" s="155" t="s">
        <v>409</v>
      </c>
    </row>
    <row r="271" spans="1:5" x14ac:dyDescent="0.35">
      <c r="A271" s="155">
        <v>90731229</v>
      </c>
      <c r="B271" s="155" t="s">
        <v>1174</v>
      </c>
      <c r="C271" s="158">
        <v>0</v>
      </c>
      <c r="D271" s="155" t="s">
        <v>235</v>
      </c>
      <c r="E271" s="155" t="s">
        <v>409</v>
      </c>
    </row>
    <row r="272" spans="1:5" x14ac:dyDescent="0.35">
      <c r="A272" s="155">
        <v>90731235</v>
      </c>
      <c r="B272" s="155" t="s">
        <v>1175</v>
      </c>
      <c r="C272" s="158">
        <v>0</v>
      </c>
      <c r="D272" s="155" t="s">
        <v>235</v>
      </c>
      <c r="E272" s="155" t="s">
        <v>409</v>
      </c>
    </row>
    <row r="273" spans="1:5" x14ac:dyDescent="0.35">
      <c r="A273" s="155">
        <v>90731699</v>
      </c>
      <c r="B273" s="155" t="s">
        <v>880</v>
      </c>
      <c r="C273" s="158" t="e">
        <v>#N/A</v>
      </c>
      <c r="D273" s="155" t="e">
        <v>#N/A</v>
      </c>
      <c r="E273" s="155" t="e">
        <v>#N/A</v>
      </c>
    </row>
    <row r="274" spans="1:5" x14ac:dyDescent="0.35">
      <c r="A274" s="155">
        <v>90732267</v>
      </c>
      <c r="B274" s="155" t="s">
        <v>243</v>
      </c>
      <c r="C274" s="158">
        <v>45891</v>
      </c>
      <c r="D274" s="155" t="e">
        <v>#N/A</v>
      </c>
      <c r="E274" s="155" t="s">
        <v>1176</v>
      </c>
    </row>
    <row r="275" spans="1:5" x14ac:dyDescent="0.35">
      <c r="A275" s="155">
        <v>90732268</v>
      </c>
      <c r="B275" s="155" t="s">
        <v>1177</v>
      </c>
      <c r="C275" s="158">
        <v>45891</v>
      </c>
      <c r="D275" s="155" t="e">
        <v>#N/A</v>
      </c>
      <c r="E275" s="155" t="s">
        <v>1176</v>
      </c>
    </row>
    <row r="276" spans="1:5" x14ac:dyDescent="0.35">
      <c r="A276" s="155">
        <v>90732269</v>
      </c>
      <c r="B276" s="155" t="s">
        <v>420</v>
      </c>
      <c r="C276" s="158">
        <v>45891</v>
      </c>
      <c r="D276" s="155" t="e">
        <v>#N/A</v>
      </c>
      <c r="E276" s="155" t="s">
        <v>1176</v>
      </c>
    </row>
    <row r="277" spans="1:5" x14ac:dyDescent="0.35">
      <c r="A277" s="155">
        <v>90732270</v>
      </c>
      <c r="B277" s="155" t="s">
        <v>424</v>
      </c>
      <c r="C277" s="158">
        <v>45891</v>
      </c>
      <c r="D277" s="155" t="e">
        <v>#N/A</v>
      </c>
      <c r="E277" s="155" t="s">
        <v>1176</v>
      </c>
    </row>
    <row r="278" spans="1:5" x14ac:dyDescent="0.35">
      <c r="A278" s="155">
        <v>90732271</v>
      </c>
      <c r="B278" s="155" t="s">
        <v>729</v>
      </c>
      <c r="C278" s="158">
        <v>45891</v>
      </c>
      <c r="D278" s="155" t="e">
        <v>#N/A</v>
      </c>
      <c r="E278" s="155" t="s">
        <v>1176</v>
      </c>
    </row>
    <row r="279" spans="1:5" x14ac:dyDescent="0.35">
      <c r="A279" s="155">
        <v>90732272</v>
      </c>
      <c r="B279" s="155" t="s">
        <v>868</v>
      </c>
      <c r="C279" s="158">
        <v>45891</v>
      </c>
      <c r="D279" s="155" t="e">
        <v>#N/A</v>
      </c>
      <c r="E279" s="155" t="s">
        <v>1176</v>
      </c>
    </row>
    <row r="280" spans="1:5" x14ac:dyDescent="0.35">
      <c r="A280" s="155">
        <v>90732273</v>
      </c>
      <c r="B280" s="155" t="s">
        <v>749</v>
      </c>
      <c r="C280" s="158">
        <v>45891</v>
      </c>
      <c r="D280" s="155" t="e">
        <v>#N/A</v>
      </c>
      <c r="E280" s="155" t="s">
        <v>1176</v>
      </c>
    </row>
    <row r="281" spans="1:5" x14ac:dyDescent="0.35">
      <c r="A281" s="155">
        <v>90732274</v>
      </c>
      <c r="B281" s="155" t="s">
        <v>1178</v>
      </c>
      <c r="C281" s="158">
        <v>45891</v>
      </c>
      <c r="D281" s="155" t="e">
        <v>#N/A</v>
      </c>
      <c r="E281" s="155" t="s">
        <v>1176</v>
      </c>
    </row>
    <row r="282" spans="1:5" x14ac:dyDescent="0.35">
      <c r="A282" s="155">
        <v>90732275</v>
      </c>
      <c r="B282" s="155" t="s">
        <v>486</v>
      </c>
      <c r="C282" s="158">
        <v>45891</v>
      </c>
      <c r="D282" s="155" t="e">
        <v>#N/A</v>
      </c>
      <c r="E282" s="155" t="s">
        <v>1176</v>
      </c>
    </row>
    <row r="283" spans="1:5" x14ac:dyDescent="0.35">
      <c r="A283" s="155">
        <v>90732277</v>
      </c>
      <c r="B283" s="155" t="s">
        <v>1179</v>
      </c>
      <c r="C283" s="158">
        <v>45891</v>
      </c>
      <c r="D283" s="155" t="e">
        <v>#N/A</v>
      </c>
      <c r="E283" s="155" t="s">
        <v>1176</v>
      </c>
    </row>
    <row r="284" spans="1:5" x14ac:dyDescent="0.35">
      <c r="A284" s="155">
        <v>90732278</v>
      </c>
      <c r="B284" s="155" t="s">
        <v>299</v>
      </c>
      <c r="C284" s="158">
        <v>45891</v>
      </c>
      <c r="D284" s="155" t="e">
        <v>#N/A</v>
      </c>
      <c r="E284" s="155" t="s">
        <v>1176</v>
      </c>
    </row>
    <row r="285" spans="1:5" x14ac:dyDescent="0.35">
      <c r="A285" s="155">
        <v>90732279</v>
      </c>
      <c r="B285" s="155" t="s">
        <v>333</v>
      </c>
      <c r="C285" s="158" t="s">
        <v>334</v>
      </c>
      <c r="D285" s="155" t="e">
        <v>#N/A</v>
      </c>
      <c r="E285" s="155" t="e">
        <v>#VALUE!</v>
      </c>
    </row>
    <row r="286" spans="1:5" x14ac:dyDescent="0.35">
      <c r="A286" s="155">
        <v>90732280</v>
      </c>
      <c r="B286" s="155" t="s">
        <v>540</v>
      </c>
      <c r="C286" s="158">
        <v>45891</v>
      </c>
      <c r="D286" s="155" t="e">
        <v>#N/A</v>
      </c>
      <c r="E286" s="155" t="s">
        <v>1176</v>
      </c>
    </row>
    <row r="287" spans="1:5" x14ac:dyDescent="0.35">
      <c r="A287" s="155">
        <v>90732281</v>
      </c>
      <c r="B287" s="155" t="s">
        <v>416</v>
      </c>
      <c r="C287" s="158">
        <v>45891</v>
      </c>
      <c r="D287" s="155" t="e">
        <v>#N/A</v>
      </c>
      <c r="E287" s="155" t="s">
        <v>1176</v>
      </c>
    </row>
    <row r="288" spans="1:5" x14ac:dyDescent="0.35">
      <c r="A288" s="155">
        <v>90732282</v>
      </c>
      <c r="B288" s="155" t="s">
        <v>545</v>
      </c>
      <c r="C288" s="158">
        <v>45891</v>
      </c>
      <c r="D288" s="155" t="e">
        <v>#N/A</v>
      </c>
      <c r="E288" s="155" t="s">
        <v>1176</v>
      </c>
    </row>
    <row r="289" spans="1:5" x14ac:dyDescent="0.35">
      <c r="A289" s="155">
        <v>90732283</v>
      </c>
      <c r="B289" s="155" t="s">
        <v>674</v>
      </c>
      <c r="C289" s="158">
        <v>45891</v>
      </c>
      <c r="D289" s="155" t="e">
        <v>#N/A</v>
      </c>
      <c r="E289" s="155" t="s">
        <v>1176</v>
      </c>
    </row>
    <row r="290" spans="1:5" x14ac:dyDescent="0.35">
      <c r="A290" s="155">
        <v>90732284</v>
      </c>
      <c r="B290" s="155" t="s">
        <v>703</v>
      </c>
      <c r="C290" s="158">
        <v>45891</v>
      </c>
      <c r="D290" s="155" t="e">
        <v>#N/A</v>
      </c>
      <c r="E290" s="155" t="s">
        <v>1176</v>
      </c>
    </row>
    <row r="291" spans="1:5" x14ac:dyDescent="0.35">
      <c r="A291" s="155">
        <v>90732285</v>
      </c>
      <c r="B291" s="155" t="s">
        <v>1180</v>
      </c>
      <c r="C291" s="158">
        <v>45891</v>
      </c>
      <c r="D291" s="155" t="e">
        <v>#N/A</v>
      </c>
      <c r="E291" s="155" t="s">
        <v>1176</v>
      </c>
    </row>
    <row r="292" spans="1:5" x14ac:dyDescent="0.35">
      <c r="A292" s="155">
        <v>90732296</v>
      </c>
      <c r="B292" s="155" t="s">
        <v>468</v>
      </c>
      <c r="C292" s="158">
        <v>45891</v>
      </c>
      <c r="D292" s="155" t="e">
        <v>#N/A</v>
      </c>
      <c r="E292" s="155" t="s">
        <v>1176</v>
      </c>
    </row>
    <row r="293" spans="1:5" x14ac:dyDescent="0.35">
      <c r="A293" s="155">
        <v>90732297</v>
      </c>
      <c r="B293" s="155" t="s">
        <v>642</v>
      </c>
      <c r="C293" s="158">
        <v>45891</v>
      </c>
      <c r="D293" s="155" t="e">
        <v>#N/A</v>
      </c>
      <c r="E293" s="155" t="s">
        <v>1176</v>
      </c>
    </row>
    <row r="294" spans="1:5" x14ac:dyDescent="0.35">
      <c r="A294" s="155">
        <v>90732306</v>
      </c>
      <c r="B294" s="155" t="s">
        <v>446</v>
      </c>
      <c r="C294" s="158">
        <v>45891</v>
      </c>
      <c r="D294" s="155" t="e">
        <v>#N/A</v>
      </c>
      <c r="E294" s="155" t="s">
        <v>1176</v>
      </c>
    </row>
    <row r="295" spans="1:5" x14ac:dyDescent="0.35">
      <c r="A295" s="155">
        <v>90732307</v>
      </c>
      <c r="B295" s="155" t="s">
        <v>464</v>
      </c>
      <c r="C295" s="158">
        <v>45891</v>
      </c>
      <c r="D295" s="155" t="e">
        <v>#N/A</v>
      </c>
      <c r="E295" s="155" t="s">
        <v>1176</v>
      </c>
    </row>
    <row r="296" spans="1:5" x14ac:dyDescent="0.35">
      <c r="A296" s="155">
        <v>90732309</v>
      </c>
      <c r="B296" s="155" t="s">
        <v>524</v>
      </c>
      <c r="C296" s="158">
        <v>45891</v>
      </c>
      <c r="D296" s="155" t="e">
        <v>#N/A</v>
      </c>
      <c r="E296" s="155" t="s">
        <v>1176</v>
      </c>
    </row>
    <row r="297" spans="1:5" x14ac:dyDescent="0.35">
      <c r="A297" s="155">
        <v>90732310</v>
      </c>
      <c r="B297" s="155" t="s">
        <v>845</v>
      </c>
      <c r="C297" s="158">
        <v>45891</v>
      </c>
      <c r="D297" s="155" t="e">
        <v>#N/A</v>
      </c>
      <c r="E297" s="155" t="s">
        <v>1176</v>
      </c>
    </row>
    <row r="298" spans="1:5" x14ac:dyDescent="0.35">
      <c r="A298" s="155">
        <v>90732331</v>
      </c>
      <c r="B298" s="155" t="s">
        <v>613</v>
      </c>
      <c r="C298" s="158">
        <v>45898</v>
      </c>
      <c r="D298" s="155" t="e">
        <v>#N/A</v>
      </c>
      <c r="E298" s="155" t="s">
        <v>1176</v>
      </c>
    </row>
    <row r="299" spans="1:5" x14ac:dyDescent="0.35">
      <c r="A299" s="155">
        <v>90732332</v>
      </c>
      <c r="B299" s="155" t="s">
        <v>1181</v>
      </c>
      <c r="C299" s="158">
        <v>45898</v>
      </c>
      <c r="D299" s="155" t="e">
        <v>#N/A</v>
      </c>
      <c r="E299" s="155" t="s">
        <v>1176</v>
      </c>
    </row>
    <row r="300" spans="1:5" x14ac:dyDescent="0.35">
      <c r="A300" s="155">
        <v>90732333</v>
      </c>
      <c r="B300" s="155" t="s">
        <v>746</v>
      </c>
      <c r="C300" s="158">
        <v>45936</v>
      </c>
      <c r="D300" s="155" t="e">
        <v>#N/A</v>
      </c>
      <c r="E300" s="155" t="s">
        <v>413</v>
      </c>
    </row>
    <row r="301" spans="1:5" x14ac:dyDescent="0.35">
      <c r="A301" s="155">
        <v>90732338</v>
      </c>
      <c r="B301" s="155" t="s">
        <v>839</v>
      </c>
      <c r="C301" s="158">
        <v>45936</v>
      </c>
      <c r="D301" s="155" t="e">
        <v>#N/A</v>
      </c>
      <c r="E301" s="155" t="s">
        <v>413</v>
      </c>
    </row>
    <row r="302" spans="1:5" x14ac:dyDescent="0.35">
      <c r="A302" s="155">
        <v>90732390</v>
      </c>
      <c r="B302" s="155" t="s">
        <v>1182</v>
      </c>
      <c r="C302" s="158">
        <v>45936</v>
      </c>
      <c r="D302" s="155" t="e">
        <v>#N/A</v>
      </c>
      <c r="E302" s="155" t="s">
        <v>413</v>
      </c>
    </row>
    <row r="303" spans="1:5" x14ac:dyDescent="0.35">
      <c r="A303" s="155">
        <v>90732412</v>
      </c>
      <c r="B303" s="155" t="s">
        <v>740</v>
      </c>
      <c r="C303" s="158">
        <v>45943</v>
      </c>
      <c r="D303" s="155" t="e">
        <v>#N/A</v>
      </c>
      <c r="E303" s="155" t="s">
        <v>413</v>
      </c>
    </row>
    <row r="304" spans="1:5" x14ac:dyDescent="0.35">
      <c r="A304" s="155">
        <v>90732448</v>
      </c>
      <c r="B304" s="155" t="s">
        <v>875</v>
      </c>
      <c r="C304" s="158">
        <v>45943</v>
      </c>
      <c r="D304" s="155" t="e">
        <v>#N/A</v>
      </c>
      <c r="E304" s="155" t="s">
        <v>413</v>
      </c>
    </row>
    <row r="305" spans="1:5" x14ac:dyDescent="0.35">
      <c r="A305" s="160">
        <v>90732691</v>
      </c>
      <c r="B305" s="169" t="s">
        <v>818</v>
      </c>
      <c r="C305" s="158">
        <v>45992</v>
      </c>
      <c r="D305" s="155" t="s">
        <v>820</v>
      </c>
      <c r="E305" s="155" t="s">
        <v>1183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06105-BAC8-4C8D-B40E-8E0E4FA41E53}">
  <dimension ref="A1:B354"/>
  <sheetViews>
    <sheetView workbookViewId="0"/>
  </sheetViews>
  <sheetFormatPr defaultRowHeight="14.5" x14ac:dyDescent="0.35"/>
  <cols>
    <col min="1" max="1" width="52.1796875" bestFit="1" customWidth="1"/>
    <col min="2" max="2" width="15.7265625" bestFit="1" customWidth="1"/>
  </cols>
  <sheetData>
    <row r="1" spans="1:2" x14ac:dyDescent="0.35">
      <c r="A1" s="170" t="s">
        <v>1184</v>
      </c>
      <c r="B1" s="170" t="s">
        <v>1185</v>
      </c>
    </row>
    <row r="2" spans="1:2" x14ac:dyDescent="0.35">
      <c r="A2" s="170" t="s">
        <v>1186</v>
      </c>
      <c r="B2" s="170">
        <v>90724630</v>
      </c>
    </row>
    <row r="3" spans="1:2" x14ac:dyDescent="0.35">
      <c r="A3" s="170" t="s">
        <v>1187</v>
      </c>
      <c r="B3" s="170">
        <v>90719506</v>
      </c>
    </row>
    <row r="4" spans="1:2" x14ac:dyDescent="0.35">
      <c r="A4" s="170" t="s">
        <v>1188</v>
      </c>
      <c r="B4" s="170">
        <v>90725469</v>
      </c>
    </row>
    <row r="5" spans="1:2" x14ac:dyDescent="0.35">
      <c r="A5" s="170" t="s">
        <v>1189</v>
      </c>
      <c r="B5" s="170">
        <v>90732267</v>
      </c>
    </row>
    <row r="6" spans="1:2" x14ac:dyDescent="0.35">
      <c r="A6" s="170" t="s">
        <v>1190</v>
      </c>
      <c r="B6" s="170">
        <v>90718839</v>
      </c>
    </row>
    <row r="7" spans="1:2" x14ac:dyDescent="0.35">
      <c r="A7" s="170" t="s">
        <v>1191</v>
      </c>
      <c r="B7" s="170">
        <v>90719409</v>
      </c>
    </row>
    <row r="8" spans="1:2" x14ac:dyDescent="0.35">
      <c r="A8" s="170" t="s">
        <v>1192</v>
      </c>
      <c r="B8" s="170">
        <v>90719874</v>
      </c>
    </row>
    <row r="9" spans="1:2" x14ac:dyDescent="0.35">
      <c r="A9" s="170" t="s">
        <v>1193</v>
      </c>
      <c r="B9" s="170">
        <v>90719536</v>
      </c>
    </row>
    <row r="10" spans="1:2" x14ac:dyDescent="0.35">
      <c r="A10" s="170" t="s">
        <v>1194</v>
      </c>
      <c r="B10" s="170">
        <v>90719951</v>
      </c>
    </row>
    <row r="11" spans="1:2" x14ac:dyDescent="0.35">
      <c r="A11" s="170" t="s">
        <v>1195</v>
      </c>
      <c r="B11" s="170">
        <v>90719859</v>
      </c>
    </row>
    <row r="12" spans="1:2" x14ac:dyDescent="0.35">
      <c r="A12" s="170" t="s">
        <v>1196</v>
      </c>
      <c r="B12" s="170">
        <v>90732268</v>
      </c>
    </row>
    <row r="13" spans="1:2" x14ac:dyDescent="0.35">
      <c r="A13" s="170" t="s">
        <v>1197</v>
      </c>
      <c r="B13" s="170">
        <v>90731235</v>
      </c>
    </row>
    <row r="14" spans="1:2" x14ac:dyDescent="0.35">
      <c r="A14" s="170" t="s">
        <v>1198</v>
      </c>
      <c r="B14" s="170">
        <v>90719895</v>
      </c>
    </row>
    <row r="15" spans="1:2" x14ac:dyDescent="0.35">
      <c r="A15" s="170" t="s">
        <v>1199</v>
      </c>
      <c r="B15" s="170">
        <v>90722537</v>
      </c>
    </row>
    <row r="16" spans="1:2" x14ac:dyDescent="0.35">
      <c r="A16" s="170" t="s">
        <v>1200</v>
      </c>
      <c r="B16" s="170">
        <v>90719619</v>
      </c>
    </row>
    <row r="17" spans="1:2" x14ac:dyDescent="0.35">
      <c r="A17" s="170" t="s">
        <v>1201</v>
      </c>
      <c r="B17" s="170">
        <v>90719774</v>
      </c>
    </row>
    <row r="18" spans="1:2" x14ac:dyDescent="0.35">
      <c r="A18" s="170" t="s">
        <v>1202</v>
      </c>
      <c r="B18" s="170">
        <v>90719734</v>
      </c>
    </row>
    <row r="19" spans="1:2" x14ac:dyDescent="0.35">
      <c r="A19" s="170" t="s">
        <v>1203</v>
      </c>
      <c r="B19" s="170">
        <v>90719946</v>
      </c>
    </row>
    <row r="20" spans="1:2" x14ac:dyDescent="0.35">
      <c r="A20" s="170" t="s">
        <v>1204</v>
      </c>
      <c r="B20" s="170">
        <v>90719753</v>
      </c>
    </row>
    <row r="21" spans="1:2" x14ac:dyDescent="0.35">
      <c r="A21" s="170" t="s">
        <v>1205</v>
      </c>
      <c r="B21" s="170">
        <v>90719350</v>
      </c>
    </row>
    <row r="22" spans="1:2" x14ac:dyDescent="0.35">
      <c r="A22" s="170" t="s">
        <v>1206</v>
      </c>
      <c r="B22" s="170">
        <v>90719939</v>
      </c>
    </row>
    <row r="23" spans="1:2" x14ac:dyDescent="0.35">
      <c r="A23" s="170" t="s">
        <v>1207</v>
      </c>
      <c r="B23" s="170">
        <v>90719796</v>
      </c>
    </row>
    <row r="24" spans="1:2" x14ac:dyDescent="0.35">
      <c r="A24" s="170" t="s">
        <v>1208</v>
      </c>
      <c r="B24" s="170">
        <v>90719799</v>
      </c>
    </row>
    <row r="25" spans="1:2" x14ac:dyDescent="0.35">
      <c r="A25" s="170" t="s">
        <v>1209</v>
      </c>
      <c r="B25" s="170">
        <v>90719880</v>
      </c>
    </row>
    <row r="26" spans="1:2" x14ac:dyDescent="0.35">
      <c r="A26" s="170" t="s">
        <v>1210</v>
      </c>
      <c r="B26" s="170">
        <v>90719707</v>
      </c>
    </row>
    <row r="27" spans="1:2" x14ac:dyDescent="0.35">
      <c r="A27" s="170" t="s">
        <v>1211</v>
      </c>
      <c r="B27" s="170">
        <v>90719649</v>
      </c>
    </row>
    <row r="28" spans="1:2" x14ac:dyDescent="0.35">
      <c r="A28" s="170" t="s">
        <v>1212</v>
      </c>
      <c r="B28" s="170">
        <v>90719819</v>
      </c>
    </row>
    <row r="29" spans="1:2" x14ac:dyDescent="0.35">
      <c r="A29" s="170" t="s">
        <v>1213</v>
      </c>
      <c r="B29" s="170">
        <v>90732278</v>
      </c>
    </row>
    <row r="30" spans="1:2" x14ac:dyDescent="0.35">
      <c r="A30" s="170" t="s">
        <v>1214</v>
      </c>
      <c r="B30" s="170">
        <v>90727249</v>
      </c>
    </row>
    <row r="31" spans="1:2" x14ac:dyDescent="0.35">
      <c r="A31" s="170" t="s">
        <v>1215</v>
      </c>
      <c r="B31" s="170">
        <v>90719869</v>
      </c>
    </row>
    <row r="32" spans="1:2" x14ac:dyDescent="0.35">
      <c r="A32" s="170" t="s">
        <v>1216</v>
      </c>
      <c r="B32" s="170">
        <v>90719897</v>
      </c>
    </row>
    <row r="33" spans="1:2" x14ac:dyDescent="0.35">
      <c r="A33" s="170" t="s">
        <v>1217</v>
      </c>
      <c r="B33" s="170">
        <v>90720201</v>
      </c>
    </row>
    <row r="34" spans="1:2" x14ac:dyDescent="0.35">
      <c r="A34" s="170" t="s">
        <v>1218</v>
      </c>
      <c r="B34" s="170">
        <v>90719532</v>
      </c>
    </row>
    <row r="35" spans="1:2" x14ac:dyDescent="0.35">
      <c r="A35" s="170" t="s">
        <v>1219</v>
      </c>
      <c r="B35" s="170">
        <v>90719376</v>
      </c>
    </row>
    <row r="36" spans="1:2" x14ac:dyDescent="0.35">
      <c r="A36" s="170" t="s">
        <v>1220</v>
      </c>
      <c r="B36" s="170">
        <v>90725463</v>
      </c>
    </row>
    <row r="37" spans="1:2" x14ac:dyDescent="0.35">
      <c r="A37" s="170" t="s">
        <v>1221</v>
      </c>
      <c r="B37" s="170">
        <v>90725490</v>
      </c>
    </row>
    <row r="38" spans="1:2" x14ac:dyDescent="0.35">
      <c r="A38" s="170" t="s">
        <v>1222</v>
      </c>
      <c r="B38" s="170">
        <v>90719387</v>
      </c>
    </row>
    <row r="39" spans="1:2" x14ac:dyDescent="0.35">
      <c r="A39" s="170" t="s">
        <v>1223</v>
      </c>
      <c r="B39" s="170">
        <v>90719617</v>
      </c>
    </row>
    <row r="40" spans="1:2" x14ac:dyDescent="0.35">
      <c r="A40" s="170" t="s">
        <v>1224</v>
      </c>
      <c r="B40" s="170">
        <v>90719778</v>
      </c>
    </row>
    <row r="41" spans="1:2" x14ac:dyDescent="0.35">
      <c r="A41" s="170" t="s">
        <v>1225</v>
      </c>
      <c r="B41" s="170">
        <v>80116859</v>
      </c>
    </row>
    <row r="42" spans="1:2" x14ac:dyDescent="0.35">
      <c r="A42" s="170" t="s">
        <v>1226</v>
      </c>
      <c r="B42" s="170">
        <v>90718993</v>
      </c>
    </row>
    <row r="43" spans="1:2" x14ac:dyDescent="0.35">
      <c r="A43" s="170" t="s">
        <v>1227</v>
      </c>
      <c r="B43" s="170">
        <v>90732279</v>
      </c>
    </row>
    <row r="44" spans="1:2" x14ac:dyDescent="0.35">
      <c r="A44" s="170" t="s">
        <v>1228</v>
      </c>
      <c r="B44" s="170">
        <v>90719922</v>
      </c>
    </row>
    <row r="45" spans="1:2" x14ac:dyDescent="0.35">
      <c r="A45" s="170" t="s">
        <v>1229</v>
      </c>
      <c r="B45" s="170">
        <v>90719887</v>
      </c>
    </row>
    <row r="46" spans="1:2" x14ac:dyDescent="0.35">
      <c r="A46" s="170" t="s">
        <v>1230</v>
      </c>
      <c r="B46" s="170">
        <v>90718856</v>
      </c>
    </row>
    <row r="47" spans="1:2" x14ac:dyDescent="0.35">
      <c r="A47" s="170" t="s">
        <v>1231</v>
      </c>
      <c r="B47" s="170">
        <v>90719906</v>
      </c>
    </row>
    <row r="48" spans="1:2" x14ac:dyDescent="0.35">
      <c r="A48" s="170" t="s">
        <v>1232</v>
      </c>
      <c r="B48" s="170">
        <v>90719449</v>
      </c>
    </row>
    <row r="49" spans="1:2" x14ac:dyDescent="0.35">
      <c r="A49" s="170" t="s">
        <v>1233</v>
      </c>
      <c r="B49" s="170">
        <v>90719835</v>
      </c>
    </row>
    <row r="50" spans="1:2" x14ac:dyDescent="0.35">
      <c r="A50" s="170" t="s">
        <v>1234</v>
      </c>
      <c r="B50" s="170">
        <v>90719535</v>
      </c>
    </row>
    <row r="51" spans="1:2" x14ac:dyDescent="0.35">
      <c r="A51" s="170" t="s">
        <v>1235</v>
      </c>
      <c r="B51" s="170">
        <v>90719600</v>
      </c>
    </row>
    <row r="52" spans="1:2" x14ac:dyDescent="0.35">
      <c r="A52" s="170" t="s">
        <v>1236</v>
      </c>
      <c r="B52" s="170">
        <v>90719614</v>
      </c>
    </row>
    <row r="53" spans="1:2" x14ac:dyDescent="0.35">
      <c r="A53" s="170" t="s">
        <v>1237</v>
      </c>
      <c r="B53" s="170">
        <v>90718946</v>
      </c>
    </row>
    <row r="54" spans="1:2" x14ac:dyDescent="0.35">
      <c r="A54" s="170" t="s">
        <v>1238</v>
      </c>
      <c r="B54" s="170">
        <v>90719513</v>
      </c>
    </row>
    <row r="55" spans="1:2" x14ac:dyDescent="0.35">
      <c r="A55" s="170" t="s">
        <v>1239</v>
      </c>
      <c r="B55" s="170">
        <v>90727330</v>
      </c>
    </row>
    <row r="56" spans="1:2" x14ac:dyDescent="0.35">
      <c r="A56" s="170" t="s">
        <v>1240</v>
      </c>
      <c r="B56" s="170">
        <v>90719933</v>
      </c>
    </row>
    <row r="57" spans="1:2" x14ac:dyDescent="0.35">
      <c r="A57" s="170" t="s">
        <v>1241</v>
      </c>
      <c r="B57" s="170">
        <v>90719715</v>
      </c>
    </row>
    <row r="58" spans="1:2" x14ac:dyDescent="0.35">
      <c r="A58" s="170" t="s">
        <v>1242</v>
      </c>
      <c r="B58" s="170">
        <v>90719674</v>
      </c>
    </row>
    <row r="59" spans="1:2" x14ac:dyDescent="0.35">
      <c r="A59" s="170" t="s">
        <v>1243</v>
      </c>
      <c r="B59" s="170">
        <v>90724603</v>
      </c>
    </row>
    <row r="60" spans="1:2" x14ac:dyDescent="0.35">
      <c r="A60" s="170" t="s">
        <v>1244</v>
      </c>
      <c r="B60" s="170">
        <v>90719882</v>
      </c>
    </row>
    <row r="61" spans="1:2" x14ac:dyDescent="0.35">
      <c r="A61" s="170" t="s">
        <v>1245</v>
      </c>
      <c r="B61" s="170">
        <v>90719452</v>
      </c>
    </row>
    <row r="62" spans="1:2" x14ac:dyDescent="0.35">
      <c r="A62" s="170" t="s">
        <v>1246</v>
      </c>
      <c r="B62" s="170">
        <v>90719664</v>
      </c>
    </row>
    <row r="63" spans="1:2" x14ac:dyDescent="0.35">
      <c r="A63" s="170" t="s">
        <v>1247</v>
      </c>
      <c r="B63" s="170">
        <v>90719525</v>
      </c>
    </row>
    <row r="64" spans="1:2" x14ac:dyDescent="0.35">
      <c r="A64" s="170" t="s">
        <v>1248</v>
      </c>
      <c r="B64" s="170">
        <v>90719787</v>
      </c>
    </row>
    <row r="65" spans="1:2" x14ac:dyDescent="0.35">
      <c r="A65" s="170" t="s">
        <v>1249</v>
      </c>
      <c r="B65" s="170">
        <v>90718833</v>
      </c>
    </row>
    <row r="66" spans="1:2" x14ac:dyDescent="0.35">
      <c r="A66" s="170" t="s">
        <v>1250</v>
      </c>
      <c r="B66" s="170">
        <v>90718996</v>
      </c>
    </row>
    <row r="67" spans="1:2" x14ac:dyDescent="0.35">
      <c r="A67" s="170" t="s">
        <v>1251</v>
      </c>
      <c r="B67" s="170">
        <v>90718847</v>
      </c>
    </row>
    <row r="68" spans="1:2" x14ac:dyDescent="0.35">
      <c r="A68" s="170" t="s">
        <v>1252</v>
      </c>
      <c r="B68" s="170">
        <v>90719596</v>
      </c>
    </row>
    <row r="69" spans="1:2" x14ac:dyDescent="0.35">
      <c r="A69" s="170" t="s">
        <v>1253</v>
      </c>
      <c r="B69" s="170">
        <v>90719559</v>
      </c>
    </row>
    <row r="70" spans="1:2" x14ac:dyDescent="0.35">
      <c r="A70" s="170" t="s">
        <v>1254</v>
      </c>
      <c r="B70" s="170">
        <v>90719961</v>
      </c>
    </row>
    <row r="71" spans="1:2" x14ac:dyDescent="0.35">
      <c r="A71" s="170" t="s">
        <v>1255</v>
      </c>
      <c r="B71" s="170">
        <v>90727232</v>
      </c>
    </row>
    <row r="72" spans="1:2" x14ac:dyDescent="0.35">
      <c r="A72" s="170" t="s">
        <v>1256</v>
      </c>
      <c r="B72" s="170">
        <v>90719967</v>
      </c>
    </row>
    <row r="73" spans="1:2" x14ac:dyDescent="0.35">
      <c r="A73" s="170" t="s">
        <v>1257</v>
      </c>
      <c r="B73" s="170">
        <v>90730198</v>
      </c>
    </row>
    <row r="74" spans="1:2" x14ac:dyDescent="0.35">
      <c r="A74" s="170" t="s">
        <v>1258</v>
      </c>
      <c r="B74" s="170">
        <v>90719826</v>
      </c>
    </row>
    <row r="75" spans="1:2" x14ac:dyDescent="0.35">
      <c r="A75" s="170" t="s">
        <v>1259</v>
      </c>
      <c r="B75" s="170">
        <v>90719868</v>
      </c>
    </row>
    <row r="76" spans="1:2" x14ac:dyDescent="0.35">
      <c r="A76" s="170" t="s">
        <v>1260</v>
      </c>
      <c r="B76" s="170">
        <v>90731122</v>
      </c>
    </row>
    <row r="77" spans="1:2" x14ac:dyDescent="0.35">
      <c r="A77" s="170" t="s">
        <v>1261</v>
      </c>
      <c r="B77" s="170">
        <v>90727397</v>
      </c>
    </row>
    <row r="78" spans="1:2" x14ac:dyDescent="0.35">
      <c r="A78" s="170" t="s">
        <v>1262</v>
      </c>
      <c r="B78" s="170">
        <v>90732390</v>
      </c>
    </row>
    <row r="79" spans="1:2" x14ac:dyDescent="0.35">
      <c r="A79" s="170" t="s">
        <v>1263</v>
      </c>
      <c r="B79" s="170">
        <v>90729513</v>
      </c>
    </row>
    <row r="80" spans="1:2" x14ac:dyDescent="0.35">
      <c r="A80" s="170" t="s">
        <v>1264</v>
      </c>
      <c r="B80" s="170">
        <v>90719932</v>
      </c>
    </row>
    <row r="81" spans="1:2" x14ac:dyDescent="0.35">
      <c r="A81" s="170" t="s">
        <v>1265</v>
      </c>
      <c r="B81" s="170">
        <v>90732281</v>
      </c>
    </row>
    <row r="82" spans="1:2" x14ac:dyDescent="0.35">
      <c r="A82" s="170" t="s">
        <v>1266</v>
      </c>
      <c r="B82" s="170">
        <v>90719515</v>
      </c>
    </row>
    <row r="83" spans="1:2" x14ac:dyDescent="0.35">
      <c r="A83" s="170" t="s">
        <v>1267</v>
      </c>
      <c r="B83" s="170">
        <v>90732269</v>
      </c>
    </row>
    <row r="84" spans="1:2" x14ac:dyDescent="0.35">
      <c r="A84" s="170" t="s">
        <v>1268</v>
      </c>
      <c r="B84" s="170">
        <v>90719557</v>
      </c>
    </row>
    <row r="85" spans="1:2" x14ac:dyDescent="0.35">
      <c r="A85" s="170" t="s">
        <v>1269</v>
      </c>
      <c r="B85" s="170">
        <v>90732270</v>
      </c>
    </row>
    <row r="86" spans="1:2" x14ac:dyDescent="0.35">
      <c r="A86" s="170" t="s">
        <v>1270</v>
      </c>
      <c r="B86" s="170">
        <v>90719554</v>
      </c>
    </row>
    <row r="87" spans="1:2" x14ac:dyDescent="0.35">
      <c r="A87" s="170" t="s">
        <v>1271</v>
      </c>
      <c r="B87" s="170">
        <v>90719487</v>
      </c>
    </row>
    <row r="88" spans="1:2" x14ac:dyDescent="0.35">
      <c r="A88" s="170" t="s">
        <v>1272</v>
      </c>
      <c r="B88" s="170">
        <v>90719950</v>
      </c>
    </row>
    <row r="89" spans="1:2" x14ac:dyDescent="0.35">
      <c r="A89" s="170" t="s">
        <v>1273</v>
      </c>
      <c r="B89" s="170">
        <v>90719396</v>
      </c>
    </row>
    <row r="90" spans="1:2" x14ac:dyDescent="0.35">
      <c r="A90" s="170" t="s">
        <v>1274</v>
      </c>
      <c r="B90" s="170">
        <v>90719630</v>
      </c>
    </row>
    <row r="91" spans="1:2" x14ac:dyDescent="0.35">
      <c r="A91" s="170" t="s">
        <v>1275</v>
      </c>
      <c r="B91" s="170">
        <v>90719400</v>
      </c>
    </row>
    <row r="92" spans="1:2" x14ac:dyDescent="0.35">
      <c r="A92" s="170" t="s">
        <v>1276</v>
      </c>
      <c r="B92" s="170">
        <v>90719437</v>
      </c>
    </row>
    <row r="93" spans="1:2" x14ac:dyDescent="0.35">
      <c r="A93" s="170" t="s">
        <v>1277</v>
      </c>
      <c r="B93" s="170">
        <v>90719744</v>
      </c>
    </row>
    <row r="94" spans="1:2" x14ac:dyDescent="0.35">
      <c r="A94" s="170" t="s">
        <v>1278</v>
      </c>
      <c r="B94" s="170">
        <v>90732306</v>
      </c>
    </row>
    <row r="95" spans="1:2" x14ac:dyDescent="0.35">
      <c r="A95" s="170" t="s">
        <v>1279</v>
      </c>
      <c r="B95" s="170">
        <v>90719594</v>
      </c>
    </row>
    <row r="96" spans="1:2" x14ac:dyDescent="0.35">
      <c r="A96" s="170" t="s">
        <v>1280</v>
      </c>
      <c r="B96" s="170">
        <v>90719892</v>
      </c>
    </row>
    <row r="97" spans="1:2" x14ac:dyDescent="0.35">
      <c r="A97" s="170" t="s">
        <v>1281</v>
      </c>
      <c r="B97" s="170">
        <v>20104555</v>
      </c>
    </row>
    <row r="98" spans="1:2" x14ac:dyDescent="0.35">
      <c r="A98" s="170" t="s">
        <v>1282</v>
      </c>
      <c r="B98" s="170">
        <v>90726368</v>
      </c>
    </row>
    <row r="99" spans="1:2" x14ac:dyDescent="0.35">
      <c r="A99" s="170" t="s">
        <v>1283</v>
      </c>
      <c r="B99" s="170">
        <v>90719905</v>
      </c>
    </row>
    <row r="100" spans="1:2" x14ac:dyDescent="0.35">
      <c r="A100" s="170" t="s">
        <v>1284</v>
      </c>
      <c r="B100" s="170">
        <v>90719238</v>
      </c>
    </row>
    <row r="101" spans="1:2" x14ac:dyDescent="0.35">
      <c r="A101" s="170" t="s">
        <v>1285</v>
      </c>
      <c r="B101" s="170">
        <v>90719455</v>
      </c>
    </row>
    <row r="102" spans="1:2" x14ac:dyDescent="0.35">
      <c r="A102" s="170" t="s">
        <v>1286</v>
      </c>
      <c r="B102" s="170">
        <v>90732307</v>
      </c>
    </row>
    <row r="103" spans="1:2" x14ac:dyDescent="0.35">
      <c r="A103" s="170" t="s">
        <v>1287</v>
      </c>
      <c r="B103" s="170">
        <v>90719979</v>
      </c>
    </row>
    <row r="104" spans="1:2" x14ac:dyDescent="0.35">
      <c r="A104" s="170" t="s">
        <v>1288</v>
      </c>
      <c r="B104" s="170">
        <v>90718196</v>
      </c>
    </row>
    <row r="105" spans="1:2" x14ac:dyDescent="0.35">
      <c r="A105" s="170" t="s">
        <v>1289</v>
      </c>
      <c r="B105" s="170">
        <v>90725496</v>
      </c>
    </row>
    <row r="106" spans="1:2" x14ac:dyDescent="0.35">
      <c r="A106" s="170" t="s">
        <v>1290</v>
      </c>
      <c r="B106" s="170">
        <v>90719953</v>
      </c>
    </row>
    <row r="107" spans="1:2" x14ac:dyDescent="0.35">
      <c r="A107" s="170" t="s">
        <v>1291</v>
      </c>
      <c r="B107" s="170">
        <v>90732296</v>
      </c>
    </row>
    <row r="108" spans="1:2" x14ac:dyDescent="0.35">
      <c r="A108" s="170" t="s">
        <v>1292</v>
      </c>
      <c r="B108" s="170">
        <v>90719777</v>
      </c>
    </row>
    <row r="109" spans="1:2" x14ac:dyDescent="0.35">
      <c r="A109" s="170" t="s">
        <v>1293</v>
      </c>
      <c r="B109" s="170">
        <v>90719789</v>
      </c>
    </row>
    <row r="110" spans="1:2" x14ac:dyDescent="0.35">
      <c r="A110" s="170" t="s">
        <v>1294</v>
      </c>
      <c r="B110" s="170">
        <v>90719522</v>
      </c>
    </row>
    <row r="111" spans="1:2" x14ac:dyDescent="0.35">
      <c r="A111" s="170" t="s">
        <v>1295</v>
      </c>
      <c r="B111" s="170">
        <v>90719609</v>
      </c>
    </row>
    <row r="112" spans="1:2" x14ac:dyDescent="0.35">
      <c r="A112" s="170" t="s">
        <v>1296</v>
      </c>
      <c r="B112" s="170">
        <v>90719224</v>
      </c>
    </row>
    <row r="113" spans="1:2" x14ac:dyDescent="0.35">
      <c r="A113" s="170" t="s">
        <v>1297</v>
      </c>
      <c r="B113" s="170">
        <v>90732274</v>
      </c>
    </row>
    <row r="114" spans="1:2" x14ac:dyDescent="0.35">
      <c r="A114" s="170" t="s">
        <v>1298</v>
      </c>
      <c r="B114" s="170">
        <v>90718853</v>
      </c>
    </row>
    <row r="115" spans="1:2" x14ac:dyDescent="0.35">
      <c r="A115" s="170" t="s">
        <v>1299</v>
      </c>
      <c r="B115" s="170">
        <v>90719635</v>
      </c>
    </row>
    <row r="116" spans="1:2" x14ac:dyDescent="0.35">
      <c r="A116" s="170" t="s">
        <v>1300</v>
      </c>
      <c r="B116" s="170">
        <v>90718960</v>
      </c>
    </row>
    <row r="117" spans="1:2" x14ac:dyDescent="0.35">
      <c r="A117" s="170" t="s">
        <v>1301</v>
      </c>
      <c r="B117" s="170">
        <v>90719940</v>
      </c>
    </row>
    <row r="118" spans="1:2" x14ac:dyDescent="0.35">
      <c r="A118" s="170" t="s">
        <v>1302</v>
      </c>
      <c r="B118" s="170">
        <v>90718971</v>
      </c>
    </row>
    <row r="119" spans="1:2" x14ac:dyDescent="0.35">
      <c r="A119" s="170" t="s">
        <v>1303</v>
      </c>
      <c r="B119" s="170">
        <v>90719937</v>
      </c>
    </row>
    <row r="120" spans="1:2" x14ac:dyDescent="0.35">
      <c r="A120" s="170" t="s">
        <v>1304</v>
      </c>
      <c r="B120" s="170">
        <v>90719885</v>
      </c>
    </row>
    <row r="121" spans="1:2" x14ac:dyDescent="0.35">
      <c r="A121" s="170" t="s">
        <v>1305</v>
      </c>
      <c r="B121" s="170">
        <v>90732275</v>
      </c>
    </row>
    <row r="122" spans="1:2" x14ac:dyDescent="0.35">
      <c r="A122" s="170" t="s">
        <v>1306</v>
      </c>
      <c r="B122" s="170">
        <v>90719853</v>
      </c>
    </row>
    <row r="123" spans="1:2" x14ac:dyDescent="0.35">
      <c r="A123" s="170" t="s">
        <v>1307</v>
      </c>
      <c r="B123" s="170">
        <v>90719710</v>
      </c>
    </row>
    <row r="124" spans="1:2" x14ac:dyDescent="0.35">
      <c r="A124" s="170" t="s">
        <v>1308</v>
      </c>
      <c r="B124" s="170">
        <v>90719587</v>
      </c>
    </row>
    <row r="125" spans="1:2" x14ac:dyDescent="0.35">
      <c r="A125" s="170" t="s">
        <v>1309</v>
      </c>
      <c r="B125" s="170">
        <v>20111413</v>
      </c>
    </row>
    <row r="126" spans="1:2" x14ac:dyDescent="0.35">
      <c r="A126" s="170" t="s">
        <v>1310</v>
      </c>
      <c r="B126" s="170">
        <v>90725493</v>
      </c>
    </row>
    <row r="127" spans="1:2" x14ac:dyDescent="0.35">
      <c r="A127" s="170" t="s">
        <v>1311</v>
      </c>
      <c r="B127" s="170">
        <v>90719833</v>
      </c>
    </row>
    <row r="128" spans="1:2" x14ac:dyDescent="0.35">
      <c r="A128" s="170" t="s">
        <v>1312</v>
      </c>
      <c r="B128" s="170">
        <v>90719782</v>
      </c>
    </row>
    <row r="129" spans="1:2" x14ac:dyDescent="0.35">
      <c r="A129" s="170" t="s">
        <v>1313</v>
      </c>
      <c r="B129" s="170">
        <v>90732277</v>
      </c>
    </row>
    <row r="130" spans="1:2" x14ac:dyDescent="0.35">
      <c r="A130" s="170" t="s">
        <v>1314</v>
      </c>
      <c r="B130" s="170">
        <v>90718192</v>
      </c>
    </row>
    <row r="131" spans="1:2" x14ac:dyDescent="0.35">
      <c r="A131" s="170" t="s">
        <v>1315</v>
      </c>
      <c r="B131" s="170">
        <v>90719798</v>
      </c>
    </row>
    <row r="132" spans="1:2" x14ac:dyDescent="0.35">
      <c r="A132" s="170" t="s">
        <v>1316</v>
      </c>
      <c r="B132" s="170">
        <v>90727248</v>
      </c>
    </row>
    <row r="133" spans="1:2" x14ac:dyDescent="0.35">
      <c r="A133" s="170" t="s">
        <v>1317</v>
      </c>
      <c r="B133" s="170">
        <v>90719938</v>
      </c>
    </row>
    <row r="134" spans="1:2" x14ac:dyDescent="0.35">
      <c r="A134" s="170" t="s">
        <v>1318</v>
      </c>
      <c r="B134" s="170">
        <v>90727175</v>
      </c>
    </row>
    <row r="135" spans="1:2" x14ac:dyDescent="0.35">
      <c r="A135" s="170" t="s">
        <v>1319</v>
      </c>
      <c r="B135" s="170">
        <v>90727178</v>
      </c>
    </row>
    <row r="136" spans="1:2" x14ac:dyDescent="0.35">
      <c r="A136" s="170" t="s">
        <v>1320</v>
      </c>
      <c r="B136" s="170">
        <v>90718952</v>
      </c>
    </row>
    <row r="137" spans="1:2" x14ac:dyDescent="0.35">
      <c r="A137" s="170" t="s">
        <v>1321</v>
      </c>
      <c r="B137" s="170">
        <v>20072996</v>
      </c>
    </row>
    <row r="138" spans="1:2" x14ac:dyDescent="0.35">
      <c r="A138" s="170" t="s">
        <v>1322</v>
      </c>
      <c r="B138" s="170"/>
    </row>
    <row r="139" spans="1:2" x14ac:dyDescent="0.35">
      <c r="A139" s="170" t="s">
        <v>1323</v>
      </c>
      <c r="B139" s="170"/>
    </row>
    <row r="140" spans="1:2" x14ac:dyDescent="0.35">
      <c r="A140" s="170" t="s">
        <v>1324</v>
      </c>
      <c r="B140" s="170">
        <v>90719718</v>
      </c>
    </row>
    <row r="141" spans="1:2" x14ac:dyDescent="0.35">
      <c r="A141" s="170" t="s">
        <v>1325</v>
      </c>
      <c r="B141" s="170">
        <v>90719838</v>
      </c>
    </row>
    <row r="142" spans="1:2" x14ac:dyDescent="0.35">
      <c r="A142" s="170" t="s">
        <v>1326</v>
      </c>
      <c r="B142" s="170">
        <v>90719657</v>
      </c>
    </row>
    <row r="143" spans="1:2" x14ac:dyDescent="0.35">
      <c r="A143" s="170" t="s">
        <v>1327</v>
      </c>
      <c r="B143" s="170">
        <v>90719714</v>
      </c>
    </row>
    <row r="144" spans="1:2" x14ac:dyDescent="0.35">
      <c r="A144" s="170" t="s">
        <v>1328</v>
      </c>
      <c r="B144" s="170">
        <v>90719847</v>
      </c>
    </row>
    <row r="145" spans="1:2" x14ac:dyDescent="0.35">
      <c r="A145" s="170" t="s">
        <v>1329</v>
      </c>
      <c r="B145" s="170">
        <v>90732309</v>
      </c>
    </row>
    <row r="146" spans="1:2" x14ac:dyDescent="0.35">
      <c r="A146" s="170" t="s">
        <v>1330</v>
      </c>
      <c r="B146" s="170">
        <v>90719326</v>
      </c>
    </row>
    <row r="147" spans="1:2" x14ac:dyDescent="0.35">
      <c r="A147" s="170" t="s">
        <v>1331</v>
      </c>
      <c r="B147" s="170">
        <v>90719769</v>
      </c>
    </row>
    <row r="148" spans="1:2" x14ac:dyDescent="0.35">
      <c r="A148" s="170" t="s">
        <v>1332</v>
      </c>
      <c r="B148" s="170">
        <v>90719443</v>
      </c>
    </row>
    <row r="149" spans="1:2" x14ac:dyDescent="0.35">
      <c r="A149" s="170" t="s">
        <v>1333</v>
      </c>
      <c r="B149" s="170">
        <v>90719444</v>
      </c>
    </row>
    <row r="150" spans="1:2" x14ac:dyDescent="0.35">
      <c r="A150" s="170" t="s">
        <v>1334</v>
      </c>
      <c r="B150" s="170">
        <v>90719909</v>
      </c>
    </row>
    <row r="151" spans="1:2" x14ac:dyDescent="0.35">
      <c r="A151" s="170" t="s">
        <v>1335</v>
      </c>
      <c r="B151" s="170">
        <v>90719479</v>
      </c>
    </row>
    <row r="152" spans="1:2" x14ac:dyDescent="0.35">
      <c r="A152" s="170" t="s">
        <v>1336</v>
      </c>
      <c r="B152" s="170">
        <v>90719485</v>
      </c>
    </row>
    <row r="153" spans="1:2" x14ac:dyDescent="0.35">
      <c r="A153" s="170" t="s">
        <v>1337</v>
      </c>
      <c r="B153" s="170">
        <v>90719496</v>
      </c>
    </row>
    <row r="154" spans="1:2" x14ac:dyDescent="0.35">
      <c r="A154" s="170" t="s">
        <v>1338</v>
      </c>
      <c r="B154" s="170">
        <v>90719934</v>
      </c>
    </row>
    <row r="155" spans="1:2" x14ac:dyDescent="0.35">
      <c r="A155" s="170" t="s">
        <v>1339</v>
      </c>
      <c r="B155" s="170">
        <v>90719307</v>
      </c>
    </row>
    <row r="156" spans="1:2" x14ac:dyDescent="0.35">
      <c r="A156" s="170" t="s">
        <v>1340</v>
      </c>
      <c r="B156" s="170">
        <v>90719749</v>
      </c>
    </row>
    <row r="157" spans="1:2" x14ac:dyDescent="0.35">
      <c r="A157" s="170" t="s">
        <v>1341</v>
      </c>
      <c r="B157" s="170">
        <v>90719784</v>
      </c>
    </row>
    <row r="158" spans="1:2" x14ac:dyDescent="0.35">
      <c r="A158" s="170" t="s">
        <v>1342</v>
      </c>
      <c r="B158" s="170">
        <v>80119778</v>
      </c>
    </row>
    <row r="159" spans="1:2" x14ac:dyDescent="0.35">
      <c r="A159" s="170" t="s">
        <v>1343</v>
      </c>
      <c r="B159" s="170">
        <v>90719406</v>
      </c>
    </row>
    <row r="160" spans="1:2" x14ac:dyDescent="0.35">
      <c r="A160" s="170" t="s">
        <v>1344</v>
      </c>
      <c r="B160" s="170">
        <v>90719639</v>
      </c>
    </row>
    <row r="161" spans="1:2" x14ac:dyDescent="0.35">
      <c r="A161" s="170" t="s">
        <v>1345</v>
      </c>
      <c r="B161" s="170">
        <v>90732332</v>
      </c>
    </row>
    <row r="162" spans="1:2" x14ac:dyDescent="0.35">
      <c r="A162" s="170" t="s">
        <v>1346</v>
      </c>
      <c r="B162" s="170">
        <v>90732280</v>
      </c>
    </row>
    <row r="163" spans="1:2" x14ac:dyDescent="0.35">
      <c r="A163" s="170" t="s">
        <v>1347</v>
      </c>
      <c r="B163" s="170">
        <v>90724640</v>
      </c>
    </row>
    <row r="164" spans="1:2" x14ac:dyDescent="0.35">
      <c r="A164" s="170" t="s">
        <v>1348</v>
      </c>
      <c r="B164" s="170">
        <v>90725456</v>
      </c>
    </row>
    <row r="165" spans="1:2" x14ac:dyDescent="0.35">
      <c r="A165" s="170" t="s">
        <v>1349</v>
      </c>
      <c r="B165" s="170">
        <v>90732285</v>
      </c>
    </row>
    <row r="166" spans="1:2" x14ac:dyDescent="0.35">
      <c r="A166" s="170" t="s">
        <v>1350</v>
      </c>
      <c r="B166" s="170">
        <v>90719563</v>
      </c>
    </row>
    <row r="167" spans="1:2" x14ac:dyDescent="0.35">
      <c r="A167" s="170" t="s">
        <v>1351</v>
      </c>
      <c r="B167" s="170">
        <v>20104603</v>
      </c>
    </row>
    <row r="168" spans="1:2" x14ac:dyDescent="0.35">
      <c r="A168" s="170" t="s">
        <v>1352</v>
      </c>
      <c r="B168" s="170">
        <v>90719580</v>
      </c>
    </row>
    <row r="169" spans="1:2" x14ac:dyDescent="0.35">
      <c r="A169" s="170" t="s">
        <v>1353</v>
      </c>
      <c r="B169" s="170">
        <v>90719555</v>
      </c>
    </row>
    <row r="170" spans="1:2" x14ac:dyDescent="0.35">
      <c r="A170" s="170" t="s">
        <v>1354</v>
      </c>
      <c r="B170" s="170">
        <v>90719672</v>
      </c>
    </row>
    <row r="171" spans="1:2" x14ac:dyDescent="0.35">
      <c r="A171" s="170" t="s">
        <v>1355</v>
      </c>
      <c r="B171" s="170">
        <v>90727173</v>
      </c>
    </row>
    <row r="172" spans="1:2" x14ac:dyDescent="0.35">
      <c r="A172" s="170" t="s">
        <v>1356</v>
      </c>
      <c r="B172" s="170">
        <v>90719602</v>
      </c>
    </row>
    <row r="173" spans="1:2" x14ac:dyDescent="0.35">
      <c r="A173" s="170" t="s">
        <v>1357</v>
      </c>
      <c r="B173" s="170">
        <v>90719904</v>
      </c>
    </row>
    <row r="174" spans="1:2" x14ac:dyDescent="0.35">
      <c r="A174" s="170" t="s">
        <v>1358</v>
      </c>
      <c r="B174" s="170">
        <v>90719521</v>
      </c>
    </row>
    <row r="175" spans="1:2" x14ac:dyDescent="0.35">
      <c r="A175" s="170" t="s">
        <v>1359</v>
      </c>
      <c r="B175" s="170">
        <v>90719576</v>
      </c>
    </row>
    <row r="176" spans="1:2" x14ac:dyDescent="0.35">
      <c r="A176" s="170" t="s">
        <v>1360</v>
      </c>
      <c r="B176" s="170">
        <v>90719593</v>
      </c>
    </row>
    <row r="177" spans="1:2" x14ac:dyDescent="0.35">
      <c r="A177" s="170" t="s">
        <v>1361</v>
      </c>
      <c r="B177" s="170">
        <v>90724671</v>
      </c>
    </row>
    <row r="178" spans="1:2" x14ac:dyDescent="0.35">
      <c r="A178" s="170" t="s">
        <v>1362</v>
      </c>
      <c r="B178" s="170">
        <v>90719943</v>
      </c>
    </row>
    <row r="179" spans="1:2" x14ac:dyDescent="0.35">
      <c r="A179" s="170" t="s">
        <v>1363</v>
      </c>
      <c r="B179" s="170">
        <v>90732282</v>
      </c>
    </row>
    <row r="180" spans="1:2" x14ac:dyDescent="0.35">
      <c r="A180" s="170" t="s">
        <v>1364</v>
      </c>
      <c r="B180" s="170">
        <v>90727247</v>
      </c>
    </row>
    <row r="181" spans="1:2" x14ac:dyDescent="0.35">
      <c r="A181" s="170" t="s">
        <v>1365</v>
      </c>
      <c r="B181" s="170">
        <v>90719779</v>
      </c>
    </row>
    <row r="182" spans="1:2" x14ac:dyDescent="0.35">
      <c r="A182" s="170" t="s">
        <v>1366</v>
      </c>
      <c r="B182" s="170">
        <v>90727181</v>
      </c>
    </row>
    <row r="183" spans="1:2" x14ac:dyDescent="0.35">
      <c r="A183" s="170" t="s">
        <v>1367</v>
      </c>
      <c r="B183" s="170">
        <v>90719894</v>
      </c>
    </row>
    <row r="184" spans="1:2" x14ac:dyDescent="0.35">
      <c r="A184" s="170" t="s">
        <v>1368</v>
      </c>
      <c r="B184" s="170">
        <v>90727255</v>
      </c>
    </row>
    <row r="185" spans="1:2" x14ac:dyDescent="0.35">
      <c r="A185" s="170" t="s">
        <v>1369</v>
      </c>
      <c r="B185" s="170">
        <v>90718827</v>
      </c>
    </row>
    <row r="186" spans="1:2" x14ac:dyDescent="0.35">
      <c r="A186" s="170" t="s">
        <v>1370</v>
      </c>
      <c r="B186" s="170">
        <v>90719916</v>
      </c>
    </row>
    <row r="187" spans="1:2" x14ac:dyDescent="0.35">
      <c r="A187" s="170" t="s">
        <v>1371</v>
      </c>
      <c r="B187" s="170">
        <v>90718990</v>
      </c>
    </row>
    <row r="188" spans="1:2" x14ac:dyDescent="0.35">
      <c r="A188" s="170" t="s">
        <v>1372</v>
      </c>
      <c r="B188" s="170">
        <v>90719530</v>
      </c>
    </row>
    <row r="189" spans="1:2" x14ac:dyDescent="0.35">
      <c r="A189" s="170" t="s">
        <v>1373</v>
      </c>
      <c r="B189" s="170">
        <v>90719622</v>
      </c>
    </row>
    <row r="190" spans="1:2" x14ac:dyDescent="0.35">
      <c r="A190" s="170" t="s">
        <v>1374</v>
      </c>
      <c r="B190" s="170">
        <v>90732331</v>
      </c>
    </row>
    <row r="191" spans="1:2" x14ac:dyDescent="0.35">
      <c r="A191" s="170" t="s">
        <v>1375</v>
      </c>
      <c r="B191" s="170">
        <v>90725487</v>
      </c>
    </row>
    <row r="192" spans="1:2" x14ac:dyDescent="0.35">
      <c r="A192" s="170" t="s">
        <v>1376</v>
      </c>
      <c r="B192" s="170">
        <v>90719211</v>
      </c>
    </row>
    <row r="193" spans="1:2" x14ac:dyDescent="0.35">
      <c r="A193" s="170" t="s">
        <v>1377</v>
      </c>
      <c r="B193" s="170">
        <v>90719476</v>
      </c>
    </row>
    <row r="194" spans="1:2" x14ac:dyDescent="0.35">
      <c r="A194" s="170" t="s">
        <v>1378</v>
      </c>
      <c r="B194" s="170">
        <v>90719767</v>
      </c>
    </row>
    <row r="195" spans="1:2" x14ac:dyDescent="0.35">
      <c r="A195" s="170" t="s">
        <v>1379</v>
      </c>
      <c r="B195" s="170">
        <v>90719482</v>
      </c>
    </row>
    <row r="196" spans="1:2" x14ac:dyDescent="0.35">
      <c r="A196" s="170" t="s">
        <v>1380</v>
      </c>
      <c r="B196" s="170">
        <v>90719413</v>
      </c>
    </row>
    <row r="197" spans="1:2" x14ac:dyDescent="0.35">
      <c r="A197" s="170" t="s">
        <v>1381</v>
      </c>
      <c r="B197" s="170">
        <v>90719667</v>
      </c>
    </row>
    <row r="198" spans="1:2" x14ac:dyDescent="0.35">
      <c r="A198" s="170" t="s">
        <v>1382</v>
      </c>
      <c r="B198" s="170">
        <v>90719666</v>
      </c>
    </row>
    <row r="199" spans="1:2" x14ac:dyDescent="0.35">
      <c r="A199" s="170" t="s">
        <v>1383</v>
      </c>
      <c r="B199" s="170">
        <v>90719008</v>
      </c>
    </row>
    <row r="200" spans="1:2" x14ac:dyDescent="0.35">
      <c r="A200" s="170" t="s">
        <v>1384</v>
      </c>
      <c r="B200" s="170">
        <v>90719708</v>
      </c>
    </row>
    <row r="201" spans="1:2" x14ac:dyDescent="0.35">
      <c r="A201" s="170" t="s">
        <v>1385</v>
      </c>
      <c r="B201" s="170">
        <v>90725460</v>
      </c>
    </row>
    <row r="202" spans="1:2" x14ac:dyDescent="0.35">
      <c r="A202" s="170" t="s">
        <v>1386</v>
      </c>
      <c r="B202" s="170">
        <v>90719629</v>
      </c>
    </row>
    <row r="203" spans="1:2" x14ac:dyDescent="0.35">
      <c r="A203" s="170" t="s">
        <v>1387</v>
      </c>
      <c r="B203" s="170">
        <v>90719019</v>
      </c>
    </row>
    <row r="204" spans="1:2" x14ac:dyDescent="0.35">
      <c r="A204" s="170" t="s">
        <v>1388</v>
      </c>
      <c r="B204" s="170">
        <v>90732297</v>
      </c>
    </row>
    <row r="205" spans="1:2" x14ac:dyDescent="0.35">
      <c r="A205" s="170" t="s">
        <v>1389</v>
      </c>
      <c r="B205" s="170">
        <v>90724644</v>
      </c>
    </row>
    <row r="206" spans="1:2" x14ac:dyDescent="0.35">
      <c r="A206" s="170" t="s">
        <v>1390</v>
      </c>
      <c r="B206" s="170">
        <v>90719446</v>
      </c>
    </row>
    <row r="207" spans="1:2" x14ac:dyDescent="0.35">
      <c r="A207" s="170" t="s">
        <v>1391</v>
      </c>
      <c r="B207" s="170">
        <v>90719643</v>
      </c>
    </row>
    <row r="208" spans="1:2" x14ac:dyDescent="0.35">
      <c r="A208" s="170" t="s">
        <v>1392</v>
      </c>
      <c r="B208" s="170">
        <v>80114706</v>
      </c>
    </row>
    <row r="209" spans="1:2" x14ac:dyDescent="0.35">
      <c r="A209" s="170" t="s">
        <v>1393</v>
      </c>
      <c r="B209" s="170">
        <v>90719518</v>
      </c>
    </row>
    <row r="210" spans="1:2" x14ac:dyDescent="0.35">
      <c r="A210" s="170" t="s">
        <v>1394</v>
      </c>
      <c r="B210" s="170">
        <v>90719621</v>
      </c>
    </row>
    <row r="211" spans="1:2" x14ac:dyDescent="0.35">
      <c r="A211" s="170" t="s">
        <v>1395</v>
      </c>
      <c r="B211" s="170">
        <v>90719678</v>
      </c>
    </row>
    <row r="212" spans="1:2" x14ac:dyDescent="0.35">
      <c r="A212" s="170" t="s">
        <v>1396</v>
      </c>
      <c r="B212" s="170">
        <v>90719911</v>
      </c>
    </row>
    <row r="213" spans="1:2" x14ac:dyDescent="0.35">
      <c r="A213" s="170" t="s">
        <v>1397</v>
      </c>
      <c r="B213" s="170">
        <v>90719578</v>
      </c>
    </row>
    <row r="214" spans="1:2" x14ac:dyDescent="0.35">
      <c r="A214" s="170" t="s">
        <v>1398</v>
      </c>
      <c r="B214" s="170">
        <v>90719945</v>
      </c>
    </row>
    <row r="215" spans="1:2" x14ac:dyDescent="0.35">
      <c r="A215" s="170" t="s">
        <v>1399</v>
      </c>
      <c r="B215" s="170">
        <v>90719929</v>
      </c>
    </row>
    <row r="216" spans="1:2" x14ac:dyDescent="0.35">
      <c r="A216" s="170" t="s">
        <v>1400</v>
      </c>
      <c r="B216" s="170">
        <v>90718947</v>
      </c>
    </row>
    <row r="217" spans="1:2" x14ac:dyDescent="0.35">
      <c r="A217" s="170" t="s">
        <v>1401</v>
      </c>
      <c r="B217" s="170">
        <v>90719384</v>
      </c>
    </row>
    <row r="218" spans="1:2" x14ac:dyDescent="0.35">
      <c r="A218" s="170" t="s">
        <v>1402</v>
      </c>
      <c r="B218" s="170">
        <v>90729433</v>
      </c>
    </row>
    <row r="219" spans="1:2" x14ac:dyDescent="0.35">
      <c r="A219" s="170" t="s">
        <v>1403</v>
      </c>
      <c r="B219" s="170">
        <v>90727544</v>
      </c>
    </row>
    <row r="220" spans="1:2" x14ac:dyDescent="0.35">
      <c r="A220" s="170" t="s">
        <v>1404</v>
      </c>
      <c r="B220" s="170">
        <v>90719323</v>
      </c>
    </row>
    <row r="221" spans="1:2" x14ac:dyDescent="0.35">
      <c r="A221" s="170" t="s">
        <v>1405</v>
      </c>
      <c r="B221" s="170">
        <v>90718194</v>
      </c>
    </row>
    <row r="222" spans="1:2" x14ac:dyDescent="0.35">
      <c r="A222" s="170" t="s">
        <v>1406</v>
      </c>
      <c r="B222" s="170">
        <v>90719459</v>
      </c>
    </row>
    <row r="223" spans="1:2" x14ac:dyDescent="0.35">
      <c r="A223" s="170" t="s">
        <v>1407</v>
      </c>
      <c r="B223" s="170">
        <v>90719931</v>
      </c>
    </row>
    <row r="224" spans="1:2" x14ac:dyDescent="0.35">
      <c r="A224" s="170" t="s">
        <v>1408</v>
      </c>
      <c r="B224" s="170">
        <v>90719545</v>
      </c>
    </row>
    <row r="225" spans="1:2" x14ac:dyDescent="0.35">
      <c r="A225" s="170" t="s">
        <v>1409</v>
      </c>
      <c r="B225" s="170">
        <v>90719531</v>
      </c>
    </row>
    <row r="226" spans="1:2" x14ac:dyDescent="0.35">
      <c r="A226" s="170" t="s">
        <v>1410</v>
      </c>
      <c r="B226" s="170">
        <v>90719907</v>
      </c>
    </row>
    <row r="227" spans="1:2" x14ac:dyDescent="0.35">
      <c r="A227" s="170" t="s">
        <v>1411</v>
      </c>
      <c r="B227" s="170">
        <v>90719730</v>
      </c>
    </row>
    <row r="228" spans="1:2" x14ac:dyDescent="0.35">
      <c r="A228" s="170" t="s">
        <v>1412</v>
      </c>
      <c r="B228" s="170">
        <v>90732283</v>
      </c>
    </row>
    <row r="229" spans="1:2" x14ac:dyDescent="0.35">
      <c r="A229" s="170" t="s">
        <v>1413</v>
      </c>
      <c r="B229" s="170">
        <v>90719735</v>
      </c>
    </row>
    <row r="230" spans="1:2" x14ac:dyDescent="0.35">
      <c r="A230" s="170" t="s">
        <v>1414</v>
      </c>
      <c r="B230" s="170">
        <v>90719301</v>
      </c>
    </row>
    <row r="231" spans="1:2" x14ac:dyDescent="0.35">
      <c r="A231" s="170" t="s">
        <v>1415</v>
      </c>
      <c r="B231" s="170">
        <v>90719345</v>
      </c>
    </row>
    <row r="232" spans="1:2" x14ac:dyDescent="0.35">
      <c r="A232" s="170" t="s">
        <v>1416</v>
      </c>
      <c r="B232" s="170">
        <v>90719862</v>
      </c>
    </row>
    <row r="233" spans="1:2" x14ac:dyDescent="0.35">
      <c r="A233" s="170" t="s">
        <v>1417</v>
      </c>
      <c r="B233" s="170">
        <v>90719651</v>
      </c>
    </row>
    <row r="234" spans="1:2" x14ac:dyDescent="0.35">
      <c r="A234" s="170" t="s">
        <v>1418</v>
      </c>
      <c r="B234" s="170">
        <v>90728065</v>
      </c>
    </row>
    <row r="235" spans="1:2" x14ac:dyDescent="0.35">
      <c r="A235" s="170" t="s">
        <v>1419</v>
      </c>
      <c r="B235" s="170">
        <v>90719724</v>
      </c>
    </row>
    <row r="236" spans="1:2" x14ac:dyDescent="0.35">
      <c r="A236" s="170" t="s">
        <v>1420</v>
      </c>
      <c r="B236" s="170">
        <v>90730600</v>
      </c>
    </row>
    <row r="237" spans="1:2" x14ac:dyDescent="0.35">
      <c r="A237" s="170" t="s">
        <v>1421</v>
      </c>
      <c r="B237" s="170">
        <v>90719927</v>
      </c>
    </row>
    <row r="238" spans="1:2" x14ac:dyDescent="0.35">
      <c r="A238" s="170" t="s">
        <v>1422</v>
      </c>
      <c r="B238" s="170">
        <v>90719925</v>
      </c>
    </row>
    <row r="239" spans="1:2" x14ac:dyDescent="0.35">
      <c r="A239" s="170" t="s">
        <v>1423</v>
      </c>
      <c r="B239" s="170">
        <v>90727250</v>
      </c>
    </row>
    <row r="240" spans="1:2" x14ac:dyDescent="0.35">
      <c r="A240" s="170" t="s">
        <v>1424</v>
      </c>
      <c r="B240" s="170">
        <v>90724613</v>
      </c>
    </row>
    <row r="241" spans="1:2" x14ac:dyDescent="0.35">
      <c r="A241" s="170" t="s">
        <v>1425</v>
      </c>
      <c r="B241" s="170">
        <v>80125754</v>
      </c>
    </row>
    <row r="242" spans="1:2" x14ac:dyDescent="0.35">
      <c r="A242" s="170" t="s">
        <v>1426</v>
      </c>
      <c r="B242" s="170">
        <v>90727179</v>
      </c>
    </row>
    <row r="243" spans="1:2" x14ac:dyDescent="0.35">
      <c r="A243" s="170" t="s">
        <v>1427</v>
      </c>
      <c r="B243" s="170">
        <v>90732284</v>
      </c>
    </row>
    <row r="244" spans="1:2" x14ac:dyDescent="0.35">
      <c r="A244" s="170" t="s">
        <v>1428</v>
      </c>
      <c r="B244" s="170">
        <v>90719604</v>
      </c>
    </row>
    <row r="245" spans="1:2" x14ac:dyDescent="0.35">
      <c r="A245" s="170" t="s">
        <v>1429</v>
      </c>
      <c r="B245" s="170">
        <v>90719475</v>
      </c>
    </row>
    <row r="246" spans="1:2" x14ac:dyDescent="0.35">
      <c r="A246" s="170" t="s">
        <v>1430</v>
      </c>
      <c r="B246" s="170">
        <v>90719900</v>
      </c>
    </row>
    <row r="247" spans="1:2" x14ac:dyDescent="0.35">
      <c r="A247" s="170" t="s">
        <v>1431</v>
      </c>
      <c r="B247" s="170">
        <v>90719908</v>
      </c>
    </row>
    <row r="248" spans="1:2" x14ac:dyDescent="0.35">
      <c r="A248" s="170" t="s">
        <v>1432</v>
      </c>
      <c r="B248" s="170">
        <v>90718818</v>
      </c>
    </row>
    <row r="249" spans="1:2" x14ac:dyDescent="0.35">
      <c r="A249" s="170" t="s">
        <v>1433</v>
      </c>
      <c r="B249" s="170">
        <v>90719627</v>
      </c>
    </row>
    <row r="250" spans="1:2" x14ac:dyDescent="0.35">
      <c r="A250" s="170" t="s">
        <v>1434</v>
      </c>
      <c r="B250" s="170">
        <v>80114708</v>
      </c>
    </row>
    <row r="251" spans="1:2" x14ac:dyDescent="0.35">
      <c r="A251" s="170" t="s">
        <v>1435</v>
      </c>
      <c r="B251" s="170">
        <v>90719910</v>
      </c>
    </row>
    <row r="252" spans="1:2" x14ac:dyDescent="0.35">
      <c r="A252" s="170" t="s">
        <v>1436</v>
      </c>
      <c r="B252" s="170">
        <v>90719959</v>
      </c>
    </row>
    <row r="253" spans="1:2" x14ac:dyDescent="0.35">
      <c r="A253" s="170" t="s">
        <v>1437</v>
      </c>
      <c r="B253" s="170">
        <v>90729815</v>
      </c>
    </row>
    <row r="254" spans="1:2" x14ac:dyDescent="0.35">
      <c r="A254" s="170" t="s">
        <v>1438</v>
      </c>
      <c r="B254" s="170">
        <v>90727177</v>
      </c>
    </row>
    <row r="255" spans="1:2" x14ac:dyDescent="0.35">
      <c r="A255" s="170" t="s">
        <v>1439</v>
      </c>
      <c r="B255" s="170">
        <v>90732271</v>
      </c>
    </row>
    <row r="256" spans="1:2" x14ac:dyDescent="0.35">
      <c r="A256" s="170" t="s">
        <v>1440</v>
      </c>
      <c r="B256" s="170">
        <v>90719926</v>
      </c>
    </row>
    <row r="257" spans="1:2" x14ac:dyDescent="0.35">
      <c r="A257" s="170" t="s">
        <v>1441</v>
      </c>
      <c r="B257" s="170">
        <v>90719526</v>
      </c>
    </row>
    <row r="258" spans="1:2" x14ac:dyDescent="0.35">
      <c r="A258" s="170" t="s">
        <v>1442</v>
      </c>
      <c r="B258" s="170">
        <v>90719527</v>
      </c>
    </row>
    <row r="259" spans="1:2" x14ac:dyDescent="0.35">
      <c r="A259" s="170" t="s">
        <v>1443</v>
      </c>
      <c r="B259" s="170">
        <v>90718943</v>
      </c>
    </row>
    <row r="260" spans="1:2" x14ac:dyDescent="0.35">
      <c r="A260" s="170" t="s">
        <v>1444</v>
      </c>
      <c r="B260" s="170">
        <v>90719865</v>
      </c>
    </row>
    <row r="261" spans="1:2" x14ac:dyDescent="0.35">
      <c r="A261" s="170" t="s">
        <v>1445</v>
      </c>
      <c r="B261" s="170">
        <v>90719011</v>
      </c>
    </row>
    <row r="262" spans="1:2" x14ac:dyDescent="0.35">
      <c r="A262" s="170" t="s">
        <v>1446</v>
      </c>
      <c r="B262" s="170">
        <v>90718191</v>
      </c>
    </row>
    <row r="263" spans="1:2" x14ac:dyDescent="0.35">
      <c r="A263" s="170" t="s">
        <v>1447</v>
      </c>
      <c r="B263" s="170">
        <v>90719949</v>
      </c>
    </row>
    <row r="264" spans="1:2" x14ac:dyDescent="0.35">
      <c r="A264" s="170" t="s">
        <v>1448</v>
      </c>
      <c r="B264" s="170">
        <v>90732412</v>
      </c>
    </row>
    <row r="265" spans="1:2" x14ac:dyDescent="0.35">
      <c r="A265" s="170" t="s">
        <v>1449</v>
      </c>
      <c r="B265" s="170">
        <v>90719677</v>
      </c>
    </row>
    <row r="266" spans="1:2" x14ac:dyDescent="0.35">
      <c r="A266" s="170" t="s">
        <v>1450</v>
      </c>
      <c r="B266" s="170">
        <v>90719304</v>
      </c>
    </row>
    <row r="267" spans="1:2" x14ac:dyDescent="0.35">
      <c r="A267" s="170" t="s">
        <v>1451</v>
      </c>
      <c r="B267" s="170">
        <v>90719500</v>
      </c>
    </row>
    <row r="268" spans="1:2" x14ac:dyDescent="0.35">
      <c r="A268" s="170" t="s">
        <v>1452</v>
      </c>
      <c r="B268" s="170">
        <v>90732333</v>
      </c>
    </row>
    <row r="269" spans="1:2" x14ac:dyDescent="0.35">
      <c r="A269" s="170" t="s">
        <v>1453</v>
      </c>
      <c r="B269" s="170">
        <v>90732273</v>
      </c>
    </row>
    <row r="270" spans="1:2" x14ac:dyDescent="0.35">
      <c r="A270" s="170" t="s">
        <v>1454</v>
      </c>
      <c r="B270" s="170">
        <v>90719899</v>
      </c>
    </row>
    <row r="271" spans="1:2" x14ac:dyDescent="0.35">
      <c r="A271" s="170" t="s">
        <v>1455</v>
      </c>
      <c r="B271" s="170">
        <v>90719470</v>
      </c>
    </row>
    <row r="272" spans="1:2" x14ac:dyDescent="0.35">
      <c r="A272" s="170" t="s">
        <v>1456</v>
      </c>
      <c r="B272" s="170">
        <v>90719003</v>
      </c>
    </row>
    <row r="273" spans="1:2" x14ac:dyDescent="0.35">
      <c r="A273" s="170" t="s">
        <v>1457</v>
      </c>
      <c r="B273" s="170">
        <v>90719641</v>
      </c>
    </row>
    <row r="274" spans="1:2" x14ac:dyDescent="0.35">
      <c r="A274" s="170" t="s">
        <v>1458</v>
      </c>
      <c r="B274" s="170">
        <v>90719433</v>
      </c>
    </row>
    <row r="275" spans="1:2" x14ac:dyDescent="0.35">
      <c r="A275" s="170" t="s">
        <v>1459</v>
      </c>
      <c r="B275" s="170">
        <v>90719463</v>
      </c>
    </row>
    <row r="276" spans="1:2" x14ac:dyDescent="0.35">
      <c r="A276" s="170" t="s">
        <v>1460</v>
      </c>
      <c r="B276" s="170">
        <v>90727176</v>
      </c>
    </row>
    <row r="277" spans="1:2" x14ac:dyDescent="0.35">
      <c r="A277" s="170" t="s">
        <v>1461</v>
      </c>
      <c r="B277" s="170">
        <v>90719378</v>
      </c>
    </row>
    <row r="278" spans="1:2" x14ac:dyDescent="0.35">
      <c r="A278" s="170" t="s">
        <v>1462</v>
      </c>
      <c r="B278" s="170">
        <v>90719837</v>
      </c>
    </row>
    <row r="279" spans="1:2" x14ac:dyDescent="0.35">
      <c r="A279" s="170" t="s">
        <v>1463</v>
      </c>
      <c r="B279" s="170">
        <v>90724651</v>
      </c>
    </row>
    <row r="280" spans="1:2" x14ac:dyDescent="0.35">
      <c r="A280" s="170" t="s">
        <v>1464</v>
      </c>
      <c r="B280" s="170">
        <v>90724646</v>
      </c>
    </row>
    <row r="281" spans="1:2" x14ac:dyDescent="0.35">
      <c r="A281" s="170" t="s">
        <v>1465</v>
      </c>
      <c r="B281" s="170">
        <v>20111306</v>
      </c>
    </row>
    <row r="282" spans="1:2" x14ac:dyDescent="0.35">
      <c r="A282" s="170" t="s">
        <v>1466</v>
      </c>
      <c r="B282" s="170">
        <v>90724656</v>
      </c>
    </row>
    <row r="283" spans="1:2" x14ac:dyDescent="0.35">
      <c r="A283" s="170" t="s">
        <v>1467</v>
      </c>
      <c r="B283" s="170">
        <v>90718815</v>
      </c>
    </row>
    <row r="284" spans="1:2" x14ac:dyDescent="0.35">
      <c r="A284" s="170" t="s">
        <v>1468</v>
      </c>
      <c r="B284" s="170">
        <v>90719879</v>
      </c>
    </row>
    <row r="285" spans="1:2" x14ac:dyDescent="0.35">
      <c r="A285" s="170" t="s">
        <v>1469</v>
      </c>
      <c r="B285" s="170">
        <v>90719913</v>
      </c>
    </row>
    <row r="286" spans="1:2" x14ac:dyDescent="0.35">
      <c r="A286" s="170" t="s">
        <v>1470</v>
      </c>
      <c r="B286" s="170">
        <v>90719331</v>
      </c>
    </row>
    <row r="287" spans="1:2" x14ac:dyDescent="0.35">
      <c r="A287" s="170" t="s">
        <v>1471</v>
      </c>
      <c r="B287" s="170">
        <v>90719354</v>
      </c>
    </row>
    <row r="288" spans="1:2" x14ac:dyDescent="0.35">
      <c r="A288" s="170" t="s">
        <v>1472</v>
      </c>
      <c r="B288" s="170">
        <v>90719886</v>
      </c>
    </row>
    <row r="289" spans="1:2" x14ac:dyDescent="0.35">
      <c r="A289" s="170" t="s">
        <v>1473</v>
      </c>
      <c r="B289" s="170">
        <v>90719975</v>
      </c>
    </row>
    <row r="290" spans="1:2" x14ac:dyDescent="0.35">
      <c r="A290" s="170" t="s">
        <v>1474</v>
      </c>
      <c r="B290" s="170">
        <v>90719813</v>
      </c>
    </row>
    <row r="291" spans="1:2" x14ac:dyDescent="0.35">
      <c r="A291" s="170" t="s">
        <v>1475</v>
      </c>
      <c r="B291" s="170">
        <v>90719637</v>
      </c>
    </row>
    <row r="292" spans="1:2" x14ac:dyDescent="0.35">
      <c r="A292" s="170" t="s">
        <v>1476</v>
      </c>
      <c r="B292" s="170">
        <v>90719791</v>
      </c>
    </row>
    <row r="293" spans="1:2" x14ac:dyDescent="0.35">
      <c r="A293" s="170" t="s">
        <v>1477</v>
      </c>
      <c r="B293" s="170">
        <v>90719941</v>
      </c>
    </row>
    <row r="294" spans="1:2" x14ac:dyDescent="0.35">
      <c r="A294" s="170" t="s">
        <v>1478</v>
      </c>
      <c r="B294" s="170">
        <v>90719440</v>
      </c>
    </row>
    <row r="295" spans="1:2" x14ac:dyDescent="0.35">
      <c r="A295" s="170" t="s">
        <v>1479</v>
      </c>
      <c r="B295" s="170">
        <v>90719514</v>
      </c>
    </row>
    <row r="296" spans="1:2" x14ac:dyDescent="0.35">
      <c r="A296" s="170" t="s">
        <v>1480</v>
      </c>
      <c r="B296" s="170">
        <v>90719633</v>
      </c>
    </row>
    <row r="297" spans="1:2" x14ac:dyDescent="0.35">
      <c r="A297" s="170" t="s">
        <v>1481</v>
      </c>
      <c r="B297" s="170">
        <v>90719751</v>
      </c>
    </row>
    <row r="298" spans="1:2" x14ac:dyDescent="0.35">
      <c r="A298" s="170" t="s">
        <v>1482</v>
      </c>
      <c r="B298" s="170">
        <v>90719462</v>
      </c>
    </row>
    <row r="299" spans="1:2" x14ac:dyDescent="0.35">
      <c r="A299" s="170" t="s">
        <v>1483</v>
      </c>
      <c r="B299" s="170">
        <v>90719775</v>
      </c>
    </row>
    <row r="300" spans="1:2" x14ac:dyDescent="0.35">
      <c r="A300" s="170" t="s">
        <v>1484</v>
      </c>
      <c r="B300" s="170">
        <v>90719816</v>
      </c>
    </row>
    <row r="301" spans="1:2" x14ac:dyDescent="0.35">
      <c r="A301" s="170" t="s">
        <v>1485</v>
      </c>
      <c r="B301" s="170">
        <v>90719920</v>
      </c>
    </row>
    <row r="302" spans="1:2" x14ac:dyDescent="0.35">
      <c r="A302" s="170" t="s">
        <v>1486</v>
      </c>
      <c r="B302" s="170">
        <v>90724670</v>
      </c>
    </row>
    <row r="303" spans="1:2" x14ac:dyDescent="0.35">
      <c r="A303" s="170" t="s">
        <v>1487</v>
      </c>
      <c r="B303" s="170">
        <v>90719962</v>
      </c>
    </row>
    <row r="304" spans="1:2" x14ac:dyDescent="0.35">
      <c r="A304" s="170" t="s">
        <v>1488</v>
      </c>
      <c r="B304" s="170">
        <v>90719416</v>
      </c>
    </row>
    <row r="305" spans="1:2" x14ac:dyDescent="0.35">
      <c r="A305" s="170" t="s">
        <v>1489</v>
      </c>
      <c r="B305" s="170">
        <v>90718956</v>
      </c>
    </row>
    <row r="306" spans="1:2" x14ac:dyDescent="0.35">
      <c r="A306" s="170" t="s">
        <v>1490</v>
      </c>
      <c r="B306" s="170">
        <v>90719469</v>
      </c>
    </row>
    <row r="307" spans="1:2" x14ac:dyDescent="0.35">
      <c r="A307" s="170" t="s">
        <v>1491</v>
      </c>
      <c r="B307" s="170">
        <v>90719465</v>
      </c>
    </row>
    <row r="308" spans="1:2" x14ac:dyDescent="0.35">
      <c r="A308" s="170" t="s">
        <v>1492</v>
      </c>
      <c r="B308" s="170">
        <v>90719457</v>
      </c>
    </row>
    <row r="309" spans="1:2" x14ac:dyDescent="0.35">
      <c r="A309" s="170" t="s">
        <v>1493</v>
      </c>
      <c r="B309" s="170">
        <v>90719426</v>
      </c>
    </row>
    <row r="310" spans="1:2" x14ac:dyDescent="0.35">
      <c r="A310" s="170" t="s">
        <v>1494</v>
      </c>
      <c r="B310" s="170">
        <v>90719713</v>
      </c>
    </row>
    <row r="311" spans="1:2" x14ac:dyDescent="0.35">
      <c r="A311" s="170" t="s">
        <v>1495</v>
      </c>
      <c r="B311" s="170">
        <v>90732691</v>
      </c>
    </row>
    <row r="312" spans="1:2" x14ac:dyDescent="0.35">
      <c r="A312" s="170" t="s">
        <v>1496</v>
      </c>
      <c r="B312" s="170">
        <v>90719832</v>
      </c>
    </row>
    <row r="313" spans="1:2" x14ac:dyDescent="0.35">
      <c r="A313" s="170" t="s">
        <v>1497</v>
      </c>
      <c r="B313" s="170">
        <v>90719889</v>
      </c>
    </row>
    <row r="314" spans="1:2" x14ac:dyDescent="0.35">
      <c r="A314" s="170" t="s">
        <v>1498</v>
      </c>
      <c r="B314" s="170">
        <v>90719830</v>
      </c>
    </row>
    <row r="315" spans="1:2" x14ac:dyDescent="0.35">
      <c r="A315" s="170" t="s">
        <v>1499</v>
      </c>
      <c r="B315" s="170">
        <v>90719923</v>
      </c>
    </row>
    <row r="316" spans="1:2" x14ac:dyDescent="0.35">
      <c r="A316" s="170" t="s">
        <v>1500</v>
      </c>
      <c r="B316" s="170">
        <v>90731123</v>
      </c>
    </row>
    <row r="317" spans="1:2" x14ac:dyDescent="0.35">
      <c r="A317" s="170" t="s">
        <v>1501</v>
      </c>
      <c r="B317" s="170">
        <v>90719610</v>
      </c>
    </row>
    <row r="318" spans="1:2" x14ac:dyDescent="0.35">
      <c r="A318" s="170" t="s">
        <v>1502</v>
      </c>
      <c r="B318" s="170">
        <v>90719229</v>
      </c>
    </row>
    <row r="319" spans="1:2" x14ac:dyDescent="0.35">
      <c r="A319" s="170" t="s">
        <v>1503</v>
      </c>
      <c r="B319" s="170">
        <v>90719236</v>
      </c>
    </row>
    <row r="320" spans="1:2" x14ac:dyDescent="0.35">
      <c r="A320" s="170" t="s">
        <v>1504</v>
      </c>
      <c r="B320" s="170">
        <v>90721957</v>
      </c>
    </row>
    <row r="321" spans="1:2" x14ac:dyDescent="0.35">
      <c r="A321" s="170" t="s">
        <v>1505</v>
      </c>
      <c r="B321" s="170">
        <v>90727174</v>
      </c>
    </row>
    <row r="322" spans="1:2" x14ac:dyDescent="0.35">
      <c r="A322" s="170" t="s">
        <v>1506</v>
      </c>
      <c r="B322" s="170">
        <v>90719628</v>
      </c>
    </row>
    <row r="323" spans="1:2" x14ac:dyDescent="0.35">
      <c r="A323" s="170" t="s">
        <v>1507</v>
      </c>
      <c r="B323" s="170">
        <v>90727246</v>
      </c>
    </row>
    <row r="324" spans="1:2" x14ac:dyDescent="0.35">
      <c r="A324" s="170" t="s">
        <v>1508</v>
      </c>
      <c r="B324" s="170">
        <v>90719963</v>
      </c>
    </row>
    <row r="325" spans="1:2" x14ac:dyDescent="0.35">
      <c r="A325" s="170" t="s">
        <v>1509</v>
      </c>
      <c r="B325" s="170">
        <v>90719653</v>
      </c>
    </row>
    <row r="326" spans="1:2" x14ac:dyDescent="0.35">
      <c r="A326" s="170" t="s">
        <v>1510</v>
      </c>
      <c r="B326" s="170">
        <v>90719381</v>
      </c>
    </row>
    <row r="327" spans="1:2" x14ac:dyDescent="0.35">
      <c r="A327" s="170" t="s">
        <v>1511</v>
      </c>
      <c r="B327" s="170">
        <v>90719534</v>
      </c>
    </row>
    <row r="328" spans="1:2" x14ac:dyDescent="0.35">
      <c r="A328" s="170" t="s">
        <v>1512</v>
      </c>
      <c r="B328" s="170">
        <v>90732338</v>
      </c>
    </row>
    <row r="329" spans="1:2" x14ac:dyDescent="0.35">
      <c r="A329" s="170" t="s">
        <v>1513</v>
      </c>
      <c r="B329" s="170">
        <v>90730605</v>
      </c>
    </row>
    <row r="330" spans="1:2" x14ac:dyDescent="0.35">
      <c r="A330" s="170" t="s">
        <v>1514</v>
      </c>
      <c r="B330" s="170">
        <v>90732310</v>
      </c>
    </row>
    <row r="331" spans="1:2" x14ac:dyDescent="0.35">
      <c r="A331" s="170" t="s">
        <v>1515</v>
      </c>
      <c r="B331" s="170">
        <v>90719006</v>
      </c>
    </row>
    <row r="332" spans="1:2" x14ac:dyDescent="0.35">
      <c r="A332" s="170" t="s">
        <v>1516</v>
      </c>
      <c r="B332" s="170">
        <v>90719871</v>
      </c>
    </row>
    <row r="333" spans="1:2" x14ac:dyDescent="0.35">
      <c r="A333" s="170" t="s">
        <v>1517</v>
      </c>
      <c r="B333" s="170">
        <v>90719921</v>
      </c>
    </row>
    <row r="334" spans="1:2" x14ac:dyDescent="0.35">
      <c r="A334" s="170" t="s">
        <v>1518</v>
      </c>
      <c r="B334" s="170">
        <v>90719805</v>
      </c>
    </row>
    <row r="335" spans="1:2" x14ac:dyDescent="0.35">
      <c r="A335" s="170" t="s">
        <v>1519</v>
      </c>
      <c r="B335" s="170">
        <v>90718836</v>
      </c>
    </row>
    <row r="336" spans="1:2" x14ac:dyDescent="0.35">
      <c r="A336" s="170" t="s">
        <v>1520</v>
      </c>
      <c r="B336" s="170">
        <v>90719316</v>
      </c>
    </row>
    <row r="337" spans="1:2" x14ac:dyDescent="0.35">
      <c r="A337" s="170" t="s">
        <v>1521</v>
      </c>
      <c r="B337" s="170">
        <v>90727541</v>
      </c>
    </row>
    <row r="338" spans="1:2" x14ac:dyDescent="0.35">
      <c r="A338" s="170" t="s">
        <v>1522</v>
      </c>
      <c r="B338" s="170">
        <v>90719884</v>
      </c>
    </row>
    <row r="339" spans="1:2" x14ac:dyDescent="0.35">
      <c r="A339" s="170" t="s">
        <v>1523</v>
      </c>
      <c r="B339" s="170">
        <v>90719517</v>
      </c>
    </row>
    <row r="340" spans="1:2" x14ac:dyDescent="0.35">
      <c r="A340" s="170" t="s">
        <v>1524</v>
      </c>
      <c r="B340" s="170">
        <v>90718940</v>
      </c>
    </row>
    <row r="341" spans="1:2" x14ac:dyDescent="0.35">
      <c r="A341" s="170" t="s">
        <v>1525</v>
      </c>
      <c r="B341" s="170">
        <v>90719454</v>
      </c>
    </row>
    <row r="342" spans="1:2" x14ac:dyDescent="0.35">
      <c r="A342" s="170" t="s">
        <v>1526</v>
      </c>
      <c r="B342" s="170">
        <v>90719484</v>
      </c>
    </row>
    <row r="343" spans="1:2" x14ac:dyDescent="0.35">
      <c r="A343" s="170" t="s">
        <v>1527</v>
      </c>
      <c r="B343" s="170">
        <v>90719768</v>
      </c>
    </row>
    <row r="344" spans="1:2" x14ac:dyDescent="0.35">
      <c r="A344" s="170" t="s">
        <v>1528</v>
      </c>
      <c r="B344" s="170">
        <v>90719584</v>
      </c>
    </row>
    <row r="345" spans="1:2" x14ac:dyDescent="0.35">
      <c r="A345" s="170" t="s">
        <v>1529</v>
      </c>
      <c r="B345" s="170">
        <v>90727329</v>
      </c>
    </row>
    <row r="346" spans="1:2" x14ac:dyDescent="0.35">
      <c r="A346" s="170" t="s">
        <v>1530</v>
      </c>
      <c r="B346" s="170">
        <v>90732272</v>
      </c>
    </row>
    <row r="347" spans="1:2" x14ac:dyDescent="0.35">
      <c r="A347" s="170" t="s">
        <v>1531</v>
      </c>
      <c r="B347" s="170">
        <v>90719569</v>
      </c>
    </row>
    <row r="348" spans="1:2" x14ac:dyDescent="0.35">
      <c r="A348" s="170" t="s">
        <v>1532</v>
      </c>
      <c r="B348" s="170">
        <v>90719511</v>
      </c>
    </row>
    <row r="349" spans="1:2" x14ac:dyDescent="0.35">
      <c r="A349" s="170" t="s">
        <v>1533</v>
      </c>
      <c r="B349" s="170">
        <v>90719658</v>
      </c>
    </row>
    <row r="350" spans="1:2" x14ac:dyDescent="0.35">
      <c r="A350" s="170" t="s">
        <v>1534</v>
      </c>
      <c r="B350" s="170">
        <v>90732448</v>
      </c>
    </row>
    <row r="351" spans="1:2" x14ac:dyDescent="0.35">
      <c r="A351" s="170" t="s">
        <v>1535</v>
      </c>
      <c r="B351" s="170">
        <v>90731699</v>
      </c>
    </row>
    <row r="352" spans="1:2" x14ac:dyDescent="0.35">
      <c r="A352" s="170" t="s">
        <v>1536</v>
      </c>
      <c r="B352" s="170">
        <v>90720239</v>
      </c>
    </row>
    <row r="353" spans="1:2" x14ac:dyDescent="0.35">
      <c r="A353" s="170" t="s">
        <v>1537</v>
      </c>
      <c r="B353" s="170">
        <v>90719935</v>
      </c>
    </row>
    <row r="354" spans="1:2" x14ac:dyDescent="0.35">
      <c r="A354" s="170" t="s">
        <v>1538</v>
      </c>
      <c r="B354" s="170">
        <v>90729512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9D762-1F24-470A-98EC-32F3AE572DBA}">
  <sheetPr codeName="Sheet11"/>
  <dimension ref="B3:H68"/>
  <sheetViews>
    <sheetView showGridLines="0" zoomScale="84" workbookViewId="0">
      <selection activeCell="B2" sqref="B2"/>
    </sheetView>
  </sheetViews>
  <sheetFormatPr defaultColWidth="8.81640625" defaultRowHeight="14.5" x14ac:dyDescent="0.35"/>
  <cols>
    <col min="1" max="1" width="7.54296875" customWidth="1"/>
    <col min="2" max="2" width="4.81640625" bestFit="1" customWidth="1"/>
    <col min="3" max="3" width="31.453125" bestFit="1" customWidth="1"/>
    <col min="4" max="4" width="17.1796875" bestFit="1" customWidth="1"/>
    <col min="5" max="5" width="23.7265625" bestFit="1" customWidth="1"/>
    <col min="6" max="6" width="13.7265625" bestFit="1" customWidth="1"/>
    <col min="7" max="7" width="65.81640625" bestFit="1" customWidth="1"/>
    <col min="8" max="8" width="17.1796875" bestFit="1" customWidth="1"/>
    <col min="9" max="9" width="65.81640625" bestFit="1" customWidth="1"/>
    <col min="10" max="12" width="9.1796875" bestFit="1" customWidth="1"/>
    <col min="13" max="13" width="18.1796875" bestFit="1" customWidth="1"/>
  </cols>
  <sheetData>
    <row r="3" spans="2:8" ht="9" customHeight="1" x14ac:dyDescent="0.35"/>
    <row r="4" spans="2:8" ht="14.5" customHeight="1" x14ac:dyDescent="0.35"/>
    <row r="5" spans="2:8" x14ac:dyDescent="0.35">
      <c r="B5" s="125" t="s">
        <v>1</v>
      </c>
      <c r="C5" s="125" t="s">
        <v>131</v>
      </c>
      <c r="D5" s="125" t="s">
        <v>132</v>
      </c>
      <c r="E5" s="125" t="s">
        <v>133</v>
      </c>
      <c r="F5" s="125" t="s">
        <v>134</v>
      </c>
      <c r="G5" s="125" t="s">
        <v>135</v>
      </c>
      <c r="H5" s="125" t="s">
        <v>1539</v>
      </c>
    </row>
    <row r="6" spans="2:8" x14ac:dyDescent="0.35">
      <c r="B6" s="122">
        <v>1</v>
      </c>
      <c r="C6" s="122" t="s">
        <v>137</v>
      </c>
      <c r="D6" s="122" t="s">
        <v>138</v>
      </c>
      <c r="E6" s="122" t="s">
        <v>1540</v>
      </c>
      <c r="F6" s="122" t="s">
        <v>1541</v>
      </c>
      <c r="G6" s="122" t="s">
        <v>1542</v>
      </c>
      <c r="H6" s="122"/>
    </row>
    <row r="7" spans="2:8" x14ac:dyDescent="0.35">
      <c r="B7" s="122">
        <v>2</v>
      </c>
      <c r="C7" s="122" t="s">
        <v>139</v>
      </c>
      <c r="D7" s="122" t="s">
        <v>1543</v>
      </c>
      <c r="E7" s="122"/>
      <c r="F7" s="122" t="s">
        <v>1544</v>
      </c>
      <c r="G7" s="122"/>
      <c r="H7" s="122" t="s">
        <v>1545</v>
      </c>
    </row>
    <row r="8" spans="2:8" x14ac:dyDescent="0.35">
      <c r="B8" s="122">
        <v>3</v>
      </c>
      <c r="C8" s="122" t="s">
        <v>141</v>
      </c>
      <c r="D8" s="122" t="s">
        <v>142</v>
      </c>
      <c r="E8" s="122"/>
      <c r="F8" s="122" t="s">
        <v>1544</v>
      </c>
      <c r="G8" s="122"/>
      <c r="H8" s="122" t="s">
        <v>1545</v>
      </c>
    </row>
    <row r="9" spans="2:8" x14ac:dyDescent="0.35">
      <c r="B9" s="122">
        <v>4</v>
      </c>
      <c r="C9" s="122" t="s">
        <v>143</v>
      </c>
      <c r="D9" s="122" t="s">
        <v>142</v>
      </c>
      <c r="E9" s="122" t="s">
        <v>1546</v>
      </c>
      <c r="F9" s="122" t="s">
        <v>1544</v>
      </c>
      <c r="G9" s="122"/>
      <c r="H9" s="122" t="s">
        <v>1545</v>
      </c>
    </row>
    <row r="10" spans="2:8" x14ac:dyDescent="0.35">
      <c r="B10" s="122">
        <v>5</v>
      </c>
      <c r="C10" s="122" t="s">
        <v>144</v>
      </c>
      <c r="D10" s="122" t="s">
        <v>1543</v>
      </c>
      <c r="E10" s="122"/>
      <c r="F10" s="122" t="s">
        <v>1544</v>
      </c>
      <c r="G10" s="122"/>
      <c r="H10" s="122" t="s">
        <v>1545</v>
      </c>
    </row>
    <row r="11" spans="2:8" x14ac:dyDescent="0.35">
      <c r="B11" s="122">
        <v>6</v>
      </c>
      <c r="C11" s="122" t="s">
        <v>145</v>
      </c>
      <c r="D11" s="122" t="s">
        <v>146</v>
      </c>
      <c r="E11" s="122"/>
      <c r="F11" s="122" t="s">
        <v>1544</v>
      </c>
      <c r="G11" s="122"/>
      <c r="H11" s="122" t="s">
        <v>1545</v>
      </c>
    </row>
    <row r="12" spans="2:8" x14ac:dyDescent="0.35">
      <c r="B12" s="122">
        <v>7</v>
      </c>
      <c r="C12" s="122" t="s">
        <v>147</v>
      </c>
      <c r="D12" s="122" t="s">
        <v>146</v>
      </c>
      <c r="E12" s="122"/>
      <c r="F12" s="122" t="s">
        <v>1544</v>
      </c>
      <c r="G12" s="122"/>
      <c r="H12" s="122" t="s">
        <v>1545</v>
      </c>
    </row>
    <row r="13" spans="2:8" x14ac:dyDescent="0.35">
      <c r="B13" s="122">
        <v>8</v>
      </c>
      <c r="C13" s="122" t="s">
        <v>148</v>
      </c>
      <c r="D13" s="122" t="s">
        <v>138</v>
      </c>
      <c r="E13" s="122" t="s">
        <v>1546</v>
      </c>
      <c r="F13" s="122" t="s">
        <v>1547</v>
      </c>
      <c r="G13" s="122" t="s">
        <v>1548</v>
      </c>
      <c r="H13" s="122"/>
    </row>
    <row r="14" spans="2:8" x14ac:dyDescent="0.35">
      <c r="B14" s="122">
        <v>9</v>
      </c>
      <c r="C14" s="122" t="s">
        <v>149</v>
      </c>
      <c r="D14" s="122" t="s">
        <v>150</v>
      </c>
      <c r="E14" s="122" t="s">
        <v>1549</v>
      </c>
      <c r="F14" s="122" t="s">
        <v>1544</v>
      </c>
      <c r="G14" s="122"/>
      <c r="H14" s="122" t="s">
        <v>1545</v>
      </c>
    </row>
    <row r="15" spans="2:8" x14ac:dyDescent="0.35">
      <c r="B15" s="122">
        <v>10</v>
      </c>
      <c r="C15" s="122" t="s">
        <v>151</v>
      </c>
      <c r="D15" s="122" t="s">
        <v>150</v>
      </c>
      <c r="E15" s="122" t="s">
        <v>1549</v>
      </c>
      <c r="F15" s="122" t="s">
        <v>1544</v>
      </c>
      <c r="G15" s="122"/>
      <c r="H15" s="122" t="s">
        <v>1545</v>
      </c>
    </row>
    <row r="16" spans="2:8" x14ac:dyDescent="0.35">
      <c r="B16" s="122">
        <v>11</v>
      </c>
      <c r="C16" s="122" t="s">
        <v>152</v>
      </c>
      <c r="D16" s="122" t="s">
        <v>150</v>
      </c>
      <c r="E16" s="122"/>
      <c r="F16" s="122" t="s">
        <v>1544</v>
      </c>
      <c r="G16" s="122"/>
      <c r="H16" s="122" t="s">
        <v>1545</v>
      </c>
    </row>
    <row r="17" spans="2:8" x14ac:dyDescent="0.35">
      <c r="B17" s="122">
        <v>12</v>
      </c>
      <c r="C17" s="122" t="s">
        <v>153</v>
      </c>
      <c r="D17" s="122" t="s">
        <v>150</v>
      </c>
      <c r="E17" s="122" t="s">
        <v>1549</v>
      </c>
      <c r="F17" s="122" t="s">
        <v>1544</v>
      </c>
      <c r="G17" s="122"/>
      <c r="H17" s="122" t="s">
        <v>1545</v>
      </c>
    </row>
    <row r="18" spans="2:8" x14ac:dyDescent="0.35">
      <c r="B18" s="122">
        <v>13</v>
      </c>
      <c r="C18" s="122" t="s">
        <v>154</v>
      </c>
      <c r="D18" s="122" t="s">
        <v>150</v>
      </c>
      <c r="E18" s="122" t="s">
        <v>1549</v>
      </c>
      <c r="F18" s="122" t="s">
        <v>1544</v>
      </c>
      <c r="G18" s="122"/>
      <c r="H18" s="122" t="s">
        <v>1545</v>
      </c>
    </row>
    <row r="19" spans="2:8" x14ac:dyDescent="0.35">
      <c r="B19" s="122">
        <v>14</v>
      </c>
      <c r="C19" s="122" t="s">
        <v>155</v>
      </c>
      <c r="D19" s="122" t="s">
        <v>150</v>
      </c>
      <c r="E19" s="122"/>
      <c r="F19" s="122" t="s">
        <v>1544</v>
      </c>
      <c r="G19" s="122"/>
      <c r="H19" s="122" t="s">
        <v>1545</v>
      </c>
    </row>
    <row r="20" spans="2:8" x14ac:dyDescent="0.35">
      <c r="B20" s="122">
        <v>15</v>
      </c>
      <c r="C20" s="122" t="s">
        <v>156</v>
      </c>
      <c r="D20" s="122" t="s">
        <v>150</v>
      </c>
      <c r="E20" s="122"/>
      <c r="F20" s="122" t="s">
        <v>1544</v>
      </c>
      <c r="G20" s="122"/>
      <c r="H20" s="122" t="s">
        <v>1545</v>
      </c>
    </row>
    <row r="21" spans="2:8" x14ac:dyDescent="0.35">
      <c r="B21" s="122">
        <v>16</v>
      </c>
      <c r="C21" s="122" t="s">
        <v>157</v>
      </c>
      <c r="D21" s="122" t="s">
        <v>150</v>
      </c>
      <c r="E21" s="122" t="s">
        <v>1549</v>
      </c>
      <c r="F21" s="122" t="s">
        <v>1544</v>
      </c>
      <c r="G21" s="122"/>
      <c r="H21" s="122" t="s">
        <v>1545</v>
      </c>
    </row>
    <row r="22" spans="2:8" x14ac:dyDescent="0.35">
      <c r="B22" s="122">
        <v>17</v>
      </c>
      <c r="C22" s="122" t="s">
        <v>158</v>
      </c>
      <c r="D22" s="122" t="s">
        <v>150</v>
      </c>
      <c r="E22" s="122" t="s">
        <v>1546</v>
      </c>
      <c r="F22" s="122" t="s">
        <v>1544</v>
      </c>
      <c r="G22" s="122"/>
      <c r="H22" s="122" t="s">
        <v>1545</v>
      </c>
    </row>
    <row r="23" spans="2:8" x14ac:dyDescent="0.35">
      <c r="B23" s="122">
        <v>18</v>
      </c>
      <c r="C23" s="122" t="s">
        <v>159</v>
      </c>
      <c r="D23" s="122" t="s">
        <v>150</v>
      </c>
      <c r="E23" s="122" t="s">
        <v>1546</v>
      </c>
      <c r="F23" s="122" t="s">
        <v>1544</v>
      </c>
      <c r="G23" s="122"/>
      <c r="H23" s="122" t="s">
        <v>1545</v>
      </c>
    </row>
    <row r="24" spans="2:8" x14ac:dyDescent="0.35">
      <c r="B24" s="122">
        <v>19</v>
      </c>
      <c r="C24" s="122" t="s">
        <v>160</v>
      </c>
      <c r="D24" s="122" t="s">
        <v>161</v>
      </c>
      <c r="E24" s="122" t="s">
        <v>1549</v>
      </c>
      <c r="F24" s="122" t="s">
        <v>1544</v>
      </c>
      <c r="G24" s="122"/>
      <c r="H24" s="122" t="s">
        <v>1545</v>
      </c>
    </row>
    <row r="25" spans="2:8" x14ac:dyDescent="0.35">
      <c r="B25" s="122">
        <v>20</v>
      </c>
      <c r="C25" s="122" t="s">
        <v>162</v>
      </c>
      <c r="D25" s="122" t="s">
        <v>161</v>
      </c>
      <c r="E25" s="122" t="s">
        <v>1549</v>
      </c>
      <c r="F25" s="122" t="s">
        <v>1544</v>
      </c>
      <c r="G25" s="122"/>
      <c r="H25" s="122" t="s">
        <v>1545</v>
      </c>
    </row>
    <row r="26" spans="2:8" x14ac:dyDescent="0.35">
      <c r="B26" s="122">
        <v>21</v>
      </c>
      <c r="C26" s="122" t="s">
        <v>163</v>
      </c>
      <c r="D26" s="122" t="s">
        <v>138</v>
      </c>
      <c r="E26" s="122" t="s">
        <v>1546</v>
      </c>
      <c r="F26" s="122" t="s">
        <v>1547</v>
      </c>
      <c r="G26" s="122" t="s">
        <v>1548</v>
      </c>
      <c r="H26" s="122"/>
    </row>
    <row r="27" spans="2:8" x14ac:dyDescent="0.35">
      <c r="B27" s="122">
        <v>22</v>
      </c>
      <c r="C27" s="122" t="s">
        <v>164</v>
      </c>
      <c r="D27" s="122" t="s">
        <v>138</v>
      </c>
      <c r="E27" s="122" t="s">
        <v>1546</v>
      </c>
      <c r="F27" s="122" t="s">
        <v>1547</v>
      </c>
      <c r="G27" s="122" t="s">
        <v>1548</v>
      </c>
      <c r="H27" s="122"/>
    </row>
    <row r="28" spans="2:8" x14ac:dyDescent="0.35">
      <c r="B28" s="122">
        <v>23</v>
      </c>
      <c r="C28" s="122" t="s">
        <v>165</v>
      </c>
      <c r="D28" s="122" t="s">
        <v>166</v>
      </c>
      <c r="E28" s="122" t="s">
        <v>1549</v>
      </c>
      <c r="F28" s="122" t="s">
        <v>1544</v>
      </c>
      <c r="G28" s="122"/>
      <c r="H28" s="122" t="s">
        <v>1545</v>
      </c>
    </row>
    <row r="29" spans="2:8" x14ac:dyDescent="0.35">
      <c r="B29" s="122">
        <v>24</v>
      </c>
      <c r="C29" s="122" t="s">
        <v>167</v>
      </c>
      <c r="D29" s="122" t="s">
        <v>166</v>
      </c>
      <c r="E29" s="122" t="s">
        <v>1549</v>
      </c>
      <c r="F29" s="122" t="s">
        <v>1544</v>
      </c>
      <c r="G29" s="122"/>
      <c r="H29" s="122" t="s">
        <v>1545</v>
      </c>
    </row>
    <row r="30" spans="2:8" x14ac:dyDescent="0.35">
      <c r="B30" s="122">
        <v>25</v>
      </c>
      <c r="C30" s="122" t="s">
        <v>168</v>
      </c>
      <c r="D30" s="122" t="s">
        <v>166</v>
      </c>
      <c r="E30" s="122" t="s">
        <v>1549</v>
      </c>
      <c r="F30" s="122" t="s">
        <v>1544</v>
      </c>
      <c r="G30" s="122"/>
      <c r="H30" s="122" t="s">
        <v>1545</v>
      </c>
    </row>
    <row r="31" spans="2:8" x14ac:dyDescent="0.35">
      <c r="B31" s="122">
        <v>26</v>
      </c>
      <c r="C31" s="122" t="s">
        <v>169</v>
      </c>
      <c r="D31" s="122" t="s">
        <v>166</v>
      </c>
      <c r="E31" s="122" t="s">
        <v>1549</v>
      </c>
      <c r="F31" s="122" t="s">
        <v>1544</v>
      </c>
      <c r="G31" s="122"/>
      <c r="H31" s="122" t="s">
        <v>1545</v>
      </c>
    </row>
    <row r="32" spans="2:8" x14ac:dyDescent="0.35">
      <c r="B32" s="122">
        <v>27</v>
      </c>
      <c r="C32" s="122" t="s">
        <v>170</v>
      </c>
      <c r="D32" s="122" t="s">
        <v>166</v>
      </c>
      <c r="E32" s="122" t="s">
        <v>1549</v>
      </c>
      <c r="F32" s="122" t="s">
        <v>1544</v>
      </c>
      <c r="G32" s="122"/>
      <c r="H32" s="122" t="s">
        <v>1545</v>
      </c>
    </row>
    <row r="33" spans="2:8" x14ac:dyDescent="0.35">
      <c r="B33" s="122">
        <v>28</v>
      </c>
      <c r="C33" s="122" t="s">
        <v>171</v>
      </c>
      <c r="D33" s="122" t="s">
        <v>166</v>
      </c>
      <c r="E33" s="122" t="s">
        <v>1549</v>
      </c>
      <c r="F33" s="122" t="s">
        <v>1544</v>
      </c>
      <c r="G33" s="122"/>
      <c r="H33" s="122" t="s">
        <v>1545</v>
      </c>
    </row>
    <row r="34" spans="2:8" x14ac:dyDescent="0.35">
      <c r="B34" s="122">
        <v>29</v>
      </c>
      <c r="C34" s="122" t="s">
        <v>172</v>
      </c>
      <c r="D34" s="122" t="s">
        <v>166</v>
      </c>
      <c r="E34" s="122" t="s">
        <v>1549</v>
      </c>
      <c r="F34" s="122" t="s">
        <v>1544</v>
      </c>
      <c r="G34" s="122"/>
      <c r="H34" s="122" t="s">
        <v>1545</v>
      </c>
    </row>
    <row r="35" spans="2:8" x14ac:dyDescent="0.35">
      <c r="B35" s="122">
        <v>30</v>
      </c>
      <c r="C35" s="122" t="s">
        <v>173</v>
      </c>
      <c r="D35" s="122" t="s">
        <v>166</v>
      </c>
      <c r="E35" s="122" t="s">
        <v>1549</v>
      </c>
      <c r="F35" s="122" t="s">
        <v>1544</v>
      </c>
      <c r="G35" s="122"/>
      <c r="H35" s="122" t="s">
        <v>1545</v>
      </c>
    </row>
    <row r="36" spans="2:8" x14ac:dyDescent="0.35">
      <c r="B36" s="122">
        <v>31</v>
      </c>
      <c r="C36" s="122" t="s">
        <v>174</v>
      </c>
      <c r="D36" s="122" t="s">
        <v>166</v>
      </c>
      <c r="E36" s="122" t="s">
        <v>1549</v>
      </c>
      <c r="F36" s="122" t="s">
        <v>1544</v>
      </c>
      <c r="G36" s="122"/>
      <c r="H36" s="122" t="s">
        <v>1545</v>
      </c>
    </row>
    <row r="37" spans="2:8" x14ac:dyDescent="0.35">
      <c r="B37" s="122">
        <v>32</v>
      </c>
      <c r="C37" s="122" t="s">
        <v>175</v>
      </c>
      <c r="D37" s="122" t="s">
        <v>166</v>
      </c>
      <c r="E37" s="122" t="s">
        <v>1549</v>
      </c>
      <c r="F37" s="122" t="s">
        <v>1544</v>
      </c>
      <c r="G37" s="122"/>
      <c r="H37" s="122" t="s">
        <v>1545</v>
      </c>
    </row>
    <row r="38" spans="2:8" x14ac:dyDescent="0.35">
      <c r="B38" s="122">
        <v>33</v>
      </c>
      <c r="C38" s="122" t="s">
        <v>176</v>
      </c>
      <c r="D38" s="122" t="s">
        <v>1543</v>
      </c>
      <c r="E38" s="122" t="s">
        <v>1546</v>
      </c>
      <c r="F38" s="122" t="s">
        <v>1544</v>
      </c>
      <c r="G38" s="122"/>
      <c r="H38" s="122" t="s">
        <v>1545</v>
      </c>
    </row>
    <row r="39" spans="2:8" x14ac:dyDescent="0.35">
      <c r="B39" s="122">
        <v>34</v>
      </c>
      <c r="C39" s="122" t="s">
        <v>177</v>
      </c>
      <c r="D39" s="122" t="s">
        <v>1543</v>
      </c>
      <c r="E39" s="122" t="s">
        <v>1546</v>
      </c>
      <c r="F39" s="122" t="s">
        <v>1544</v>
      </c>
      <c r="G39" s="122"/>
      <c r="H39" s="122" t="s">
        <v>1545</v>
      </c>
    </row>
    <row r="40" spans="2:8" x14ac:dyDescent="0.35">
      <c r="B40" s="122">
        <v>35</v>
      </c>
      <c r="C40" s="122" t="s">
        <v>178</v>
      </c>
      <c r="D40" s="122" t="s">
        <v>1543</v>
      </c>
      <c r="E40" s="122" t="s">
        <v>1546</v>
      </c>
      <c r="F40" s="122" t="s">
        <v>1544</v>
      </c>
      <c r="G40" s="122"/>
      <c r="H40" s="122" t="s">
        <v>1545</v>
      </c>
    </row>
    <row r="41" spans="2:8" x14ac:dyDescent="0.35">
      <c r="B41" s="122">
        <v>36</v>
      </c>
      <c r="C41" s="122" t="s">
        <v>179</v>
      </c>
      <c r="D41" s="122" t="s">
        <v>166</v>
      </c>
      <c r="E41" s="122" t="s">
        <v>1550</v>
      </c>
      <c r="F41" s="122" t="s">
        <v>1544</v>
      </c>
      <c r="G41" s="122"/>
      <c r="H41" s="122" t="s">
        <v>1545</v>
      </c>
    </row>
    <row r="42" spans="2:8" x14ac:dyDescent="0.35">
      <c r="B42" s="122">
        <v>37</v>
      </c>
      <c r="C42" s="122" t="s">
        <v>180</v>
      </c>
      <c r="D42" s="122" t="s">
        <v>166</v>
      </c>
      <c r="E42" s="122"/>
      <c r="F42" s="122" t="s">
        <v>1544</v>
      </c>
      <c r="G42" s="122"/>
      <c r="H42" s="122" t="s">
        <v>1545</v>
      </c>
    </row>
    <row r="43" spans="2:8" x14ac:dyDescent="0.35">
      <c r="B43" s="122">
        <v>38</v>
      </c>
      <c r="C43" s="122" t="s">
        <v>181</v>
      </c>
      <c r="D43" s="122" t="s">
        <v>166</v>
      </c>
      <c r="E43" s="122"/>
      <c r="F43" s="122" t="s">
        <v>1544</v>
      </c>
      <c r="G43" s="122"/>
      <c r="H43" s="122" t="s">
        <v>1545</v>
      </c>
    </row>
    <row r="44" spans="2:8" x14ac:dyDescent="0.35">
      <c r="B44" s="122">
        <v>39</v>
      </c>
      <c r="C44" s="122" t="s">
        <v>182</v>
      </c>
      <c r="D44" s="122" t="s">
        <v>166</v>
      </c>
      <c r="E44" s="122" t="s">
        <v>1549</v>
      </c>
      <c r="F44" s="122" t="s">
        <v>1544</v>
      </c>
      <c r="G44" s="122"/>
      <c r="H44" s="122" t="s">
        <v>1545</v>
      </c>
    </row>
    <row r="45" spans="2:8" x14ac:dyDescent="0.35">
      <c r="B45" s="122">
        <v>40</v>
      </c>
      <c r="C45" s="122" t="s">
        <v>183</v>
      </c>
      <c r="D45" s="122" t="s">
        <v>161</v>
      </c>
      <c r="E45" s="122" t="s">
        <v>1549</v>
      </c>
      <c r="F45" s="122" t="s">
        <v>1544</v>
      </c>
      <c r="G45" s="122"/>
      <c r="H45" s="122" t="s">
        <v>1545</v>
      </c>
    </row>
    <row r="46" spans="2:8" x14ac:dyDescent="0.35">
      <c r="B46" s="122">
        <v>41</v>
      </c>
      <c r="C46" s="122" t="s">
        <v>184</v>
      </c>
      <c r="D46" s="122" t="s">
        <v>185</v>
      </c>
      <c r="E46" s="122" t="s">
        <v>1546</v>
      </c>
      <c r="F46" s="122" t="s">
        <v>1544</v>
      </c>
      <c r="G46" s="122"/>
      <c r="H46" s="122" t="s">
        <v>1545</v>
      </c>
    </row>
    <row r="47" spans="2:8" x14ac:dyDescent="0.35">
      <c r="B47" s="122">
        <v>42</v>
      </c>
      <c r="C47" s="122" t="s">
        <v>186</v>
      </c>
      <c r="D47" s="122" t="s">
        <v>150</v>
      </c>
      <c r="E47" s="122"/>
      <c r="F47" s="122" t="s">
        <v>1544</v>
      </c>
      <c r="G47" s="122"/>
      <c r="H47" s="122" t="s">
        <v>1545</v>
      </c>
    </row>
    <row r="48" spans="2:8" x14ac:dyDescent="0.35">
      <c r="B48" s="122">
        <v>43</v>
      </c>
      <c r="C48" s="122" t="s">
        <v>187</v>
      </c>
      <c r="D48" s="122" t="s">
        <v>142</v>
      </c>
      <c r="E48" s="122"/>
      <c r="F48" s="122"/>
      <c r="G48" s="122"/>
      <c r="H48" s="122" t="s">
        <v>1545</v>
      </c>
    </row>
    <row r="49" spans="2:8" x14ac:dyDescent="0.35">
      <c r="B49" s="122">
        <v>44</v>
      </c>
      <c r="C49" s="122" t="s">
        <v>188</v>
      </c>
      <c r="D49" s="122" t="s">
        <v>142</v>
      </c>
      <c r="E49" s="122"/>
      <c r="F49" s="122"/>
      <c r="G49" s="122"/>
      <c r="H49" s="122" t="s">
        <v>1545</v>
      </c>
    </row>
    <row r="50" spans="2:8" x14ac:dyDescent="0.35">
      <c r="B50" s="122">
        <v>45</v>
      </c>
      <c r="C50" s="122" t="s">
        <v>189</v>
      </c>
      <c r="D50" s="122" t="s">
        <v>146</v>
      </c>
      <c r="E50" s="122"/>
      <c r="F50" s="122"/>
      <c r="G50" s="122"/>
      <c r="H50" s="122" t="s">
        <v>1545</v>
      </c>
    </row>
    <row r="51" spans="2:8" x14ac:dyDescent="0.35">
      <c r="B51" s="122">
        <v>46</v>
      </c>
      <c r="C51" s="122" t="s">
        <v>190</v>
      </c>
      <c r="D51" s="122" t="s">
        <v>146</v>
      </c>
      <c r="E51" s="122" t="s">
        <v>1551</v>
      </c>
      <c r="F51" s="122" t="s">
        <v>1552</v>
      </c>
      <c r="G51" s="122"/>
      <c r="H51" s="122" t="s">
        <v>1545</v>
      </c>
    </row>
    <row r="52" spans="2:8" x14ac:dyDescent="0.35">
      <c r="B52" s="122">
        <v>47</v>
      </c>
      <c r="C52" s="122" t="s">
        <v>191</v>
      </c>
      <c r="D52" s="122" t="s">
        <v>146</v>
      </c>
      <c r="E52" s="122"/>
      <c r="F52" s="122"/>
      <c r="G52" s="122"/>
      <c r="H52" s="122" t="s">
        <v>1545</v>
      </c>
    </row>
    <row r="53" spans="2:8" ht="72.5" x14ac:dyDescent="0.35">
      <c r="B53" s="122">
        <v>48</v>
      </c>
      <c r="C53" s="122" t="s">
        <v>192</v>
      </c>
      <c r="D53" s="122" t="s">
        <v>193</v>
      </c>
      <c r="E53" s="122" t="s">
        <v>1553</v>
      </c>
      <c r="F53" s="122" t="s">
        <v>1544</v>
      </c>
      <c r="G53" s="122" t="s">
        <v>1554</v>
      </c>
      <c r="H53" s="124" t="s">
        <v>1555</v>
      </c>
    </row>
    <row r="54" spans="2:8" ht="58" x14ac:dyDescent="0.35">
      <c r="B54" s="122">
        <v>49</v>
      </c>
      <c r="C54" s="122" t="s">
        <v>194</v>
      </c>
      <c r="D54" s="122" t="s">
        <v>138</v>
      </c>
      <c r="E54" s="122" t="s">
        <v>1546</v>
      </c>
      <c r="F54" s="122" t="s">
        <v>1550</v>
      </c>
      <c r="G54" s="122" t="s">
        <v>1556</v>
      </c>
      <c r="H54" s="124" t="s">
        <v>1557</v>
      </c>
    </row>
    <row r="55" spans="2:8" ht="58" x14ac:dyDescent="0.35">
      <c r="B55" s="122">
        <v>50</v>
      </c>
      <c r="C55" s="122" t="s">
        <v>195</v>
      </c>
      <c r="D55" s="122" t="s">
        <v>138</v>
      </c>
      <c r="E55" s="122" t="s">
        <v>1546</v>
      </c>
      <c r="F55" s="122" t="s">
        <v>1550</v>
      </c>
      <c r="G55" s="122" t="s">
        <v>1556</v>
      </c>
      <c r="H55" s="124" t="s">
        <v>1557</v>
      </c>
    </row>
    <row r="56" spans="2:8" ht="116" x14ac:dyDescent="0.35">
      <c r="B56" s="122">
        <v>51</v>
      </c>
      <c r="C56" s="122" t="s">
        <v>196</v>
      </c>
      <c r="D56" s="122" t="s">
        <v>138</v>
      </c>
      <c r="E56" s="122" t="s">
        <v>1546</v>
      </c>
      <c r="F56" s="122" t="s">
        <v>1558</v>
      </c>
      <c r="G56" s="122" t="s">
        <v>1559</v>
      </c>
      <c r="H56" s="124" t="s">
        <v>1560</v>
      </c>
    </row>
    <row r="57" spans="2:8" ht="116" x14ac:dyDescent="0.35">
      <c r="B57" s="122">
        <v>52</v>
      </c>
      <c r="C57" s="122" t="s">
        <v>197</v>
      </c>
      <c r="D57" s="122" t="s">
        <v>138</v>
      </c>
      <c r="E57" s="122" t="s">
        <v>1546</v>
      </c>
      <c r="F57" s="122" t="s">
        <v>1558</v>
      </c>
      <c r="G57" s="122" t="s">
        <v>1559</v>
      </c>
      <c r="H57" s="124" t="s">
        <v>1560</v>
      </c>
    </row>
    <row r="58" spans="2:8" ht="116" x14ac:dyDescent="0.35">
      <c r="B58" s="122">
        <v>53</v>
      </c>
      <c r="C58" s="122" t="s">
        <v>198</v>
      </c>
      <c r="D58" s="122" t="s">
        <v>138</v>
      </c>
      <c r="E58" s="122" t="s">
        <v>1561</v>
      </c>
      <c r="F58" s="122" t="s">
        <v>1562</v>
      </c>
      <c r="G58" s="122" t="s">
        <v>1559</v>
      </c>
      <c r="H58" s="124" t="s">
        <v>1560</v>
      </c>
    </row>
    <row r="59" spans="2:8" ht="116" x14ac:dyDescent="0.35">
      <c r="B59" s="122">
        <v>54</v>
      </c>
      <c r="C59" s="122" t="s">
        <v>199</v>
      </c>
      <c r="D59" s="122" t="s">
        <v>138</v>
      </c>
      <c r="E59" s="122" t="s">
        <v>1546</v>
      </c>
      <c r="F59" s="122" t="s">
        <v>1563</v>
      </c>
      <c r="G59" s="122" t="s">
        <v>1559</v>
      </c>
      <c r="H59" s="124" t="s">
        <v>1560</v>
      </c>
    </row>
    <row r="60" spans="2:8" ht="116" x14ac:dyDescent="0.35">
      <c r="B60" s="122">
        <v>55</v>
      </c>
      <c r="C60" s="122" t="s">
        <v>200</v>
      </c>
      <c r="D60" s="122" t="s">
        <v>138</v>
      </c>
      <c r="E60" s="122" t="s">
        <v>1546</v>
      </c>
      <c r="F60" s="122" t="s">
        <v>1563</v>
      </c>
      <c r="G60" s="122" t="s">
        <v>1559</v>
      </c>
      <c r="H60" s="124" t="s">
        <v>1560</v>
      </c>
    </row>
    <row r="61" spans="2:8" ht="116" x14ac:dyDescent="0.35">
      <c r="B61" s="122">
        <v>56</v>
      </c>
      <c r="C61" s="122" t="s">
        <v>201</v>
      </c>
      <c r="D61" s="122">
        <v>0</v>
      </c>
      <c r="E61" s="122"/>
      <c r="F61" s="122"/>
      <c r="G61" s="122" t="s">
        <v>1559</v>
      </c>
      <c r="H61" s="124" t="s">
        <v>1560</v>
      </c>
    </row>
    <row r="62" spans="2:8" ht="116" x14ac:dyDescent="0.35">
      <c r="B62" s="122">
        <v>57</v>
      </c>
      <c r="C62" s="122" t="s">
        <v>202</v>
      </c>
      <c r="D62" s="122" t="s">
        <v>138</v>
      </c>
      <c r="E62" s="122" t="s">
        <v>1546</v>
      </c>
      <c r="F62" s="122" t="s">
        <v>1564</v>
      </c>
      <c r="G62" s="122" t="s">
        <v>1559</v>
      </c>
      <c r="H62" s="124" t="s">
        <v>1560</v>
      </c>
    </row>
    <row r="63" spans="2:8" ht="116" x14ac:dyDescent="0.35">
      <c r="B63" s="122">
        <v>58</v>
      </c>
      <c r="C63" s="122" t="s">
        <v>203</v>
      </c>
      <c r="D63" s="122" t="s">
        <v>138</v>
      </c>
      <c r="E63" s="122" t="s">
        <v>1546</v>
      </c>
      <c r="F63" s="122" t="s">
        <v>1564</v>
      </c>
      <c r="G63" s="122" t="s">
        <v>1559</v>
      </c>
      <c r="H63" s="124" t="s">
        <v>1560</v>
      </c>
    </row>
    <row r="64" spans="2:8" ht="116" x14ac:dyDescent="0.35">
      <c r="B64" s="122">
        <v>59</v>
      </c>
      <c r="C64" s="122" t="s">
        <v>204</v>
      </c>
      <c r="D64" s="122" t="s">
        <v>138</v>
      </c>
      <c r="E64" s="122" t="s">
        <v>1546</v>
      </c>
      <c r="F64" s="122" t="s">
        <v>1563</v>
      </c>
      <c r="G64" s="122" t="s">
        <v>1559</v>
      </c>
      <c r="H64" s="124" t="s">
        <v>1560</v>
      </c>
    </row>
    <row r="65" spans="2:8" x14ac:dyDescent="0.35">
      <c r="B65" s="122">
        <v>60</v>
      </c>
      <c r="C65" s="122" t="s">
        <v>205</v>
      </c>
      <c r="D65" s="122" t="s">
        <v>206</v>
      </c>
      <c r="E65" s="122" t="s">
        <v>1565</v>
      </c>
      <c r="F65" s="122" t="s">
        <v>1566</v>
      </c>
      <c r="G65" s="122" t="s">
        <v>115</v>
      </c>
      <c r="H65" s="122"/>
    </row>
    <row r="66" spans="2:8" x14ac:dyDescent="0.35">
      <c r="B66" s="122">
        <v>61</v>
      </c>
      <c r="C66" s="122" t="s">
        <v>207</v>
      </c>
      <c r="D66" s="122" t="s">
        <v>206</v>
      </c>
      <c r="E66" s="122" t="s">
        <v>1565</v>
      </c>
      <c r="F66" s="122" t="s">
        <v>1566</v>
      </c>
      <c r="G66" s="122" t="s">
        <v>115</v>
      </c>
      <c r="H66" s="122"/>
    </row>
    <row r="67" spans="2:8" x14ac:dyDescent="0.35">
      <c r="B67" s="122">
        <v>62</v>
      </c>
      <c r="C67" s="122" t="s">
        <v>208</v>
      </c>
      <c r="D67" s="122" t="s">
        <v>206</v>
      </c>
      <c r="E67" s="122" t="s">
        <v>1565</v>
      </c>
      <c r="F67" s="122" t="s">
        <v>1566</v>
      </c>
      <c r="G67" s="122" t="s">
        <v>115</v>
      </c>
      <c r="H67" s="122"/>
    </row>
    <row r="68" spans="2:8" ht="58" x14ac:dyDescent="0.35">
      <c r="B68" s="122">
        <v>63</v>
      </c>
      <c r="C68" s="122" t="s">
        <v>209</v>
      </c>
      <c r="D68" s="122" t="s">
        <v>138</v>
      </c>
      <c r="E68" s="122" t="s">
        <v>1546</v>
      </c>
      <c r="F68" s="122" t="s">
        <v>1567</v>
      </c>
      <c r="G68" s="122" t="s">
        <v>1556</v>
      </c>
      <c r="H68" s="124" t="s">
        <v>1557</v>
      </c>
    </row>
  </sheetData>
  <sheetProtection algorithmName="SHA-512" hashValue="2bVdog8n9Qn3HYlZv26egFjoJAJlNyaSa5BBApkHb5422ITicb7BJl6J6OagkC+bokUhD1viKBlNKxbkKS5veQ==" saltValue="4sM/BQTSpmb6AJQVScVcdA==" spinCount="100000" sheet="1" objects="1" scenarios="1"/>
  <autoFilter ref="B5:H5" xr:uid="{4299D762-1F24-470A-98EC-32F3AE572DB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B2:AC24"/>
  <sheetViews>
    <sheetView showGridLines="0" topLeftCell="F5" zoomScale="90" workbookViewId="0">
      <selection activeCell="M7" sqref="M7"/>
    </sheetView>
  </sheetViews>
  <sheetFormatPr defaultColWidth="8.81640625" defaultRowHeight="14.5" x14ac:dyDescent="0.35"/>
  <cols>
    <col min="1" max="1" width="2" customWidth="1"/>
    <col min="2" max="2" width="4.453125" customWidth="1"/>
    <col min="3" max="3" width="13.54296875" customWidth="1"/>
    <col min="4" max="4" width="6.1796875" bestFit="1" customWidth="1"/>
    <col min="5" max="5" width="4.453125" bestFit="1" customWidth="1"/>
    <col min="6" max="6" width="12.81640625" customWidth="1"/>
    <col min="7" max="7" width="14" style="7" bestFit="1" customWidth="1"/>
    <col min="8" max="8" width="19.453125" style="7" customWidth="1"/>
    <col min="9" max="9" width="9" style="7" bestFit="1" customWidth="1"/>
    <col min="10" max="10" width="11.1796875" bestFit="1" customWidth="1"/>
    <col min="11" max="11" width="28.453125" style="28" bestFit="1" customWidth="1"/>
    <col min="12" max="12" width="22.1796875" customWidth="1"/>
    <col min="13" max="13" width="12.453125" style="7" bestFit="1" customWidth="1"/>
    <col min="14" max="14" width="10.81640625" bestFit="1" customWidth="1"/>
    <col min="15" max="15" width="62.81640625" style="28" customWidth="1"/>
    <col min="16" max="16" width="15.1796875" bestFit="1" customWidth="1"/>
    <col min="17" max="17" width="10.453125" customWidth="1"/>
    <col min="18" max="18" width="9.1796875" customWidth="1"/>
    <col min="19" max="19" width="8" bestFit="1" customWidth="1"/>
    <col min="20" max="20" width="12.453125" customWidth="1"/>
    <col min="21" max="21" width="14.81640625" bestFit="1" customWidth="1"/>
    <col min="22" max="22" width="22.453125" customWidth="1"/>
    <col min="23" max="23" width="8.453125" bestFit="1" customWidth="1"/>
    <col min="24" max="24" width="8.54296875" customWidth="1"/>
    <col min="25" max="25" width="12.453125" customWidth="1"/>
    <col min="26" max="26" width="8.453125" bestFit="1" customWidth="1"/>
    <col min="29" max="29" width="12.1796875" customWidth="1"/>
  </cols>
  <sheetData>
    <row r="2" spans="2:29" ht="15" thickBot="1" x14ac:dyDescent="0.4">
      <c r="I2" s="216" t="s">
        <v>1568</v>
      </c>
      <c r="J2" s="217"/>
      <c r="K2" s="218"/>
      <c r="L2" s="217"/>
      <c r="M2" s="217"/>
      <c r="N2" s="217"/>
      <c r="O2" s="219"/>
      <c r="Q2" s="213" t="s">
        <v>1569</v>
      </c>
      <c r="R2" s="214"/>
      <c r="S2" s="214"/>
      <c r="T2" s="214"/>
      <c r="U2" s="214"/>
      <c r="V2" s="215"/>
      <c r="W2" s="210" t="s">
        <v>1570</v>
      </c>
      <c r="X2" s="211"/>
      <c r="Y2" s="211"/>
      <c r="Z2" s="212"/>
    </row>
    <row r="3" spans="2:29" s="7" customFormat="1" ht="39.5" thickBot="1" x14ac:dyDescent="0.4">
      <c r="B3" s="26" t="s">
        <v>1</v>
      </c>
      <c r="C3" s="71" t="s">
        <v>1571</v>
      </c>
      <c r="D3" s="27" t="s">
        <v>1572</v>
      </c>
      <c r="E3" s="27" t="s">
        <v>1573</v>
      </c>
      <c r="F3" s="27" t="s">
        <v>1574</v>
      </c>
      <c r="G3" s="27" t="s">
        <v>1575</v>
      </c>
      <c r="H3" s="27" t="s">
        <v>1576</v>
      </c>
      <c r="I3" s="22" t="s">
        <v>1577</v>
      </c>
      <c r="J3" s="22" t="s">
        <v>1578</v>
      </c>
      <c r="K3" s="22" t="s">
        <v>1579</v>
      </c>
      <c r="L3" s="22" t="s">
        <v>1580</v>
      </c>
      <c r="M3" s="22" t="s">
        <v>1581</v>
      </c>
      <c r="N3" s="22" t="s">
        <v>1582</v>
      </c>
      <c r="O3" s="22" t="s">
        <v>6</v>
      </c>
      <c r="P3" s="27" t="s">
        <v>1583</v>
      </c>
      <c r="Q3" s="23" t="s">
        <v>1584</v>
      </c>
      <c r="R3" s="23" t="s">
        <v>1585</v>
      </c>
      <c r="S3" s="23" t="s">
        <v>1586</v>
      </c>
      <c r="T3" s="23" t="s">
        <v>1587</v>
      </c>
      <c r="U3" s="23" t="s">
        <v>1588</v>
      </c>
      <c r="V3" s="23" t="s">
        <v>6</v>
      </c>
      <c r="W3" s="24" t="s">
        <v>1584</v>
      </c>
      <c r="X3" s="24" t="s">
        <v>1586</v>
      </c>
      <c r="Y3" s="24" t="s">
        <v>1587</v>
      </c>
      <c r="Z3" s="24" t="s">
        <v>1589</v>
      </c>
      <c r="AA3" s="21"/>
      <c r="AB3" s="21"/>
      <c r="AC3" s="25"/>
    </row>
    <row r="4" spans="2:29" s="7" customFormat="1" ht="15" thickBot="1" x14ac:dyDescent="0.4">
      <c r="B4" s="50">
        <v>1</v>
      </c>
      <c r="C4" s="66" t="s">
        <v>1590</v>
      </c>
      <c r="D4" s="55"/>
      <c r="E4" s="55" t="s">
        <v>1591</v>
      </c>
      <c r="F4" s="55" t="s">
        <v>1592</v>
      </c>
      <c r="G4" s="55" t="s">
        <v>1593</v>
      </c>
      <c r="H4" s="56" t="s">
        <v>1594</v>
      </c>
      <c r="I4" s="55">
        <v>1</v>
      </c>
      <c r="J4" s="55" t="s">
        <v>1595</v>
      </c>
      <c r="K4" s="58" t="s">
        <v>8</v>
      </c>
      <c r="L4" s="66" t="s">
        <v>1596</v>
      </c>
      <c r="M4" s="55" t="s">
        <v>242</v>
      </c>
      <c r="N4" s="55" t="s">
        <v>1597</v>
      </c>
      <c r="O4" s="64"/>
      <c r="P4" s="55" t="s">
        <v>1598</v>
      </c>
      <c r="Q4" s="60">
        <v>45670</v>
      </c>
      <c r="R4" s="60">
        <v>45673</v>
      </c>
      <c r="S4" s="60"/>
      <c r="T4" s="61" t="s">
        <v>1599</v>
      </c>
      <c r="U4" s="61" t="s">
        <v>1600</v>
      </c>
      <c r="V4" s="61" t="s">
        <v>1601</v>
      </c>
      <c r="W4" s="61"/>
      <c r="X4" s="61"/>
      <c r="Y4" s="61" t="s">
        <v>1602</v>
      </c>
      <c r="Z4" s="61"/>
      <c r="AA4" s="61"/>
      <c r="AB4" s="61"/>
      <c r="AC4" s="65"/>
    </row>
    <row r="5" spans="2:29" ht="78" customHeight="1" x14ac:dyDescent="0.35">
      <c r="B5" s="220">
        <v>2</v>
      </c>
      <c r="C5" s="222" t="s">
        <v>1603</v>
      </c>
      <c r="D5" s="38"/>
      <c r="E5" s="230" t="s">
        <v>1591</v>
      </c>
      <c r="F5" s="230" t="s">
        <v>1604</v>
      </c>
      <c r="G5" s="228" t="s">
        <v>1605</v>
      </c>
      <c r="H5" s="230" t="s">
        <v>1606</v>
      </c>
      <c r="I5" s="228">
        <v>2</v>
      </c>
      <c r="J5" s="228" t="s">
        <v>1595</v>
      </c>
      <c r="K5" s="226" t="s">
        <v>1607</v>
      </c>
      <c r="L5" s="222" t="s">
        <v>1608</v>
      </c>
      <c r="M5" s="39" t="s">
        <v>1609</v>
      </c>
      <c r="N5" s="228" t="s">
        <v>1597</v>
      </c>
      <c r="O5" s="232" t="s">
        <v>1610</v>
      </c>
      <c r="P5" s="40" t="s">
        <v>1611</v>
      </c>
      <c r="Q5" s="224">
        <v>45671</v>
      </c>
      <c r="R5" s="39"/>
      <c r="S5" s="39"/>
      <c r="T5" s="41" t="s">
        <v>1599</v>
      </c>
      <c r="U5" s="41" t="s">
        <v>1612</v>
      </c>
      <c r="V5" s="41"/>
      <c r="W5" s="41"/>
      <c r="X5" s="41"/>
      <c r="Y5" s="41" t="s">
        <v>1602</v>
      </c>
      <c r="Z5" s="41"/>
      <c r="AA5" s="42"/>
      <c r="AB5" s="42"/>
      <c r="AC5" s="43"/>
    </row>
    <row r="6" spans="2:29" ht="15" thickBot="1" x14ac:dyDescent="0.4">
      <c r="B6" s="221"/>
      <c r="C6" s="223"/>
      <c r="D6" s="44"/>
      <c r="E6" s="231"/>
      <c r="F6" s="231"/>
      <c r="G6" s="229"/>
      <c r="H6" s="231"/>
      <c r="I6" s="229"/>
      <c r="J6" s="229"/>
      <c r="K6" s="227"/>
      <c r="L6" s="223"/>
      <c r="M6" s="45"/>
      <c r="N6" s="229"/>
      <c r="O6" s="233"/>
      <c r="P6" s="46" t="s">
        <v>1613</v>
      </c>
      <c r="Q6" s="225"/>
      <c r="R6" s="45"/>
      <c r="S6" s="45"/>
      <c r="T6" s="47" t="s">
        <v>1599</v>
      </c>
      <c r="U6" s="47"/>
      <c r="V6" s="47"/>
      <c r="W6" s="47"/>
      <c r="X6" s="47"/>
      <c r="Y6" s="47" t="s">
        <v>1602</v>
      </c>
      <c r="Z6" s="47"/>
      <c r="AA6" s="48"/>
      <c r="AB6" s="48"/>
      <c r="AC6" s="49"/>
    </row>
    <row r="7" spans="2:29" ht="156.5" thickBot="1" x14ac:dyDescent="0.4">
      <c r="B7" s="50">
        <v>3</v>
      </c>
      <c r="C7" s="72" t="s">
        <v>1614</v>
      </c>
      <c r="D7" s="52"/>
      <c r="E7" s="53" t="s">
        <v>1591</v>
      </c>
      <c r="F7" s="53" t="s">
        <v>1615</v>
      </c>
      <c r="G7" s="54" t="s">
        <v>1616</v>
      </c>
      <c r="H7" s="54"/>
      <c r="I7" s="53" t="s">
        <v>1617</v>
      </c>
      <c r="J7" s="55" t="s">
        <v>1618</v>
      </c>
      <c r="K7" s="51" t="s">
        <v>1619</v>
      </c>
      <c r="L7" s="67" t="s">
        <v>1620</v>
      </c>
      <c r="M7" s="54" t="s">
        <v>1621</v>
      </c>
      <c r="N7" s="56" t="s">
        <v>1622</v>
      </c>
      <c r="O7" s="57" t="s">
        <v>1623</v>
      </c>
      <c r="P7" s="58"/>
      <c r="Q7" s="59">
        <v>45674</v>
      </c>
      <c r="R7" s="60">
        <v>45677</v>
      </c>
      <c r="S7" s="55"/>
      <c r="T7" s="61" t="s">
        <v>1602</v>
      </c>
      <c r="U7" s="61"/>
      <c r="V7" s="61"/>
      <c r="W7" s="61"/>
      <c r="X7" s="61"/>
      <c r="Y7" s="61" t="s">
        <v>1602</v>
      </c>
      <c r="Z7" s="61"/>
      <c r="AA7" s="62"/>
      <c r="AB7" s="62"/>
      <c r="AC7" s="63"/>
    </row>
    <row r="8" spans="2:29" ht="15" thickBot="1" x14ac:dyDescent="0.4">
      <c r="B8" s="50">
        <v>4</v>
      </c>
      <c r="C8" s="72" t="s">
        <v>1624</v>
      </c>
      <c r="D8" s="52"/>
      <c r="E8" s="53"/>
      <c r="F8" s="53" t="s">
        <v>1615</v>
      </c>
      <c r="G8" s="53"/>
      <c r="H8" s="53"/>
      <c r="I8" s="53"/>
      <c r="J8" s="55"/>
      <c r="K8" s="51" t="s">
        <v>18</v>
      </c>
      <c r="L8" s="67"/>
      <c r="M8" s="53"/>
      <c r="N8" s="52"/>
      <c r="O8" s="57" t="s">
        <v>19</v>
      </c>
      <c r="P8" s="58"/>
      <c r="Q8" s="55"/>
      <c r="R8" s="55"/>
      <c r="S8" s="55"/>
      <c r="T8" s="61"/>
      <c r="U8" s="61"/>
      <c r="V8" s="61"/>
      <c r="W8" s="61"/>
      <c r="X8" s="61"/>
      <c r="Y8" s="61"/>
      <c r="Z8" s="61"/>
      <c r="AA8" s="62"/>
      <c r="AB8" s="62"/>
      <c r="AC8" s="63"/>
    </row>
    <row r="9" spans="2:29" x14ac:dyDescent="0.35">
      <c r="B9" s="18"/>
      <c r="C9" s="73"/>
      <c r="D9" s="33"/>
      <c r="E9" s="34"/>
      <c r="F9" s="34"/>
      <c r="G9" s="34"/>
      <c r="H9" s="34"/>
      <c r="I9" s="34"/>
      <c r="J9" s="19"/>
      <c r="K9" s="32"/>
      <c r="L9" s="68"/>
      <c r="M9" s="34"/>
      <c r="N9" s="33"/>
      <c r="O9" s="35"/>
      <c r="P9" s="29"/>
      <c r="Q9" s="19"/>
      <c r="R9" s="19"/>
      <c r="S9" s="19"/>
      <c r="T9" s="20"/>
      <c r="U9" s="20"/>
      <c r="V9" s="20"/>
      <c r="W9" s="20"/>
      <c r="X9" s="20"/>
      <c r="Y9" s="20"/>
      <c r="Z9" s="20"/>
      <c r="AA9" s="36"/>
      <c r="AB9" s="36"/>
      <c r="AC9" s="37"/>
    </row>
    <row r="10" spans="2:29" x14ac:dyDescent="0.35">
      <c r="B10" s="8"/>
      <c r="C10" s="74"/>
      <c r="D10" s="4"/>
      <c r="E10" s="5"/>
      <c r="F10" s="5"/>
      <c r="G10" s="1"/>
      <c r="H10" s="1"/>
      <c r="I10" s="1"/>
      <c r="J10" s="2"/>
      <c r="K10" s="2"/>
      <c r="L10" s="69"/>
      <c r="M10" s="1"/>
      <c r="N10" s="2"/>
      <c r="O10" s="30"/>
      <c r="P10" s="2"/>
      <c r="Q10" s="1"/>
      <c r="R10" s="1"/>
      <c r="S10" s="1"/>
      <c r="T10" s="3"/>
      <c r="U10" s="3"/>
      <c r="V10" s="3"/>
      <c r="W10" s="3"/>
      <c r="X10" s="3"/>
      <c r="Y10" s="3"/>
      <c r="Z10" s="3"/>
      <c r="AA10" s="6"/>
      <c r="AB10" s="6"/>
      <c r="AC10" s="9"/>
    </row>
    <row r="11" spans="2:29" x14ac:dyDescent="0.35">
      <c r="B11" s="8"/>
      <c r="C11" s="74"/>
      <c r="D11" s="4"/>
      <c r="E11" s="5"/>
      <c r="F11" s="5"/>
      <c r="G11" s="1"/>
      <c r="H11" s="1"/>
      <c r="I11" s="1"/>
      <c r="J11" s="2"/>
      <c r="K11" s="2"/>
      <c r="L11" s="69"/>
      <c r="M11" s="1"/>
      <c r="N11" s="2"/>
      <c r="O11" s="30"/>
      <c r="P11" s="2"/>
      <c r="Q11" s="1"/>
      <c r="R11" s="1"/>
      <c r="S11" s="1"/>
      <c r="T11" s="3"/>
      <c r="U11" s="3"/>
      <c r="V11" s="3"/>
      <c r="W11" s="3"/>
      <c r="X11" s="3"/>
      <c r="Y11" s="3"/>
      <c r="Z11" s="3"/>
      <c r="AA11" s="6"/>
      <c r="AB11" s="6"/>
      <c r="AC11" s="9"/>
    </row>
    <row r="12" spans="2:29" x14ac:dyDescent="0.35">
      <c r="B12" s="8"/>
      <c r="C12" s="74"/>
      <c r="D12" s="4"/>
      <c r="E12" s="5"/>
      <c r="F12" s="5"/>
      <c r="G12" s="1"/>
      <c r="H12" s="1"/>
      <c r="I12" s="1"/>
      <c r="J12" s="2"/>
      <c r="K12" s="2"/>
      <c r="L12" s="69"/>
      <c r="M12" s="1"/>
      <c r="N12" s="2"/>
      <c r="O12" s="30"/>
      <c r="P12" s="2"/>
      <c r="Q12" s="1"/>
      <c r="R12" s="1"/>
      <c r="S12" s="1"/>
      <c r="T12" s="3"/>
      <c r="U12" s="3"/>
      <c r="V12" s="3"/>
      <c r="W12" s="3"/>
      <c r="X12" s="3"/>
      <c r="Y12" s="3"/>
      <c r="Z12" s="3"/>
      <c r="AA12" s="6"/>
      <c r="AB12" s="6"/>
      <c r="AC12" s="9"/>
    </row>
    <row r="13" spans="2:29" x14ac:dyDescent="0.35">
      <c r="B13" s="8"/>
      <c r="C13" s="74"/>
      <c r="D13" s="4"/>
      <c r="E13" s="5"/>
      <c r="F13" s="5"/>
      <c r="G13" s="1"/>
      <c r="H13" s="1"/>
      <c r="I13" s="1"/>
      <c r="J13" s="2"/>
      <c r="K13" s="2"/>
      <c r="L13" s="69"/>
      <c r="M13" s="1"/>
      <c r="N13" s="2"/>
      <c r="O13" s="30"/>
      <c r="P13" s="2"/>
      <c r="Q13" s="1"/>
      <c r="R13" s="1"/>
      <c r="S13" s="1"/>
      <c r="T13" s="3"/>
      <c r="U13" s="3"/>
      <c r="V13" s="3"/>
      <c r="W13" s="3"/>
      <c r="X13" s="3"/>
      <c r="Y13" s="3"/>
      <c r="Z13" s="3"/>
      <c r="AA13" s="6"/>
      <c r="AB13" s="6"/>
      <c r="AC13" s="9"/>
    </row>
    <row r="14" spans="2:29" x14ac:dyDescent="0.35">
      <c r="B14" s="8"/>
      <c r="C14" s="74"/>
      <c r="D14" s="4"/>
      <c r="E14" s="5"/>
      <c r="F14" s="5"/>
      <c r="G14" s="1"/>
      <c r="H14" s="1"/>
      <c r="I14" s="1"/>
      <c r="J14" s="2"/>
      <c r="K14" s="2"/>
      <c r="L14" s="69"/>
      <c r="M14" s="1"/>
      <c r="N14" s="2"/>
      <c r="O14" s="30"/>
      <c r="P14" s="2"/>
      <c r="Q14" s="1"/>
      <c r="R14" s="1"/>
      <c r="S14" s="1"/>
      <c r="T14" s="3"/>
      <c r="U14" s="3"/>
      <c r="V14" s="3"/>
      <c r="W14" s="3"/>
      <c r="X14" s="3"/>
      <c r="Y14" s="3"/>
      <c r="Z14" s="3"/>
      <c r="AA14" s="6"/>
      <c r="AB14" s="6"/>
      <c r="AC14" s="9"/>
    </row>
    <row r="15" spans="2:29" x14ac:dyDescent="0.35">
      <c r="B15" s="8"/>
      <c r="C15" s="74"/>
      <c r="D15" s="4"/>
      <c r="E15" s="5"/>
      <c r="F15" s="5"/>
      <c r="G15" s="1"/>
      <c r="H15" s="1"/>
      <c r="I15" s="1"/>
      <c r="J15" s="2"/>
      <c r="K15" s="2"/>
      <c r="L15" s="69"/>
      <c r="M15" s="1"/>
      <c r="N15" s="2"/>
      <c r="O15" s="30"/>
      <c r="P15" s="2"/>
      <c r="Q15" s="1"/>
      <c r="R15" s="1"/>
      <c r="S15" s="1"/>
      <c r="T15" s="3"/>
      <c r="U15" s="3"/>
      <c r="V15" s="3"/>
      <c r="W15" s="3"/>
      <c r="X15" s="3"/>
      <c r="Y15" s="3"/>
      <c r="Z15" s="3"/>
      <c r="AA15" s="6"/>
      <c r="AB15" s="6"/>
      <c r="AC15" s="9"/>
    </row>
    <row r="16" spans="2:29" x14ac:dyDescent="0.35">
      <c r="B16" s="8"/>
      <c r="C16" s="74"/>
      <c r="D16" s="4"/>
      <c r="E16" s="5"/>
      <c r="F16" s="5"/>
      <c r="G16" s="1"/>
      <c r="H16" s="1"/>
      <c r="I16" s="1"/>
      <c r="J16" s="2"/>
      <c r="K16" s="2"/>
      <c r="L16" s="69"/>
      <c r="M16" s="1"/>
      <c r="N16" s="2"/>
      <c r="O16" s="30"/>
      <c r="P16" s="2"/>
      <c r="Q16" s="1"/>
      <c r="R16" s="1"/>
      <c r="S16" s="1"/>
      <c r="T16" s="3"/>
      <c r="U16" s="3"/>
      <c r="V16" s="3"/>
      <c r="W16" s="3"/>
      <c r="X16" s="3"/>
      <c r="Y16" s="3"/>
      <c r="Z16" s="3"/>
      <c r="AA16" s="6"/>
      <c r="AB16" s="6"/>
      <c r="AC16" s="9"/>
    </row>
    <row r="17" spans="2:29" x14ac:dyDescent="0.35">
      <c r="B17" s="8"/>
      <c r="C17" s="74"/>
      <c r="D17" s="4"/>
      <c r="E17" s="5"/>
      <c r="F17" s="5"/>
      <c r="G17" s="1"/>
      <c r="H17" s="1"/>
      <c r="I17" s="1"/>
      <c r="J17" s="2"/>
      <c r="K17" s="2"/>
      <c r="L17" s="69"/>
      <c r="M17" s="1"/>
      <c r="N17" s="2"/>
      <c r="O17" s="30"/>
      <c r="P17" s="2"/>
      <c r="Q17" s="1"/>
      <c r="R17" s="1"/>
      <c r="S17" s="1"/>
      <c r="T17" s="3"/>
      <c r="U17" s="3"/>
      <c r="V17" s="3"/>
      <c r="W17" s="3"/>
      <c r="X17" s="3"/>
      <c r="Y17" s="3"/>
      <c r="Z17" s="3"/>
      <c r="AA17" s="6"/>
      <c r="AB17" s="6"/>
      <c r="AC17" s="9"/>
    </row>
    <row r="18" spans="2:29" x14ac:dyDescent="0.35">
      <c r="B18" s="8"/>
      <c r="C18" s="74"/>
      <c r="D18" s="4"/>
      <c r="E18" s="5"/>
      <c r="F18" s="5"/>
      <c r="G18" s="1"/>
      <c r="H18" s="1"/>
      <c r="I18" s="1"/>
      <c r="J18" s="2"/>
      <c r="K18" s="2"/>
      <c r="L18" s="69"/>
      <c r="M18" s="1"/>
      <c r="N18" s="2"/>
      <c r="O18" s="30"/>
      <c r="P18" s="2"/>
      <c r="Q18" s="1"/>
      <c r="R18" s="1"/>
      <c r="S18" s="1"/>
      <c r="T18" s="3"/>
      <c r="U18" s="3"/>
      <c r="V18" s="3"/>
      <c r="W18" s="3"/>
      <c r="X18" s="3"/>
      <c r="Y18" s="3"/>
      <c r="Z18" s="3"/>
      <c r="AA18" s="6"/>
      <c r="AB18" s="6"/>
      <c r="AC18" s="9"/>
    </row>
    <row r="19" spans="2:29" x14ac:dyDescent="0.35">
      <c r="B19" s="8"/>
      <c r="C19" s="74"/>
      <c r="D19" s="4"/>
      <c r="E19" s="5"/>
      <c r="F19" s="5"/>
      <c r="G19" s="1"/>
      <c r="H19" s="1"/>
      <c r="I19" s="1"/>
      <c r="J19" s="2"/>
      <c r="K19" s="2"/>
      <c r="L19" s="69"/>
      <c r="M19" s="1"/>
      <c r="N19" s="2"/>
      <c r="O19" s="30"/>
      <c r="P19" s="2"/>
      <c r="Q19" s="1"/>
      <c r="R19" s="1"/>
      <c r="S19" s="1"/>
      <c r="T19" s="3"/>
      <c r="U19" s="3"/>
      <c r="V19" s="3"/>
      <c r="W19" s="3"/>
      <c r="X19" s="3"/>
      <c r="Y19" s="3"/>
      <c r="Z19" s="3"/>
      <c r="AA19" s="6"/>
      <c r="AB19" s="6"/>
      <c r="AC19" s="9"/>
    </row>
    <row r="20" spans="2:29" x14ac:dyDescent="0.35">
      <c r="B20" s="8"/>
      <c r="C20" s="74"/>
      <c r="D20" s="4"/>
      <c r="E20" s="5"/>
      <c r="F20" s="5"/>
      <c r="G20" s="1"/>
      <c r="H20" s="1"/>
      <c r="I20" s="1"/>
      <c r="J20" s="2"/>
      <c r="K20" s="2"/>
      <c r="L20" s="69"/>
      <c r="M20" s="1"/>
      <c r="N20" s="2"/>
      <c r="O20" s="30"/>
      <c r="P20" s="2"/>
      <c r="Q20" s="1"/>
      <c r="R20" s="1"/>
      <c r="S20" s="1"/>
      <c r="T20" s="3"/>
      <c r="U20" s="3"/>
      <c r="V20" s="3"/>
      <c r="W20" s="3"/>
      <c r="X20" s="3"/>
      <c r="Y20" s="3"/>
      <c r="Z20" s="3"/>
      <c r="AA20" s="6"/>
      <c r="AB20" s="6"/>
      <c r="AC20" s="9"/>
    </row>
    <row r="21" spans="2:29" x14ac:dyDescent="0.35">
      <c r="B21" s="8"/>
      <c r="C21" s="74"/>
      <c r="D21" s="4"/>
      <c r="E21" s="5"/>
      <c r="F21" s="5"/>
      <c r="G21" s="1"/>
      <c r="H21" s="1"/>
      <c r="I21" s="1"/>
      <c r="J21" s="2"/>
      <c r="K21" s="2"/>
      <c r="L21" s="69"/>
      <c r="M21" s="1"/>
      <c r="N21" s="2"/>
      <c r="O21" s="30"/>
      <c r="P21" s="2"/>
      <c r="Q21" s="1"/>
      <c r="R21" s="1"/>
      <c r="S21" s="1"/>
      <c r="T21" s="3"/>
      <c r="U21" s="3"/>
      <c r="V21" s="3"/>
      <c r="W21" s="3"/>
      <c r="X21" s="3"/>
      <c r="Y21" s="3"/>
      <c r="Z21" s="3"/>
      <c r="AA21" s="6"/>
      <c r="AB21" s="6"/>
      <c r="AC21" s="9"/>
    </row>
    <row r="22" spans="2:29" x14ac:dyDescent="0.35">
      <c r="B22" s="8"/>
      <c r="C22" s="74"/>
      <c r="D22" s="4"/>
      <c r="E22" s="5"/>
      <c r="F22" s="5"/>
      <c r="G22" s="1"/>
      <c r="H22" s="1"/>
      <c r="I22" s="1"/>
      <c r="J22" s="2"/>
      <c r="K22" s="2"/>
      <c r="L22" s="69"/>
      <c r="M22" s="1"/>
      <c r="N22" s="2"/>
      <c r="O22" s="30"/>
      <c r="P22" s="2"/>
      <c r="Q22" s="1"/>
      <c r="R22" s="1"/>
      <c r="S22" s="1"/>
      <c r="T22" s="3"/>
      <c r="U22" s="3"/>
      <c r="V22" s="3"/>
      <c r="W22" s="3"/>
      <c r="X22" s="3"/>
      <c r="Y22" s="3"/>
      <c r="Z22" s="3"/>
      <c r="AA22" s="6"/>
      <c r="AB22" s="6"/>
      <c r="AC22" s="9"/>
    </row>
    <row r="23" spans="2:29" x14ac:dyDescent="0.35">
      <c r="B23" s="8"/>
      <c r="C23" s="74"/>
      <c r="D23" s="4"/>
      <c r="E23" s="5"/>
      <c r="F23" s="5"/>
      <c r="G23" s="1"/>
      <c r="H23" s="1"/>
      <c r="I23" s="1"/>
      <c r="J23" s="2"/>
      <c r="K23" s="2"/>
      <c r="L23" s="69"/>
      <c r="M23" s="1"/>
      <c r="N23" s="2"/>
      <c r="O23" s="30"/>
      <c r="P23" s="2"/>
      <c r="Q23" s="1"/>
      <c r="R23" s="1"/>
      <c r="S23" s="1"/>
      <c r="T23" s="3"/>
      <c r="U23" s="3"/>
      <c r="V23" s="3"/>
      <c r="W23" s="3"/>
      <c r="X23" s="3"/>
      <c r="Y23" s="3"/>
      <c r="Z23" s="3"/>
      <c r="AA23" s="6"/>
      <c r="AB23" s="6"/>
      <c r="AC23" s="9"/>
    </row>
    <row r="24" spans="2:29" x14ac:dyDescent="0.35">
      <c r="B24" s="10"/>
      <c r="C24" s="70"/>
      <c r="D24" s="11"/>
      <c r="E24" s="12"/>
      <c r="F24" s="12"/>
      <c r="G24" s="12"/>
      <c r="H24" s="12"/>
      <c r="I24" s="12"/>
      <c r="J24" s="11"/>
      <c r="K24" s="11"/>
      <c r="L24" s="70"/>
      <c r="M24" s="12"/>
      <c r="N24" s="11"/>
      <c r="O24" s="31"/>
      <c r="P24" s="14"/>
      <c r="Q24" s="15"/>
      <c r="R24" s="15"/>
      <c r="S24" s="15"/>
      <c r="T24" s="13"/>
      <c r="U24" s="13"/>
      <c r="V24" s="13"/>
      <c r="W24" s="13"/>
      <c r="X24" s="13"/>
      <c r="Y24" s="13"/>
      <c r="Z24" s="13"/>
      <c r="AA24" s="16"/>
      <c r="AB24" s="16"/>
      <c r="AC24" s="17"/>
    </row>
  </sheetData>
  <mergeCells count="16">
    <mergeCell ref="W2:Z2"/>
    <mergeCell ref="Q2:V2"/>
    <mergeCell ref="I2:O2"/>
    <mergeCell ref="B5:B6"/>
    <mergeCell ref="C5:C6"/>
    <mergeCell ref="Q5:Q6"/>
    <mergeCell ref="K5:K6"/>
    <mergeCell ref="L5:L6"/>
    <mergeCell ref="N5:N6"/>
    <mergeCell ref="F5:F6"/>
    <mergeCell ref="G5:G6"/>
    <mergeCell ref="J5:J6"/>
    <mergeCell ref="H5:H6"/>
    <mergeCell ref="E5:E6"/>
    <mergeCell ref="I5:I6"/>
    <mergeCell ref="O5:O6"/>
  </mergeCells>
  <conditionalFormatting sqref="T1:T1048576">
    <cfRule type="cellIs" dxfId="6" priority="4" operator="equal">
      <formula>"Completed"</formula>
    </cfRule>
    <cfRule type="cellIs" dxfId="5" priority="5" operator="equal">
      <formula>"In Progress"</formula>
    </cfRule>
    <cfRule type="cellIs" dxfId="4" priority="6" operator="equal">
      <formula>"Not Started"</formula>
    </cfRule>
  </conditionalFormatting>
  <conditionalFormatting sqref="Y1:Y1048576">
    <cfRule type="cellIs" dxfId="3" priority="1" operator="equal">
      <formula>"Completed"</formula>
    </cfRule>
    <cfRule type="cellIs" dxfId="2" priority="2" operator="equal">
      <formula>"In Progress"</formula>
    </cfRule>
    <cfRule type="cellIs" dxfId="1" priority="3" operator="equal">
      <formula>"Not Started"</formula>
    </cfRule>
  </conditionalFormatting>
  <dataValidations count="1">
    <dataValidation type="list" allowBlank="1" showInputMessage="1" showErrorMessage="1" sqref="T4:T1048576 Y4:Y1048576" xr:uid="{1AACE847-67CF-4F30-92A7-34AA1D9704BA}">
      <formula1>"Not Started,In Progress,Completed"</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A2E1C-901D-4BF1-8E27-690C859FB6DF}">
  <sheetPr codeName="Sheet12">
    <tabColor theme="9" tint="-0.499984740745262"/>
  </sheetPr>
  <dimension ref="A1:L388"/>
  <sheetViews>
    <sheetView zoomScale="70" zoomScaleNormal="70" workbookViewId="0">
      <selection activeCell="A4" sqref="A4"/>
    </sheetView>
  </sheetViews>
  <sheetFormatPr defaultColWidth="8.7265625" defaultRowHeight="14.5" x14ac:dyDescent="0.35"/>
  <cols>
    <col min="1" max="1" width="48.1796875" style="99" bestFit="1" customWidth="1"/>
    <col min="2" max="2" width="14.453125" style="99" bestFit="1" customWidth="1"/>
    <col min="3" max="3" width="18.54296875" style="99" customWidth="1"/>
    <col min="4" max="4" width="34.453125" style="99" bestFit="1" customWidth="1"/>
    <col min="5" max="5" width="14.453125" style="99" bestFit="1" customWidth="1"/>
    <col min="6" max="6" width="22.7265625" style="99" bestFit="1" customWidth="1"/>
    <col min="7" max="7" width="25.26953125" style="121" customWidth="1"/>
    <col min="8" max="8" width="13.1796875" style="121" bestFit="1" customWidth="1"/>
    <col min="9" max="9" width="14.81640625" style="99" customWidth="1"/>
    <col min="10" max="11" width="8.7265625" style="99"/>
    <col min="12" max="12" width="11.1796875" style="99" customWidth="1"/>
    <col min="13" max="16384" width="8.7265625" style="99"/>
  </cols>
  <sheetData>
    <row r="1" spans="1:8" x14ac:dyDescent="0.35">
      <c r="A1" s="109" t="s">
        <v>1184</v>
      </c>
      <c r="B1" s="109" t="s">
        <v>1185</v>
      </c>
      <c r="C1" s="109" t="s">
        <v>1625</v>
      </c>
      <c r="D1" s="109" t="s">
        <v>1626</v>
      </c>
      <c r="E1" s="109" t="s">
        <v>1627</v>
      </c>
      <c r="F1" s="109" t="s">
        <v>1628</v>
      </c>
      <c r="G1" s="136" t="s">
        <v>1629</v>
      </c>
      <c r="H1" s="136"/>
    </row>
    <row r="2" spans="1:8" x14ac:dyDescent="0.35">
      <c r="A2" s="99" t="s">
        <v>1186</v>
      </c>
      <c r="B2" s="99">
        <v>90724630</v>
      </c>
      <c r="C2" s="99" t="str" cm="1">
        <f t="array" ref="C2">IFERROR(INDEX(#REF!, MATCH(1, (#REF! = B2) * (#REF! &lt;&gt; "Rejected") * (#REF! &lt;&gt; "Offboarded"), 0)), "")</f>
        <v/>
      </c>
      <c r="D2" s="99" t="s">
        <v>1630</v>
      </c>
      <c r="E2" s="99" t="s">
        <v>1631</v>
      </c>
      <c r="F2" s="99" t="s">
        <v>1631</v>
      </c>
      <c r="G2" s="121" t="s">
        <v>1632</v>
      </c>
    </row>
    <row r="3" spans="1:8" x14ac:dyDescent="0.35">
      <c r="A3" s="99" t="s">
        <v>1188</v>
      </c>
      <c r="B3" s="99">
        <v>90725469</v>
      </c>
      <c r="C3" s="99" t="str" cm="1">
        <f t="array" ref="C3">IFERROR(INDEX(#REF!, MATCH(1, (#REF! = B3) * (#REF! &lt;&gt; "Rejected") * (#REF! &lt;&gt; "Offboarded"), 0)), "")</f>
        <v/>
      </c>
      <c r="D3" s="99" t="s">
        <v>1633</v>
      </c>
      <c r="E3" s="99" t="s">
        <v>1634</v>
      </c>
      <c r="F3" s="99" t="s">
        <v>1635</v>
      </c>
      <c r="G3" s="121" t="s">
        <v>1632</v>
      </c>
    </row>
    <row r="4" spans="1:8" x14ac:dyDescent="0.35">
      <c r="A4" s="99" t="s">
        <v>1636</v>
      </c>
      <c r="B4" s="99">
        <v>90719764</v>
      </c>
      <c r="C4" s="99" t="str" cm="1">
        <f t="array" ref="C4">IFERROR(INDEX(#REF!, MATCH(1, (#REF! = B4) * (#REF! &lt;&gt; "Rejected") * (#REF! &lt;&gt; "Offboarded"), 0)), "")</f>
        <v/>
      </c>
      <c r="D4" s="99" t="s">
        <v>1637</v>
      </c>
      <c r="E4" s="99" t="s">
        <v>1638</v>
      </c>
      <c r="F4" s="99" t="s">
        <v>1639</v>
      </c>
      <c r="G4" s="121" t="s">
        <v>1632</v>
      </c>
    </row>
    <row r="5" spans="1:8" x14ac:dyDescent="0.35">
      <c r="A5" s="99" t="s">
        <v>1192</v>
      </c>
      <c r="B5" s="99">
        <v>90719874</v>
      </c>
      <c r="C5" s="99" t="str" cm="1">
        <f t="array" ref="C5">IFERROR(INDEX(#REF!, MATCH(1, (#REF! = B5) * (#REF! &lt;&gt; "Rejected") * (#REF! &lt;&gt; "Offboarded"), 0)), "")</f>
        <v/>
      </c>
      <c r="D5" s="99" t="s">
        <v>1640</v>
      </c>
      <c r="E5" s="99" t="s">
        <v>1641</v>
      </c>
      <c r="F5" s="99" t="s">
        <v>1642</v>
      </c>
      <c r="G5" s="121" t="s">
        <v>1632</v>
      </c>
    </row>
    <row r="6" spans="1:8" x14ac:dyDescent="0.35">
      <c r="A6" s="99" t="s">
        <v>1194</v>
      </c>
      <c r="B6" s="99">
        <v>90719951</v>
      </c>
      <c r="C6" s="99" t="str" cm="1">
        <f t="array" ref="C6">IFERROR(INDEX(#REF!, MATCH(1, (#REF! = B6) * (#REF! &lt;&gt; "Rejected") * (#REF! &lt;&gt; "Offboarded"), 0)), "")</f>
        <v/>
      </c>
      <c r="D6" s="99" t="s">
        <v>1643</v>
      </c>
      <c r="E6" s="99" t="s">
        <v>1644</v>
      </c>
      <c r="F6" s="99" t="s">
        <v>1645</v>
      </c>
      <c r="G6" s="121" t="s">
        <v>1632</v>
      </c>
    </row>
    <row r="7" spans="1:8" x14ac:dyDescent="0.35">
      <c r="A7" s="99" t="s">
        <v>1195</v>
      </c>
      <c r="B7" s="99">
        <v>90719859</v>
      </c>
      <c r="C7" s="99" t="str" cm="1">
        <f t="array" ref="C7">IFERROR(INDEX(#REF!, MATCH(1, (#REF! = B7) * (#REF! &lt;&gt; "Rejected") * (#REF! &lt;&gt; "Offboarded"), 0)), "")</f>
        <v/>
      </c>
      <c r="D7" s="99" t="s">
        <v>1646</v>
      </c>
      <c r="E7" s="99" t="s">
        <v>1647</v>
      </c>
      <c r="F7" s="99" t="s">
        <v>1648</v>
      </c>
      <c r="G7" s="121" t="s">
        <v>1632</v>
      </c>
    </row>
    <row r="8" spans="1:8" x14ac:dyDescent="0.35">
      <c r="A8" s="99" t="s">
        <v>1649</v>
      </c>
      <c r="B8" s="99">
        <v>90719883</v>
      </c>
      <c r="C8" s="99" t="str" cm="1">
        <f t="array" ref="C8">IFERROR(INDEX(#REF!, MATCH(1, (#REF! = B8) * (#REF! &lt;&gt; "Rejected") * (#REF! &lt;&gt; "Offboarded"), 0)), "")</f>
        <v/>
      </c>
      <c r="D8" s="99" t="s">
        <v>1650</v>
      </c>
      <c r="E8" s="99" t="s">
        <v>1651</v>
      </c>
      <c r="F8" s="99" t="s">
        <v>1652</v>
      </c>
      <c r="G8" s="121" t="s">
        <v>1632</v>
      </c>
    </row>
    <row r="9" spans="1:8" x14ac:dyDescent="0.35">
      <c r="A9" s="99" t="s">
        <v>1198</v>
      </c>
      <c r="B9" s="99">
        <v>90719895</v>
      </c>
      <c r="C9" s="99" t="str" cm="1">
        <f t="array" ref="C9">IFERROR(INDEX(#REF!, MATCH(1, (#REF! = B9) * (#REF! &lt;&gt; "Rejected") * (#REF! &lt;&gt; "Offboarded"), 0)), "")</f>
        <v/>
      </c>
      <c r="D9" s="99" t="s">
        <v>1653</v>
      </c>
      <c r="E9" s="99" t="s">
        <v>1654</v>
      </c>
      <c r="F9" s="99" t="s">
        <v>1655</v>
      </c>
      <c r="G9" s="121" t="s">
        <v>1632</v>
      </c>
    </row>
    <row r="10" spans="1:8" x14ac:dyDescent="0.35">
      <c r="A10" s="99" t="s">
        <v>1200</v>
      </c>
      <c r="B10" s="99">
        <v>90719619</v>
      </c>
      <c r="C10" s="99" t="str" cm="1">
        <f t="array" ref="C10">IFERROR(INDEX(#REF!, MATCH(1, (#REF! = B10) * (#REF! &lt;&gt; "Rejected") * (#REF! &lt;&gt; "Offboarded"), 0)), "")</f>
        <v/>
      </c>
      <c r="D10" s="99" t="s">
        <v>1656</v>
      </c>
      <c r="E10" s="99" t="s">
        <v>1657</v>
      </c>
      <c r="F10" s="99" t="s">
        <v>1658</v>
      </c>
      <c r="G10" s="121" t="s">
        <v>1632</v>
      </c>
    </row>
    <row r="11" spans="1:8" x14ac:dyDescent="0.35">
      <c r="A11" s="99" t="s">
        <v>1659</v>
      </c>
      <c r="B11" s="99">
        <v>90727542</v>
      </c>
      <c r="C11" s="99" t="str" cm="1">
        <f t="array" ref="C11">IFERROR(INDEX(#REF!, MATCH(1, (#REF! = B11) * (#REF! &lt;&gt; "Rejected") * (#REF! &lt;&gt; "Offboarded"), 0)), "")</f>
        <v/>
      </c>
      <c r="D11" s="99" t="s">
        <v>1660</v>
      </c>
      <c r="E11" s="99" t="s">
        <v>1657</v>
      </c>
      <c r="F11" s="99" t="s">
        <v>1661</v>
      </c>
      <c r="G11" s="121" t="s">
        <v>1632</v>
      </c>
    </row>
    <row r="12" spans="1:8" x14ac:dyDescent="0.35">
      <c r="A12" s="99" t="s">
        <v>1201</v>
      </c>
      <c r="B12" s="99">
        <v>90719774</v>
      </c>
      <c r="C12" s="99" t="str" cm="1">
        <f t="array" ref="C12">IFERROR(INDEX(#REF!, MATCH(1, (#REF! = B12) * (#REF! &lt;&gt; "Rejected") * (#REF! &lt;&gt; "Offboarded"), 0)), "")</f>
        <v/>
      </c>
      <c r="D12" s="99" t="s">
        <v>1662</v>
      </c>
      <c r="E12" s="99" t="s">
        <v>1657</v>
      </c>
      <c r="F12" s="99" t="s">
        <v>1663</v>
      </c>
      <c r="G12" s="121" t="s">
        <v>1632</v>
      </c>
    </row>
    <row r="13" spans="1:8" x14ac:dyDescent="0.35">
      <c r="A13" s="99" t="s">
        <v>1202</v>
      </c>
      <c r="B13" s="99">
        <v>90719734</v>
      </c>
      <c r="C13" s="99" t="str" cm="1">
        <f t="array" ref="C13">IFERROR(INDEX(#REF!, MATCH(1, (#REF! = B13) * (#REF! &lt;&gt; "Rejected") * (#REF! &lt;&gt; "Offboarded"), 0)), "")</f>
        <v/>
      </c>
      <c r="D13" s="99" t="s">
        <v>1664</v>
      </c>
      <c r="E13" s="99" t="s">
        <v>1665</v>
      </c>
      <c r="F13" s="99" t="s">
        <v>1666</v>
      </c>
      <c r="G13" s="121" t="s">
        <v>1632</v>
      </c>
    </row>
    <row r="14" spans="1:8" x14ac:dyDescent="0.35">
      <c r="A14" s="99" t="s">
        <v>1203</v>
      </c>
      <c r="B14" s="99">
        <v>90719946</v>
      </c>
      <c r="C14" s="99" t="str" cm="1">
        <f t="array" ref="C14">IFERROR(INDEX(#REF!, MATCH(1, (#REF! = B14) * (#REF! &lt;&gt; "Rejected") * (#REF! &lt;&gt; "Offboarded"), 0)), "")</f>
        <v/>
      </c>
      <c r="D14" s="99" t="s">
        <v>1667</v>
      </c>
      <c r="E14" s="99" t="s">
        <v>1668</v>
      </c>
      <c r="F14" s="99" t="s">
        <v>1669</v>
      </c>
      <c r="G14" s="121" t="s">
        <v>1632</v>
      </c>
    </row>
    <row r="15" spans="1:8" x14ac:dyDescent="0.35">
      <c r="A15" s="99" t="s">
        <v>1204</v>
      </c>
      <c r="B15" s="99">
        <v>90719753</v>
      </c>
      <c r="C15" s="99" t="str" cm="1">
        <f t="array" ref="C15">IFERROR(INDEX(#REF!, MATCH(1, (#REF! = B15) * (#REF! &lt;&gt; "Rejected") * (#REF! &lt;&gt; "Offboarded"), 0)), "")</f>
        <v/>
      </c>
      <c r="D15" s="99" t="s">
        <v>1670</v>
      </c>
      <c r="E15" s="99" t="s">
        <v>1671</v>
      </c>
      <c r="F15" s="99" t="s">
        <v>1672</v>
      </c>
      <c r="G15" s="121" t="s">
        <v>1632</v>
      </c>
    </row>
    <row r="16" spans="1:8" x14ac:dyDescent="0.35">
      <c r="A16" s="99" t="s">
        <v>1673</v>
      </c>
      <c r="B16" s="99">
        <v>90719842</v>
      </c>
      <c r="C16" s="99" t="str" cm="1">
        <f t="array" ref="C16">IFERROR(INDEX(#REF!, MATCH(1, (#REF! = B16) * (#REF! &lt;&gt; "Rejected") * (#REF! &lt;&gt; "Offboarded"), 0)), "")</f>
        <v/>
      </c>
      <c r="D16" s="99" t="s">
        <v>1674</v>
      </c>
      <c r="E16" s="99" t="s">
        <v>1665</v>
      </c>
      <c r="F16" s="99" t="s">
        <v>1675</v>
      </c>
      <c r="G16" s="121" t="s">
        <v>1632</v>
      </c>
    </row>
    <row r="17" spans="1:7" x14ac:dyDescent="0.35">
      <c r="A17" s="99" t="s">
        <v>1676</v>
      </c>
      <c r="B17" s="99">
        <v>90719577</v>
      </c>
      <c r="C17" s="99" t="str" cm="1">
        <f t="array" ref="C17">IFERROR(INDEX(#REF!, MATCH(1, (#REF! = B17) * (#REF! &lt;&gt; "Rejected") * (#REF! &lt;&gt; "Offboarded"), 0)), "")</f>
        <v/>
      </c>
      <c r="D17" s="99" t="s">
        <v>1677</v>
      </c>
      <c r="E17" s="99" t="s">
        <v>1678</v>
      </c>
      <c r="F17" s="99" t="s">
        <v>1679</v>
      </c>
      <c r="G17" s="121" t="s">
        <v>1632</v>
      </c>
    </row>
    <row r="18" spans="1:7" x14ac:dyDescent="0.35">
      <c r="A18" s="99" t="s">
        <v>1206</v>
      </c>
      <c r="B18" s="99">
        <v>90719939</v>
      </c>
      <c r="C18" s="99" t="str" cm="1">
        <f t="array" ref="C18">IFERROR(INDEX(#REF!, MATCH(1, (#REF! = B18) * (#REF! &lt;&gt; "Rejected") * (#REF! &lt;&gt; "Offboarded"), 0)), "")</f>
        <v/>
      </c>
      <c r="D18" s="99" t="s">
        <v>1680</v>
      </c>
      <c r="E18" s="99" t="s">
        <v>1681</v>
      </c>
      <c r="F18" s="99" t="s">
        <v>1682</v>
      </c>
      <c r="G18" s="121" t="s">
        <v>1632</v>
      </c>
    </row>
    <row r="19" spans="1:7" x14ac:dyDescent="0.35">
      <c r="A19" s="99" t="s">
        <v>1208</v>
      </c>
      <c r="B19" s="99">
        <v>90719799</v>
      </c>
      <c r="C19" s="99" t="str" cm="1">
        <f t="array" ref="C19">IFERROR(INDEX(#REF!, MATCH(1, (#REF! = B19) * (#REF! &lt;&gt; "Rejected") * (#REF! &lt;&gt; "Offboarded"), 0)), "")</f>
        <v/>
      </c>
      <c r="D19" s="99" t="s">
        <v>1683</v>
      </c>
      <c r="E19" s="99" t="s">
        <v>1684</v>
      </c>
      <c r="F19" s="99" t="s">
        <v>1685</v>
      </c>
      <c r="G19" s="121" t="s">
        <v>1632</v>
      </c>
    </row>
    <row r="20" spans="1:7" x14ac:dyDescent="0.35">
      <c r="A20" s="99" t="s">
        <v>1209</v>
      </c>
      <c r="B20" s="99">
        <v>90719880</v>
      </c>
      <c r="C20" s="99" t="str" cm="1">
        <f t="array" ref="C20">IFERROR(INDEX(#REF!, MATCH(1, (#REF! = B20) * (#REF! &lt;&gt; "Rejected") * (#REF! &lt;&gt; "Offboarded"), 0)), "")</f>
        <v/>
      </c>
      <c r="D20" s="99" t="s">
        <v>1686</v>
      </c>
      <c r="E20" s="99" t="s">
        <v>1687</v>
      </c>
      <c r="F20" s="99" t="s">
        <v>1688</v>
      </c>
      <c r="G20" s="121" t="s">
        <v>1632</v>
      </c>
    </row>
    <row r="21" spans="1:7" x14ac:dyDescent="0.35">
      <c r="A21" s="99" t="s">
        <v>1689</v>
      </c>
      <c r="B21" s="99">
        <v>90719752</v>
      </c>
      <c r="C21" s="99" t="str" cm="1">
        <f t="array" ref="C21">IFERROR(INDEX(#REF!, MATCH(1, (#REF! = B21) * (#REF! &lt;&gt; "Rejected") * (#REF! &lt;&gt; "Offboarded"), 0)), "")</f>
        <v/>
      </c>
      <c r="D21" s="99" t="s">
        <v>1690</v>
      </c>
      <c r="E21" s="99" t="s">
        <v>1691</v>
      </c>
      <c r="F21" s="99" t="s">
        <v>1692</v>
      </c>
      <c r="G21" s="121" t="s">
        <v>1632</v>
      </c>
    </row>
    <row r="22" spans="1:7" x14ac:dyDescent="0.35">
      <c r="A22" s="99" t="s">
        <v>1212</v>
      </c>
      <c r="B22" s="99">
        <v>90719819</v>
      </c>
      <c r="C22" s="99" t="str" cm="1">
        <f t="array" ref="C22">IFERROR(INDEX(#REF!, MATCH(1, (#REF! = B22) * (#REF! &lt;&gt; "Rejected") * (#REF! &lt;&gt; "Offboarded"), 0)), "")</f>
        <v/>
      </c>
      <c r="D22" s="99" t="s">
        <v>1693</v>
      </c>
      <c r="E22" s="99" t="s">
        <v>1694</v>
      </c>
      <c r="F22" s="99" t="s">
        <v>1695</v>
      </c>
      <c r="G22" s="121" t="s">
        <v>1632</v>
      </c>
    </row>
    <row r="23" spans="1:7" x14ac:dyDescent="0.35">
      <c r="A23" s="99" t="s">
        <v>1214</v>
      </c>
      <c r="B23" s="99">
        <v>90727249</v>
      </c>
      <c r="C23" s="99" t="str" cm="1">
        <f t="array" ref="C23">IFERROR(INDEX(#REF!, MATCH(1, (#REF! = B23) * (#REF! &lt;&gt; "Rejected") * (#REF! &lt;&gt; "Offboarded"), 0)), "")</f>
        <v/>
      </c>
      <c r="D23" s="99" t="s">
        <v>1696</v>
      </c>
      <c r="E23" s="99" t="s">
        <v>1697</v>
      </c>
      <c r="F23" s="99" t="s">
        <v>1698</v>
      </c>
      <c r="G23" s="121" t="s">
        <v>1632</v>
      </c>
    </row>
    <row r="24" spans="1:7" x14ac:dyDescent="0.35">
      <c r="A24" s="99" t="s">
        <v>1215</v>
      </c>
      <c r="B24" s="99">
        <v>90719869</v>
      </c>
      <c r="C24" s="99" t="str" cm="1">
        <f t="array" ref="C24">IFERROR(INDEX(#REF!, MATCH(1, (#REF! = B24) * (#REF! &lt;&gt; "Rejected") * (#REF! &lt;&gt; "Offboarded"), 0)), "")</f>
        <v/>
      </c>
      <c r="D24" s="99" t="s">
        <v>1699</v>
      </c>
      <c r="E24" s="99" t="s">
        <v>1700</v>
      </c>
      <c r="F24" s="99" t="s">
        <v>1672</v>
      </c>
      <c r="G24" s="121" t="s">
        <v>1632</v>
      </c>
    </row>
    <row r="25" spans="1:7" x14ac:dyDescent="0.35">
      <c r="A25" s="99" t="s">
        <v>1701</v>
      </c>
      <c r="B25" s="99">
        <v>90719795</v>
      </c>
      <c r="C25" s="99" t="str" cm="1">
        <f t="array" ref="C25">IFERROR(INDEX(#REF!, MATCH(1, (#REF! = B25) * (#REF! &lt;&gt; "Rejected") * (#REF! &lt;&gt; "Offboarded"), 0)), "")</f>
        <v/>
      </c>
      <c r="D25" s="99" t="s">
        <v>1702</v>
      </c>
      <c r="E25" s="99" t="s">
        <v>1703</v>
      </c>
      <c r="F25" s="99" t="s">
        <v>1704</v>
      </c>
      <c r="G25" s="121" t="s">
        <v>1632</v>
      </c>
    </row>
    <row r="26" spans="1:7" x14ac:dyDescent="0.35">
      <c r="A26" s="99" t="s">
        <v>1216</v>
      </c>
      <c r="B26" s="99">
        <v>90719897</v>
      </c>
      <c r="C26" s="99" t="str" cm="1">
        <f t="array" ref="C26">IFERROR(INDEX(#REF!, MATCH(1, (#REF! = B26) * (#REF! &lt;&gt; "Rejected") * (#REF! &lt;&gt; "Offboarded"), 0)), "")</f>
        <v/>
      </c>
      <c r="D26" s="99" t="s">
        <v>1705</v>
      </c>
      <c r="E26" s="99" t="s">
        <v>1706</v>
      </c>
      <c r="F26" s="99" t="s">
        <v>1707</v>
      </c>
      <c r="G26" s="121" t="s">
        <v>1632</v>
      </c>
    </row>
    <row r="27" spans="1:7" x14ac:dyDescent="0.35">
      <c r="A27" s="99" t="s">
        <v>1217</v>
      </c>
      <c r="B27" s="99">
        <v>90720201</v>
      </c>
      <c r="C27" s="99" t="str" cm="1">
        <f t="array" ref="C27">IFERROR(INDEX(#REF!, MATCH(1, (#REF! = B27) * (#REF! &lt;&gt; "Rejected") * (#REF! &lt;&gt; "Offboarded"), 0)), "")</f>
        <v/>
      </c>
      <c r="D27" s="99" t="s">
        <v>1708</v>
      </c>
      <c r="E27" s="99" t="s">
        <v>1709</v>
      </c>
      <c r="F27" s="99" t="s">
        <v>1710</v>
      </c>
      <c r="G27" s="121" t="s">
        <v>1632</v>
      </c>
    </row>
    <row r="28" spans="1:7" x14ac:dyDescent="0.35">
      <c r="A28" s="99" t="s">
        <v>1220</v>
      </c>
      <c r="B28" s="99">
        <v>90725463</v>
      </c>
      <c r="C28" s="99" t="str" cm="1">
        <f t="array" ref="C28">IFERROR(INDEX(#REF!, MATCH(1, (#REF! = B28) * (#REF! &lt;&gt; "Rejected") * (#REF! &lt;&gt; "Offboarded"), 0)), "")</f>
        <v/>
      </c>
      <c r="D28" s="99" t="s">
        <v>1711</v>
      </c>
      <c r="E28" s="99" t="s">
        <v>1712</v>
      </c>
      <c r="F28" s="99" t="s">
        <v>1713</v>
      </c>
      <c r="G28" s="121" t="s">
        <v>1632</v>
      </c>
    </row>
    <row r="29" spans="1:7" x14ac:dyDescent="0.35">
      <c r="A29" s="99" t="s">
        <v>1221</v>
      </c>
      <c r="B29" s="99">
        <v>90725490</v>
      </c>
      <c r="C29" s="99" t="str" cm="1">
        <f t="array" ref="C29">IFERROR(INDEX(#REF!, MATCH(1, (#REF! = B29) * (#REF! &lt;&gt; "Rejected") * (#REF! &lt;&gt; "Offboarded"), 0)), "")</f>
        <v/>
      </c>
      <c r="D29" s="99" t="s">
        <v>1714</v>
      </c>
      <c r="E29" s="99" t="s">
        <v>1715</v>
      </c>
      <c r="F29" s="99" t="s">
        <v>1716</v>
      </c>
      <c r="G29" s="121" t="s">
        <v>1632</v>
      </c>
    </row>
    <row r="30" spans="1:7" x14ac:dyDescent="0.35">
      <c r="A30" s="99" t="s">
        <v>1223</v>
      </c>
      <c r="B30" s="99">
        <v>90719617</v>
      </c>
      <c r="C30" s="99" t="str" cm="1">
        <f t="array" ref="C30">IFERROR(INDEX(#REF!, MATCH(1, (#REF! = B30) * (#REF! &lt;&gt; "Rejected") * (#REF! &lt;&gt; "Offboarded"), 0)), "")</f>
        <v/>
      </c>
      <c r="D30" s="99" t="s">
        <v>1717</v>
      </c>
      <c r="E30" s="99" t="s">
        <v>1718</v>
      </c>
      <c r="F30" s="99" t="s">
        <v>1719</v>
      </c>
      <c r="G30" s="121" t="s">
        <v>1632</v>
      </c>
    </row>
    <row r="31" spans="1:7" x14ac:dyDescent="0.35">
      <c r="A31" s="99" t="s">
        <v>1228</v>
      </c>
      <c r="B31" s="99">
        <v>90719922</v>
      </c>
      <c r="C31" s="99" t="str" cm="1">
        <f t="array" ref="C31">IFERROR(INDEX(#REF!, MATCH(1, (#REF! = B31) * (#REF! &lt;&gt; "Rejected") * (#REF! &lt;&gt; "Offboarded"), 0)), "")</f>
        <v/>
      </c>
      <c r="D31" s="99" t="s">
        <v>1720</v>
      </c>
      <c r="E31" s="99" t="s">
        <v>1721</v>
      </c>
      <c r="F31" s="99" t="s">
        <v>1722</v>
      </c>
      <c r="G31" s="121" t="s">
        <v>1632</v>
      </c>
    </row>
    <row r="32" spans="1:7" x14ac:dyDescent="0.35">
      <c r="A32" s="99" t="s">
        <v>1229</v>
      </c>
      <c r="B32" s="99">
        <v>90719887</v>
      </c>
      <c r="C32" s="99" t="str" cm="1">
        <f t="array" ref="C32">IFERROR(INDEX(#REF!, MATCH(1, (#REF! = B32) * (#REF! &lt;&gt; "Rejected") * (#REF! &lt;&gt; "Offboarded"), 0)), "")</f>
        <v/>
      </c>
      <c r="D32" s="99" t="s">
        <v>1723</v>
      </c>
      <c r="E32" s="99" t="s">
        <v>1724</v>
      </c>
      <c r="F32" s="99" t="s">
        <v>1639</v>
      </c>
      <c r="G32" s="121" t="s">
        <v>1632</v>
      </c>
    </row>
    <row r="33" spans="1:7" x14ac:dyDescent="0.35">
      <c r="A33" s="99" t="s">
        <v>1231</v>
      </c>
      <c r="B33" s="99">
        <v>90719906</v>
      </c>
      <c r="C33" s="99" t="str" cm="1">
        <f t="array" ref="C33">IFERROR(INDEX(#REF!, MATCH(1, (#REF! = B33) * (#REF! &lt;&gt; "Rejected") * (#REF! &lt;&gt; "Offboarded"), 0)), "")</f>
        <v/>
      </c>
      <c r="D33" s="99" t="s">
        <v>1725</v>
      </c>
      <c r="E33" s="99" t="s">
        <v>1726</v>
      </c>
      <c r="F33" s="99" t="s">
        <v>1727</v>
      </c>
      <c r="G33" s="121" t="s">
        <v>1632</v>
      </c>
    </row>
    <row r="34" spans="1:7" x14ac:dyDescent="0.35">
      <c r="A34" s="99" t="s">
        <v>1233</v>
      </c>
      <c r="B34" s="99">
        <v>90719835</v>
      </c>
      <c r="C34" s="99" t="str" cm="1">
        <f t="array" ref="C34">IFERROR(INDEX(#REF!, MATCH(1, (#REF! = B34) * (#REF! &lt;&gt; "Rejected") * (#REF! &lt;&gt; "Offboarded"), 0)), "")</f>
        <v/>
      </c>
      <c r="D34" s="99" t="s">
        <v>1728</v>
      </c>
      <c r="E34" s="99" t="s">
        <v>1729</v>
      </c>
      <c r="F34" s="99" t="s">
        <v>1730</v>
      </c>
      <c r="G34" s="121" t="s">
        <v>1632</v>
      </c>
    </row>
    <row r="35" spans="1:7" x14ac:dyDescent="0.35">
      <c r="A35" s="99" t="s">
        <v>1236</v>
      </c>
      <c r="B35" s="99">
        <v>90719614</v>
      </c>
      <c r="C35" s="99" t="str" cm="1">
        <f t="array" ref="C35">IFERROR(INDEX(#REF!, MATCH(1, (#REF! = B35) * (#REF! &lt;&gt; "Rejected") * (#REF! &lt;&gt; "Offboarded"), 0)), "")</f>
        <v/>
      </c>
      <c r="D35" s="99" t="s">
        <v>1731</v>
      </c>
      <c r="E35" s="99" t="s">
        <v>1732</v>
      </c>
      <c r="F35" s="99" t="s">
        <v>1733</v>
      </c>
      <c r="G35" s="121" t="s">
        <v>1632</v>
      </c>
    </row>
    <row r="36" spans="1:7" x14ac:dyDescent="0.35">
      <c r="A36" s="99" t="s">
        <v>1239</v>
      </c>
      <c r="B36" s="99">
        <v>90727330</v>
      </c>
      <c r="C36" s="99" t="str" cm="1">
        <f t="array" ref="C36">IFERROR(INDEX(#REF!, MATCH(1, (#REF! = B36) * (#REF! &lt;&gt; "Rejected") * (#REF! &lt;&gt; "Offboarded"), 0)), "")</f>
        <v/>
      </c>
      <c r="D36" s="99" t="s">
        <v>1734</v>
      </c>
      <c r="E36" s="99" t="s">
        <v>1735</v>
      </c>
      <c r="F36" s="99" t="s">
        <v>1736</v>
      </c>
      <c r="G36" s="121" t="s">
        <v>1632</v>
      </c>
    </row>
    <row r="37" spans="1:7" x14ac:dyDescent="0.35">
      <c r="A37" s="99" t="s">
        <v>1240</v>
      </c>
      <c r="B37" s="99">
        <v>90719933</v>
      </c>
      <c r="C37" s="99" t="str" cm="1">
        <f t="array" ref="C37">IFERROR(INDEX(#REF!, MATCH(1, (#REF! = B37) * (#REF! &lt;&gt; "Rejected") * (#REF! &lt;&gt; "Offboarded"), 0)), "")</f>
        <v/>
      </c>
      <c r="D37" s="99" t="s">
        <v>1737</v>
      </c>
      <c r="E37" s="99" t="s">
        <v>1738</v>
      </c>
      <c r="F37" s="99" t="s">
        <v>1739</v>
      </c>
      <c r="G37" s="121" t="s">
        <v>1632</v>
      </c>
    </row>
    <row r="38" spans="1:7" x14ac:dyDescent="0.35">
      <c r="A38" s="99" t="s">
        <v>1241</v>
      </c>
      <c r="B38" s="99">
        <v>90719715</v>
      </c>
      <c r="C38" s="99" t="str" cm="1">
        <f t="array" ref="C38">IFERROR(INDEX(#REF!, MATCH(1, (#REF! = B38) * (#REF! &lt;&gt; "Rejected") * (#REF! &lt;&gt; "Offboarded"), 0)), "")</f>
        <v/>
      </c>
      <c r="D38" s="99" t="s">
        <v>1740</v>
      </c>
      <c r="E38" s="99" t="s">
        <v>1741</v>
      </c>
      <c r="F38" s="99" t="s">
        <v>1742</v>
      </c>
      <c r="G38" s="121" t="s">
        <v>1632</v>
      </c>
    </row>
    <row r="39" spans="1:7" x14ac:dyDescent="0.35">
      <c r="A39" s="99" t="s">
        <v>1242</v>
      </c>
      <c r="B39" s="99">
        <v>90719674</v>
      </c>
      <c r="C39" s="99" t="str" cm="1">
        <f t="array" ref="C39">IFERROR(INDEX(#REF!, MATCH(1, (#REF! = B39) * (#REF! &lt;&gt; "Rejected") * (#REF! &lt;&gt; "Offboarded"), 0)), "")</f>
        <v/>
      </c>
      <c r="D39" s="99" t="s">
        <v>1743</v>
      </c>
      <c r="E39" s="99" t="s">
        <v>1744</v>
      </c>
      <c r="F39" s="99" t="s">
        <v>1745</v>
      </c>
      <c r="G39" s="121" t="s">
        <v>1632</v>
      </c>
    </row>
    <row r="40" spans="1:7" x14ac:dyDescent="0.35">
      <c r="A40" s="99" t="s">
        <v>1243</v>
      </c>
      <c r="B40" s="99">
        <v>90724603</v>
      </c>
      <c r="C40" s="99" t="str" cm="1">
        <f t="array" ref="C40">IFERROR(INDEX(#REF!, MATCH(1, (#REF! = B40) * (#REF! &lt;&gt; "Rejected") * (#REF! &lt;&gt; "Offboarded"), 0)), "")</f>
        <v/>
      </c>
      <c r="D40" s="99" t="s">
        <v>1746</v>
      </c>
      <c r="E40" s="99" t="s">
        <v>1747</v>
      </c>
      <c r="F40" s="99" t="s">
        <v>1748</v>
      </c>
      <c r="G40" s="121" t="s">
        <v>1632</v>
      </c>
    </row>
    <row r="41" spans="1:7" x14ac:dyDescent="0.35">
      <c r="A41" s="99" t="s">
        <v>1244</v>
      </c>
      <c r="B41" s="99">
        <v>90719882</v>
      </c>
      <c r="C41" s="99" t="str" cm="1">
        <f t="array" ref="C41">IFERROR(INDEX(#REF!, MATCH(1, (#REF! = B41) * (#REF! &lt;&gt; "Rejected") * (#REF! &lt;&gt; "Offboarded"), 0)), "")</f>
        <v/>
      </c>
      <c r="D41" s="99" t="s">
        <v>1749</v>
      </c>
      <c r="E41" s="99" t="s">
        <v>1750</v>
      </c>
      <c r="F41" s="99" t="s">
        <v>1751</v>
      </c>
      <c r="G41" s="121" t="s">
        <v>1632</v>
      </c>
    </row>
    <row r="42" spans="1:7" x14ac:dyDescent="0.35">
      <c r="A42" s="99" t="s">
        <v>1248</v>
      </c>
      <c r="B42" s="99">
        <v>90719787</v>
      </c>
      <c r="C42" s="99" t="str" cm="1">
        <f t="array" ref="C42">IFERROR(INDEX(#REF!, MATCH(1, (#REF! = B42) * (#REF! &lt;&gt; "Rejected") * (#REF! &lt;&gt; "Offboarded"), 0)), "")</f>
        <v/>
      </c>
      <c r="D42" s="99" t="s">
        <v>1752</v>
      </c>
      <c r="E42" s="99" t="s">
        <v>1753</v>
      </c>
      <c r="F42" s="99" t="s">
        <v>1754</v>
      </c>
      <c r="G42" s="121" t="s">
        <v>1632</v>
      </c>
    </row>
    <row r="43" spans="1:7" x14ac:dyDescent="0.35">
      <c r="A43" s="99" t="s">
        <v>1755</v>
      </c>
      <c r="B43" s="99">
        <v>90719736</v>
      </c>
      <c r="C43" s="99" t="str" cm="1">
        <f t="array" ref="C43">IFERROR(INDEX(#REF!, MATCH(1, (#REF! = B43) * (#REF! &lt;&gt; "Rejected") * (#REF! &lt;&gt; "Offboarded"), 0)), "")</f>
        <v/>
      </c>
      <c r="D43" s="99" t="s">
        <v>1756</v>
      </c>
      <c r="E43" s="99" t="s">
        <v>1757</v>
      </c>
      <c r="F43" s="99" t="s">
        <v>1758</v>
      </c>
      <c r="G43" s="121" t="s">
        <v>1632</v>
      </c>
    </row>
    <row r="44" spans="1:7" x14ac:dyDescent="0.35">
      <c r="A44" s="99" t="s">
        <v>1253</v>
      </c>
      <c r="B44" s="99">
        <v>90719559</v>
      </c>
      <c r="C44" s="99" t="str" cm="1">
        <f t="array" ref="C44">IFERROR(INDEX(#REF!, MATCH(1, (#REF! = B44) * (#REF! &lt;&gt; "Rejected") * (#REF! &lt;&gt; "Offboarded"), 0)), "")</f>
        <v/>
      </c>
      <c r="D44" s="99" t="s">
        <v>1759</v>
      </c>
      <c r="E44" s="99" t="s">
        <v>1760</v>
      </c>
      <c r="F44" s="99" t="s">
        <v>1761</v>
      </c>
      <c r="G44" s="121" t="s">
        <v>1632</v>
      </c>
    </row>
    <row r="45" spans="1:7" x14ac:dyDescent="0.35">
      <c r="A45" s="99" t="s">
        <v>1254</v>
      </c>
      <c r="B45" s="99">
        <v>90719961</v>
      </c>
      <c r="C45" s="99" t="str" cm="1">
        <f t="array" ref="C45">IFERROR(INDEX(#REF!, MATCH(1, (#REF! = B45) * (#REF! &lt;&gt; "Rejected") * (#REF! &lt;&gt; "Offboarded"), 0)), "")</f>
        <v/>
      </c>
      <c r="D45" s="99" t="s">
        <v>1762</v>
      </c>
      <c r="E45" s="99" t="s">
        <v>1763</v>
      </c>
      <c r="F45" s="99" t="s">
        <v>1652</v>
      </c>
      <c r="G45" s="121" t="s">
        <v>1632</v>
      </c>
    </row>
    <row r="46" spans="1:7" x14ac:dyDescent="0.35">
      <c r="A46" s="99" t="s">
        <v>1764</v>
      </c>
      <c r="B46" s="99">
        <v>90719566</v>
      </c>
      <c r="C46" s="99" t="str" cm="1">
        <f t="array" ref="C46">IFERROR(INDEX(#REF!, MATCH(1, (#REF! = B46) * (#REF! &lt;&gt; "Rejected") * (#REF! &lt;&gt; "Offboarded"), 0)), "")</f>
        <v/>
      </c>
      <c r="D46" s="99" t="s">
        <v>1765</v>
      </c>
      <c r="E46" s="99" t="s">
        <v>1766</v>
      </c>
      <c r="F46" s="99" t="s">
        <v>1767</v>
      </c>
      <c r="G46" s="121" t="s">
        <v>1632</v>
      </c>
    </row>
    <row r="47" spans="1:7" x14ac:dyDescent="0.35">
      <c r="A47" s="99" t="s">
        <v>1255</v>
      </c>
      <c r="B47" s="99">
        <v>90727232</v>
      </c>
      <c r="C47" s="99" t="str" cm="1">
        <f t="array" ref="C47">IFERROR(INDEX(#REF!, MATCH(1, (#REF! = B47) * (#REF! &lt;&gt; "Rejected") * (#REF! &lt;&gt; "Offboarded"), 0)), "")</f>
        <v/>
      </c>
      <c r="D47" s="99" t="s">
        <v>1768</v>
      </c>
      <c r="E47" s="99" t="s">
        <v>1769</v>
      </c>
      <c r="F47" s="99" t="s">
        <v>1770</v>
      </c>
      <c r="G47" s="121" t="s">
        <v>1632</v>
      </c>
    </row>
    <row r="48" spans="1:7" x14ac:dyDescent="0.35">
      <c r="A48" s="99" t="s">
        <v>1771</v>
      </c>
      <c r="B48" s="99">
        <v>90719662</v>
      </c>
      <c r="C48" s="99" t="str" cm="1">
        <f t="array" ref="C48">IFERROR(INDEX(#REF!, MATCH(1, (#REF! = B48) * (#REF! &lt;&gt; "Rejected") * (#REF! &lt;&gt; "Offboarded"), 0)), "")</f>
        <v/>
      </c>
      <c r="D48" s="99" t="s">
        <v>1772</v>
      </c>
      <c r="E48" s="99" t="s">
        <v>1773</v>
      </c>
      <c r="F48" s="99" t="s">
        <v>1774</v>
      </c>
      <c r="G48" s="121" t="s">
        <v>1632</v>
      </c>
    </row>
    <row r="49" spans="1:7" x14ac:dyDescent="0.35">
      <c r="A49" s="99" t="s">
        <v>1257</v>
      </c>
      <c r="B49" s="99">
        <v>90730198</v>
      </c>
      <c r="C49" s="99" t="str" cm="1">
        <f t="array" ref="C49">IFERROR(INDEX(#REF!, MATCH(1, (#REF! = B49) * (#REF! &lt;&gt; "Rejected") * (#REF! &lt;&gt; "Offboarded"), 0)), "")</f>
        <v/>
      </c>
      <c r="D49" s="99" t="s">
        <v>1775</v>
      </c>
      <c r="E49" s="99" t="s">
        <v>1776</v>
      </c>
      <c r="F49" s="99" t="s">
        <v>1777</v>
      </c>
      <c r="G49" s="121" t="s">
        <v>1632</v>
      </c>
    </row>
    <row r="50" spans="1:7" x14ac:dyDescent="0.35">
      <c r="A50" s="99" t="s">
        <v>1258</v>
      </c>
      <c r="B50" s="99">
        <v>90719826</v>
      </c>
      <c r="C50" s="99" t="str" cm="1">
        <f t="array" ref="C50">IFERROR(INDEX(#REF!, MATCH(1, (#REF! = B50) * (#REF! &lt;&gt; "Rejected") * (#REF! &lt;&gt; "Offboarded"), 0)), "")</f>
        <v/>
      </c>
      <c r="D50" s="99" t="s">
        <v>1778</v>
      </c>
      <c r="E50" s="99" t="s">
        <v>1779</v>
      </c>
      <c r="F50" s="99" t="s">
        <v>1780</v>
      </c>
      <c r="G50" s="121" t="s">
        <v>1632</v>
      </c>
    </row>
    <row r="51" spans="1:7" x14ac:dyDescent="0.35">
      <c r="A51" s="99" t="s">
        <v>1259</v>
      </c>
      <c r="B51" s="99">
        <v>90719868</v>
      </c>
      <c r="C51" s="99" t="str" cm="1">
        <f t="array" ref="C51">IFERROR(INDEX(#REF!, MATCH(1, (#REF! = B51) * (#REF! &lt;&gt; "Rejected") * (#REF! &lt;&gt; "Offboarded"), 0)), "")</f>
        <v/>
      </c>
      <c r="D51" s="99" t="s">
        <v>1781</v>
      </c>
      <c r="E51" s="99" t="s">
        <v>1782</v>
      </c>
      <c r="F51" s="99" t="s">
        <v>1783</v>
      </c>
      <c r="G51" s="121" t="s">
        <v>1632</v>
      </c>
    </row>
    <row r="52" spans="1:7" x14ac:dyDescent="0.35">
      <c r="A52" s="99" t="s">
        <v>1784</v>
      </c>
      <c r="B52" s="99">
        <v>90719686</v>
      </c>
      <c r="C52" s="99" t="str" cm="1">
        <f t="array" ref="C52">IFERROR(INDEX(#REF!, MATCH(1, (#REF! = B52) * (#REF! &lt;&gt; "Rejected") * (#REF! &lt;&gt; "Offboarded"), 0)), "")</f>
        <v/>
      </c>
      <c r="D52" s="99" t="s">
        <v>1785</v>
      </c>
      <c r="E52" s="99" t="s">
        <v>1786</v>
      </c>
      <c r="F52" s="99" t="s">
        <v>1787</v>
      </c>
      <c r="G52" s="121" t="s">
        <v>1632</v>
      </c>
    </row>
    <row r="53" spans="1:7" x14ac:dyDescent="0.35">
      <c r="A53" s="99" t="s">
        <v>1261</v>
      </c>
      <c r="B53" s="99">
        <v>90727397</v>
      </c>
      <c r="C53" s="99" t="str" cm="1">
        <f t="array" ref="C53">IFERROR(INDEX(#REF!, MATCH(1, (#REF! = B53) * (#REF! &lt;&gt; "Rejected") * (#REF! &lt;&gt; "Offboarded"), 0)), "")</f>
        <v/>
      </c>
      <c r="D53" s="99" t="s">
        <v>1788</v>
      </c>
      <c r="E53" s="99" t="s">
        <v>1789</v>
      </c>
      <c r="F53" s="99" t="s">
        <v>1790</v>
      </c>
      <c r="G53" s="121" t="s">
        <v>1632</v>
      </c>
    </row>
    <row r="54" spans="1:7" x14ac:dyDescent="0.35">
      <c r="A54" s="99" t="s">
        <v>1263</v>
      </c>
      <c r="B54" s="99">
        <v>90729513</v>
      </c>
      <c r="C54" s="99" t="str" cm="1">
        <f t="array" ref="C54">IFERROR(INDEX(#REF!, MATCH(1, (#REF! = B54) * (#REF! &lt;&gt; "Rejected") * (#REF! &lt;&gt; "Offboarded"), 0)), "")</f>
        <v/>
      </c>
      <c r="D54" s="99" t="s">
        <v>1791</v>
      </c>
      <c r="E54" s="99" t="s">
        <v>1792</v>
      </c>
      <c r="F54" s="99" t="s">
        <v>1793</v>
      </c>
      <c r="G54" s="121" t="s">
        <v>1632</v>
      </c>
    </row>
    <row r="55" spans="1:7" x14ac:dyDescent="0.35">
      <c r="A55" s="99" t="s">
        <v>1264</v>
      </c>
      <c r="B55" s="99">
        <v>90719932</v>
      </c>
      <c r="C55" s="99" t="str" cm="1">
        <f t="array" ref="C55">IFERROR(INDEX(#REF!, MATCH(1, (#REF! = B55) * (#REF! &lt;&gt; "Rejected") * (#REF! &lt;&gt; "Offboarded"), 0)), "")</f>
        <v/>
      </c>
      <c r="D55" s="99" t="s">
        <v>1794</v>
      </c>
      <c r="E55" s="99" t="s">
        <v>1795</v>
      </c>
      <c r="F55" s="99" t="s">
        <v>1796</v>
      </c>
      <c r="G55" s="121" t="s">
        <v>1632</v>
      </c>
    </row>
    <row r="56" spans="1:7" x14ac:dyDescent="0.35">
      <c r="A56" s="99" t="s">
        <v>1268</v>
      </c>
      <c r="B56" s="99">
        <v>90719557</v>
      </c>
      <c r="C56" s="99" t="str" cm="1">
        <f t="array" ref="C56">IFERROR(INDEX(#REF!, MATCH(1, (#REF! = B56) * (#REF! &lt;&gt; "Rejected") * (#REF! &lt;&gt; "Offboarded"), 0)), "")</f>
        <v/>
      </c>
      <c r="D56" s="99" t="s">
        <v>1797</v>
      </c>
      <c r="E56" s="99" t="s">
        <v>1798</v>
      </c>
      <c r="F56" s="99" t="s">
        <v>1799</v>
      </c>
      <c r="G56" s="121" t="s">
        <v>1632</v>
      </c>
    </row>
    <row r="57" spans="1:7" x14ac:dyDescent="0.35">
      <c r="A57" s="99" t="s">
        <v>1272</v>
      </c>
      <c r="B57" s="99">
        <v>90719950</v>
      </c>
      <c r="C57" s="99" t="str" cm="1">
        <f t="array" ref="C57">IFERROR(INDEX(#REF!, MATCH(1, (#REF! = B57) * (#REF! &lt;&gt; "Rejected") * (#REF! &lt;&gt; "Offboarded"), 0)), "")</f>
        <v/>
      </c>
      <c r="D57" s="99" t="s">
        <v>1800</v>
      </c>
      <c r="E57" s="99" t="s">
        <v>1801</v>
      </c>
      <c r="F57" s="99" t="s">
        <v>1802</v>
      </c>
      <c r="G57" s="121" t="s">
        <v>1632</v>
      </c>
    </row>
    <row r="58" spans="1:7" x14ac:dyDescent="0.35">
      <c r="A58" s="99" t="s">
        <v>1277</v>
      </c>
      <c r="B58" s="99">
        <v>90719744</v>
      </c>
      <c r="C58" s="99" t="str" cm="1">
        <f t="array" ref="C58">IFERROR(INDEX(#REF!, MATCH(1, (#REF! = B58) * (#REF! &lt;&gt; "Rejected") * (#REF! &lt;&gt; "Offboarded"), 0)), "")</f>
        <v/>
      </c>
      <c r="D58" s="99" t="s">
        <v>1803</v>
      </c>
      <c r="E58" s="99" t="s">
        <v>1804</v>
      </c>
      <c r="F58" s="99" t="s">
        <v>1805</v>
      </c>
      <c r="G58" s="121" t="s">
        <v>1632</v>
      </c>
    </row>
    <row r="59" spans="1:7" x14ac:dyDescent="0.35">
      <c r="A59" s="99" t="s">
        <v>1279</v>
      </c>
      <c r="B59" s="99">
        <v>90719594</v>
      </c>
      <c r="C59" s="99" t="str" cm="1">
        <f t="array" ref="C59">IFERROR(INDEX(#REF!, MATCH(1, (#REF! = B59) * (#REF! &lt;&gt; "Rejected") * (#REF! &lt;&gt; "Offboarded"), 0)), "")</f>
        <v/>
      </c>
      <c r="D59" s="99" t="s">
        <v>1806</v>
      </c>
      <c r="E59" s="99" t="s">
        <v>1807</v>
      </c>
      <c r="F59" s="99" t="s">
        <v>1808</v>
      </c>
      <c r="G59" s="121" t="s">
        <v>1632</v>
      </c>
    </row>
    <row r="60" spans="1:7" x14ac:dyDescent="0.35">
      <c r="A60" s="99" t="s">
        <v>1280</v>
      </c>
      <c r="B60" s="99">
        <v>90719892</v>
      </c>
      <c r="C60" s="99" t="str" cm="1">
        <f t="array" ref="C60">IFERROR(INDEX(#REF!, MATCH(1, (#REF! = B60) * (#REF! &lt;&gt; "Rejected") * (#REF! &lt;&gt; "Offboarded"), 0)), "")</f>
        <v/>
      </c>
      <c r="D60" s="99" t="s">
        <v>1809</v>
      </c>
      <c r="E60" s="99" t="s">
        <v>1810</v>
      </c>
      <c r="F60" s="99" t="s">
        <v>1811</v>
      </c>
      <c r="G60" s="121" t="s">
        <v>1632</v>
      </c>
    </row>
    <row r="61" spans="1:7" x14ac:dyDescent="0.35">
      <c r="A61" s="99" t="s">
        <v>1283</v>
      </c>
      <c r="B61" s="99">
        <v>90719905</v>
      </c>
      <c r="C61" s="99" t="str" cm="1">
        <f t="array" ref="C61">IFERROR(INDEX(#REF!, MATCH(1, (#REF! = B61) * (#REF! &lt;&gt; "Rejected") * (#REF! &lt;&gt; "Offboarded"), 0)), "")</f>
        <v/>
      </c>
      <c r="D61" s="99" t="s">
        <v>1812</v>
      </c>
      <c r="E61" s="99" t="s">
        <v>1813</v>
      </c>
      <c r="F61" s="99" t="s">
        <v>1814</v>
      </c>
      <c r="G61" s="121" t="s">
        <v>1632</v>
      </c>
    </row>
    <row r="62" spans="1:7" x14ac:dyDescent="0.35">
      <c r="A62" s="99" t="s">
        <v>1815</v>
      </c>
      <c r="B62" s="99">
        <v>90719942</v>
      </c>
      <c r="C62" s="99" t="str" cm="1">
        <f t="array" ref="C62">IFERROR(INDEX(#REF!, MATCH(1, (#REF! = B62) * (#REF! &lt;&gt; "Rejected") * (#REF! &lt;&gt; "Offboarded"), 0)), "")</f>
        <v/>
      </c>
      <c r="D62" s="99" t="s">
        <v>1816</v>
      </c>
      <c r="E62" s="99" t="s">
        <v>1817</v>
      </c>
      <c r="F62" s="99" t="s">
        <v>1817</v>
      </c>
      <c r="G62" s="121" t="s">
        <v>1632</v>
      </c>
    </row>
    <row r="63" spans="1:7" x14ac:dyDescent="0.35">
      <c r="A63" s="99" t="s">
        <v>1289</v>
      </c>
      <c r="B63" s="99">
        <v>90725496</v>
      </c>
      <c r="C63" s="99" t="str" cm="1">
        <f t="array" ref="C63">IFERROR(INDEX(#REF!, MATCH(1, (#REF! = B63) * (#REF! &lt;&gt; "Rejected") * (#REF! &lt;&gt; "Offboarded"), 0)), "")</f>
        <v/>
      </c>
      <c r="D63" s="99" t="s">
        <v>1818</v>
      </c>
      <c r="E63" s="99" t="s">
        <v>1819</v>
      </c>
      <c r="F63" s="99" t="s">
        <v>1820</v>
      </c>
      <c r="G63" s="121" t="s">
        <v>1632</v>
      </c>
    </row>
    <row r="64" spans="1:7" x14ac:dyDescent="0.35">
      <c r="A64" s="99" t="s">
        <v>1290</v>
      </c>
      <c r="B64" s="99">
        <v>90719953</v>
      </c>
      <c r="C64" s="99" t="str" cm="1">
        <f t="array" ref="C64">IFERROR(INDEX(#REF!, MATCH(1, (#REF! = B64) * (#REF! &lt;&gt; "Rejected") * (#REF! &lt;&gt; "Offboarded"), 0)), "")</f>
        <v/>
      </c>
      <c r="D64" s="99" t="s">
        <v>1821</v>
      </c>
      <c r="E64" s="99" t="s">
        <v>1822</v>
      </c>
      <c r="F64" s="99" t="s">
        <v>1823</v>
      </c>
      <c r="G64" s="121" t="s">
        <v>1632</v>
      </c>
    </row>
    <row r="65" spans="1:7" x14ac:dyDescent="0.35">
      <c r="A65" s="99" t="s">
        <v>1292</v>
      </c>
      <c r="B65" s="99">
        <v>90719777</v>
      </c>
      <c r="C65" s="99" t="str" cm="1">
        <f t="array" ref="C65">IFERROR(INDEX(#REF!, MATCH(1, (#REF! = B65) * (#REF! &lt;&gt; "Rejected") * (#REF! &lt;&gt; "Offboarded"), 0)), "")</f>
        <v/>
      </c>
      <c r="D65" s="99" t="s">
        <v>1824</v>
      </c>
      <c r="E65" s="99" t="s">
        <v>1825</v>
      </c>
      <c r="F65" s="99" t="s">
        <v>1652</v>
      </c>
      <c r="G65" s="121" t="s">
        <v>1632</v>
      </c>
    </row>
    <row r="66" spans="1:7" x14ac:dyDescent="0.35">
      <c r="A66" s="99" t="s">
        <v>1301</v>
      </c>
      <c r="B66" s="99">
        <v>90719940</v>
      </c>
      <c r="C66" s="99" t="str" cm="1">
        <f t="array" ref="C66">IFERROR(INDEX(#REF!, MATCH(1, (#REF! = B66) * (#REF! &lt;&gt; "Rejected") * (#REF! &lt;&gt; "Offboarded"), 0)), "")</f>
        <v/>
      </c>
      <c r="D66" s="99" t="s">
        <v>1826</v>
      </c>
      <c r="E66" s="99" t="s">
        <v>1827</v>
      </c>
      <c r="F66" s="99" t="s">
        <v>1805</v>
      </c>
      <c r="G66" s="121" t="s">
        <v>1632</v>
      </c>
    </row>
    <row r="67" spans="1:7" x14ac:dyDescent="0.35">
      <c r="A67" s="99" t="s">
        <v>1303</v>
      </c>
      <c r="B67" s="99">
        <v>90719937</v>
      </c>
      <c r="C67" s="99" t="str" cm="1">
        <f t="array" ref="C67">IFERROR(INDEX(#REF!, MATCH(1, (#REF! = B67) * (#REF! &lt;&gt; "Rejected") * (#REF! &lt;&gt; "Offboarded"), 0)), "")</f>
        <v/>
      </c>
      <c r="D67" s="99" t="s">
        <v>1828</v>
      </c>
      <c r="E67" s="99" t="s">
        <v>1829</v>
      </c>
      <c r="F67" s="99" t="s">
        <v>1727</v>
      </c>
      <c r="G67" s="121" t="s">
        <v>1632</v>
      </c>
    </row>
    <row r="68" spans="1:7" x14ac:dyDescent="0.35">
      <c r="A68" s="99" t="s">
        <v>1304</v>
      </c>
      <c r="B68" s="99">
        <v>90719885</v>
      </c>
      <c r="C68" s="99" t="str" cm="1">
        <f t="array" ref="C68">IFERROR(INDEX(#REF!, MATCH(1, (#REF! = B68) * (#REF! &lt;&gt; "Rejected") * (#REF! &lt;&gt; "Offboarded"), 0)), "")</f>
        <v/>
      </c>
      <c r="D68" s="99" t="s">
        <v>1830</v>
      </c>
      <c r="E68" s="99" t="s">
        <v>1831</v>
      </c>
      <c r="F68" s="99" t="s">
        <v>1832</v>
      </c>
      <c r="G68" s="121" t="s">
        <v>1632</v>
      </c>
    </row>
    <row r="69" spans="1:7" x14ac:dyDescent="0.35">
      <c r="A69" s="99" t="s">
        <v>1306</v>
      </c>
      <c r="B69" s="99">
        <v>90719853</v>
      </c>
      <c r="C69" s="99" t="str" cm="1">
        <f t="array" ref="C69">IFERROR(INDEX(#REF!, MATCH(1, (#REF! = B69) * (#REF! &lt;&gt; "Rejected") * (#REF! &lt;&gt; "Offboarded"), 0)), "")</f>
        <v/>
      </c>
      <c r="D69" s="99" t="s">
        <v>1833</v>
      </c>
      <c r="E69" s="99" t="s">
        <v>1834</v>
      </c>
      <c r="F69" s="99" t="s">
        <v>1835</v>
      </c>
      <c r="G69" s="121" t="s">
        <v>1632</v>
      </c>
    </row>
    <row r="70" spans="1:7" x14ac:dyDescent="0.35">
      <c r="A70" s="99" t="s">
        <v>1310</v>
      </c>
      <c r="B70" s="99">
        <v>90725493</v>
      </c>
      <c r="C70" s="99" t="str" cm="1">
        <f t="array" ref="C70">IFERROR(INDEX(#REF!, MATCH(1, (#REF! = B70) * (#REF! &lt;&gt; "Rejected") * (#REF! &lt;&gt; "Offboarded"), 0)), "")</f>
        <v/>
      </c>
      <c r="D70" s="99" t="s">
        <v>1836</v>
      </c>
      <c r="E70" s="99" t="s">
        <v>1837</v>
      </c>
      <c r="F70" s="99" t="s">
        <v>1697</v>
      </c>
      <c r="G70" s="121" t="s">
        <v>1632</v>
      </c>
    </row>
    <row r="71" spans="1:7" x14ac:dyDescent="0.35">
      <c r="A71" s="99" t="s">
        <v>1311</v>
      </c>
      <c r="B71" s="99">
        <v>90719833</v>
      </c>
      <c r="C71" s="99" t="str" cm="1">
        <f t="array" ref="C71">IFERROR(INDEX(#REF!, MATCH(1, (#REF! = B71) * (#REF! &lt;&gt; "Rejected") * (#REF! &lt;&gt; "Offboarded"), 0)), "")</f>
        <v/>
      </c>
      <c r="D71" s="99" t="s">
        <v>1838</v>
      </c>
      <c r="E71" s="99" t="s">
        <v>1839</v>
      </c>
      <c r="F71" s="99" t="s">
        <v>1840</v>
      </c>
      <c r="G71" s="121" t="s">
        <v>1632</v>
      </c>
    </row>
    <row r="72" spans="1:7" x14ac:dyDescent="0.35">
      <c r="A72" s="99" t="s">
        <v>1312</v>
      </c>
      <c r="B72" s="99">
        <v>90719782</v>
      </c>
      <c r="C72" s="99" t="str" cm="1">
        <f t="array" ref="C72">IFERROR(INDEX(#REF!, MATCH(1, (#REF! = B72) * (#REF! &lt;&gt; "Rejected") * (#REF! &lt;&gt; "Offboarded"), 0)), "")</f>
        <v/>
      </c>
      <c r="D72" s="99" t="s">
        <v>1841</v>
      </c>
      <c r="E72" s="99" t="s">
        <v>1842</v>
      </c>
      <c r="F72" s="99" t="s">
        <v>1672</v>
      </c>
      <c r="G72" s="121" t="s">
        <v>1632</v>
      </c>
    </row>
    <row r="73" spans="1:7" x14ac:dyDescent="0.35">
      <c r="A73" s="99" t="s">
        <v>1315</v>
      </c>
      <c r="B73" s="99">
        <v>90719798</v>
      </c>
      <c r="C73" s="99" t="str" cm="1">
        <f t="array" ref="C73">IFERROR(INDEX(#REF!, MATCH(1, (#REF! = B73) * (#REF! &lt;&gt; "Rejected") * (#REF! &lt;&gt; "Offboarded"), 0)), "")</f>
        <v/>
      </c>
      <c r="D73" s="99" t="s">
        <v>1843</v>
      </c>
      <c r="E73" s="99" t="s">
        <v>1844</v>
      </c>
      <c r="F73" s="99" t="s">
        <v>1845</v>
      </c>
      <c r="G73" s="121" t="s">
        <v>1632</v>
      </c>
    </row>
    <row r="74" spans="1:7" x14ac:dyDescent="0.35">
      <c r="A74" s="99" t="s">
        <v>1846</v>
      </c>
      <c r="B74" s="99">
        <v>90719818</v>
      </c>
      <c r="C74" s="99" t="str" cm="1">
        <f t="array" ref="C74">IFERROR(INDEX(#REF!, MATCH(1, (#REF! = B74) * (#REF! &lt;&gt; "Rejected") * (#REF! &lt;&gt; "Offboarded"), 0)), "")</f>
        <v/>
      </c>
      <c r="D74" s="99" t="s">
        <v>1847</v>
      </c>
      <c r="E74" s="99" t="s">
        <v>1848</v>
      </c>
      <c r="F74" s="99" t="s">
        <v>1849</v>
      </c>
      <c r="G74" s="121" t="s">
        <v>1632</v>
      </c>
    </row>
    <row r="75" spans="1:7" x14ac:dyDescent="0.35">
      <c r="A75" s="99" t="s">
        <v>1316</v>
      </c>
      <c r="B75" s="99">
        <v>90727248</v>
      </c>
      <c r="C75" s="99" t="str" cm="1">
        <f t="array" ref="C75">IFERROR(INDEX(#REF!, MATCH(1, (#REF! = B75) * (#REF! &lt;&gt; "Rejected") * (#REF! &lt;&gt; "Offboarded"), 0)), "")</f>
        <v/>
      </c>
      <c r="D75" s="99" t="s">
        <v>1850</v>
      </c>
      <c r="E75" s="99" t="s">
        <v>1848</v>
      </c>
      <c r="F75" s="99" t="s">
        <v>1851</v>
      </c>
      <c r="G75" s="121" t="s">
        <v>1632</v>
      </c>
    </row>
    <row r="76" spans="1:7" x14ac:dyDescent="0.35">
      <c r="A76" s="99" t="s">
        <v>1317</v>
      </c>
      <c r="B76" s="99">
        <v>90719938</v>
      </c>
      <c r="C76" s="99" t="str" cm="1">
        <f t="array" ref="C76">IFERROR(INDEX(#REF!, MATCH(1, (#REF! = B76) * (#REF! &lt;&gt; "Rejected") * (#REF! &lt;&gt; "Offboarded"), 0)), "")</f>
        <v/>
      </c>
      <c r="D76" s="99" t="s">
        <v>1852</v>
      </c>
      <c r="E76" s="99" t="s">
        <v>1853</v>
      </c>
      <c r="F76" s="99" t="s">
        <v>1780</v>
      </c>
      <c r="G76" s="121" t="s">
        <v>1632</v>
      </c>
    </row>
    <row r="77" spans="1:7" x14ac:dyDescent="0.35">
      <c r="A77" s="99" t="s">
        <v>1854</v>
      </c>
      <c r="B77" s="99">
        <v>90719794</v>
      </c>
      <c r="C77" s="99" t="str" cm="1">
        <f t="array" ref="C77">IFERROR(INDEX(#REF!, MATCH(1, (#REF! = B77) * (#REF! &lt;&gt; "Rejected") * (#REF! &lt;&gt; "Offboarded"), 0)), "")</f>
        <v/>
      </c>
      <c r="D77" s="99" t="s">
        <v>1855</v>
      </c>
      <c r="E77" s="99" t="s">
        <v>1856</v>
      </c>
      <c r="F77" s="99" t="s">
        <v>1857</v>
      </c>
      <c r="G77" s="121" t="s">
        <v>1632</v>
      </c>
    </row>
    <row r="78" spans="1:7" x14ac:dyDescent="0.35">
      <c r="A78" s="99" t="s">
        <v>1318</v>
      </c>
      <c r="B78" s="99">
        <v>90727175</v>
      </c>
      <c r="C78" s="99" t="str" cm="1">
        <f t="array" ref="C78">IFERROR(INDEX(#REF!, MATCH(1, (#REF! = B78) * (#REF! &lt;&gt; "Rejected") * (#REF! &lt;&gt; "Offboarded"), 0)), "")</f>
        <v/>
      </c>
      <c r="D78" s="99" t="s">
        <v>1858</v>
      </c>
      <c r="E78" s="99" t="s">
        <v>1859</v>
      </c>
      <c r="F78" s="99" t="s">
        <v>1860</v>
      </c>
      <c r="G78" s="121" t="s">
        <v>1632</v>
      </c>
    </row>
    <row r="79" spans="1:7" x14ac:dyDescent="0.35">
      <c r="A79" s="99" t="s">
        <v>1319</v>
      </c>
      <c r="B79" s="99">
        <v>90727178</v>
      </c>
      <c r="C79" s="99" t="str" cm="1">
        <f t="array" ref="C79">IFERROR(INDEX(#REF!, MATCH(1, (#REF! = B79) * (#REF! &lt;&gt; "Rejected") * (#REF! &lt;&gt; "Offboarded"), 0)), "")</f>
        <v/>
      </c>
      <c r="D79" s="99" t="s">
        <v>1861</v>
      </c>
      <c r="E79" s="99" t="s">
        <v>1862</v>
      </c>
      <c r="F79" s="99" t="s">
        <v>1863</v>
      </c>
      <c r="G79" s="121" t="s">
        <v>1632</v>
      </c>
    </row>
    <row r="80" spans="1:7" x14ac:dyDescent="0.35">
      <c r="A80" s="99" t="s">
        <v>1324</v>
      </c>
      <c r="B80" s="99">
        <v>90719718</v>
      </c>
      <c r="C80" s="99" t="str" cm="1">
        <f t="array" ref="C80">IFERROR(INDEX(#REF!, MATCH(1, (#REF! = B80) * (#REF! &lt;&gt; "Rejected") * (#REF! &lt;&gt; "Offboarded"), 0)), "")</f>
        <v/>
      </c>
      <c r="D80" s="99" t="s">
        <v>1864</v>
      </c>
      <c r="E80" s="99" t="s">
        <v>1865</v>
      </c>
      <c r="F80" s="99" t="s">
        <v>1866</v>
      </c>
      <c r="G80" s="121" t="s">
        <v>1632</v>
      </c>
    </row>
    <row r="81" spans="1:7" x14ac:dyDescent="0.35">
      <c r="A81" s="99" t="s">
        <v>1325</v>
      </c>
      <c r="B81" s="99">
        <v>90719838</v>
      </c>
      <c r="C81" s="99" t="str" cm="1">
        <f t="array" ref="C81">IFERROR(INDEX(#REF!, MATCH(1, (#REF! = B81) * (#REF! &lt;&gt; "Rejected") * (#REF! &lt;&gt; "Offboarded"), 0)), "")</f>
        <v/>
      </c>
      <c r="D81" s="99" t="s">
        <v>1867</v>
      </c>
      <c r="E81" s="99" t="s">
        <v>1868</v>
      </c>
      <c r="F81" s="99" t="s">
        <v>1727</v>
      </c>
      <c r="G81" s="121" t="s">
        <v>1632</v>
      </c>
    </row>
    <row r="82" spans="1:7" x14ac:dyDescent="0.35">
      <c r="A82" s="99" t="s">
        <v>1326</v>
      </c>
      <c r="B82" s="99">
        <v>90719657</v>
      </c>
      <c r="C82" s="99" t="str" cm="1">
        <f t="array" ref="C82">IFERROR(INDEX(#REF!, MATCH(1, (#REF! = B82) * (#REF! &lt;&gt; "Rejected") * (#REF! &lt;&gt; "Offboarded"), 0)), "")</f>
        <v/>
      </c>
      <c r="D82" s="99" t="s">
        <v>1869</v>
      </c>
      <c r="E82" s="99" t="s">
        <v>1870</v>
      </c>
      <c r="F82" s="99" t="s">
        <v>1871</v>
      </c>
      <c r="G82" s="121" t="s">
        <v>1632</v>
      </c>
    </row>
    <row r="83" spans="1:7" x14ac:dyDescent="0.35">
      <c r="A83" s="99" t="s">
        <v>1872</v>
      </c>
      <c r="B83" s="99">
        <v>90727180</v>
      </c>
      <c r="C83" s="99" t="str" cm="1">
        <f t="array" ref="C83">IFERROR(INDEX(#REF!, MATCH(1, (#REF! = B83) * (#REF! &lt;&gt; "Rejected") * (#REF! &lt;&gt; "Offboarded"), 0)), "")</f>
        <v/>
      </c>
      <c r="D83" s="99" t="s">
        <v>1873</v>
      </c>
      <c r="E83" s="99" t="s">
        <v>1874</v>
      </c>
      <c r="F83" s="99" t="s">
        <v>1875</v>
      </c>
      <c r="G83" s="121" t="s">
        <v>1632</v>
      </c>
    </row>
    <row r="84" spans="1:7" x14ac:dyDescent="0.35">
      <c r="A84" s="99" t="s">
        <v>1876</v>
      </c>
      <c r="B84" s="99">
        <v>90719669</v>
      </c>
      <c r="C84" s="99" t="str" cm="1">
        <f t="array" ref="C84">IFERROR(INDEX(#REF!, MATCH(1, (#REF! = B84) * (#REF! &lt;&gt; "Rejected") * (#REF! &lt;&gt; "Offboarded"), 0)), "")</f>
        <v/>
      </c>
      <c r="D84" s="99" t="s">
        <v>1877</v>
      </c>
      <c r="E84" s="99" t="s">
        <v>1878</v>
      </c>
      <c r="F84" s="99" t="s">
        <v>1879</v>
      </c>
      <c r="G84" s="121" t="s">
        <v>1632</v>
      </c>
    </row>
    <row r="85" spans="1:7" x14ac:dyDescent="0.35">
      <c r="A85" s="99" t="s">
        <v>1880</v>
      </c>
      <c r="B85" s="99">
        <v>90719822</v>
      </c>
      <c r="C85" s="99" t="str" cm="1">
        <f t="array" ref="C85">IFERROR(INDEX(#REF!, MATCH(1, (#REF! = B85) * (#REF! &lt;&gt; "Rejected") * (#REF! &lt;&gt; "Offboarded"), 0)), "")</f>
        <v/>
      </c>
      <c r="D85" s="99" t="s">
        <v>1881</v>
      </c>
      <c r="E85" s="99" t="s">
        <v>1882</v>
      </c>
      <c r="F85" s="99" t="s">
        <v>1883</v>
      </c>
      <c r="G85" s="121" t="s">
        <v>1632</v>
      </c>
    </row>
    <row r="86" spans="1:7" x14ac:dyDescent="0.35">
      <c r="A86" s="99" t="s">
        <v>1884</v>
      </c>
      <c r="B86" s="99">
        <v>90719954</v>
      </c>
      <c r="C86" s="99" t="str" cm="1">
        <f t="array" ref="C86">IFERROR(INDEX(#REF!, MATCH(1, (#REF! = B86) * (#REF! &lt;&gt; "Rejected") * (#REF! &lt;&gt; "Offboarded"), 0)), "")</f>
        <v/>
      </c>
      <c r="D86" s="99" t="s">
        <v>1885</v>
      </c>
      <c r="E86" s="99" t="s">
        <v>1886</v>
      </c>
      <c r="F86" s="99" t="s">
        <v>1887</v>
      </c>
      <c r="G86" s="121" t="s">
        <v>1632</v>
      </c>
    </row>
    <row r="87" spans="1:7" x14ac:dyDescent="0.35">
      <c r="A87" s="99" t="s">
        <v>1331</v>
      </c>
      <c r="B87" s="99">
        <v>90719769</v>
      </c>
      <c r="C87" s="99" t="str" cm="1">
        <f t="array" ref="C87">IFERROR(INDEX(#REF!, MATCH(1, (#REF! = B87) * (#REF! &lt;&gt; "Rejected") * (#REF! &lt;&gt; "Offboarded"), 0)), "")</f>
        <v/>
      </c>
      <c r="D87" s="99" t="s">
        <v>1888</v>
      </c>
      <c r="E87" s="99" t="s">
        <v>1889</v>
      </c>
      <c r="F87" s="99" t="s">
        <v>1890</v>
      </c>
      <c r="G87" s="121" t="s">
        <v>1632</v>
      </c>
    </row>
    <row r="88" spans="1:7" x14ac:dyDescent="0.35">
      <c r="A88" s="99" t="s">
        <v>1334</v>
      </c>
      <c r="B88" s="99">
        <v>90719909</v>
      </c>
      <c r="C88" s="99" t="str" cm="1">
        <f t="array" ref="C88">IFERROR(INDEX(#REF!, MATCH(1, (#REF! = B88) * (#REF! &lt;&gt; "Rejected") * (#REF! &lt;&gt; "Offboarded"), 0)), "")</f>
        <v/>
      </c>
      <c r="D88" s="99" t="s">
        <v>1891</v>
      </c>
      <c r="E88" s="99" t="s">
        <v>1892</v>
      </c>
      <c r="F88" s="99" t="s">
        <v>1893</v>
      </c>
      <c r="G88" s="121" t="s">
        <v>1632</v>
      </c>
    </row>
    <row r="89" spans="1:7" x14ac:dyDescent="0.35">
      <c r="A89" s="99" t="s">
        <v>1894</v>
      </c>
      <c r="B89" s="99">
        <v>90719551</v>
      </c>
      <c r="C89" s="99" t="str" cm="1">
        <f t="array" ref="C89">IFERROR(INDEX(#REF!, MATCH(1, (#REF! = B89) * (#REF! &lt;&gt; "Rejected") * (#REF! &lt;&gt; "Offboarded"), 0)), "")</f>
        <v/>
      </c>
      <c r="D89" s="99" t="s">
        <v>1895</v>
      </c>
      <c r="E89" s="99" t="s">
        <v>1896</v>
      </c>
      <c r="F89" s="99" t="s">
        <v>1672</v>
      </c>
      <c r="G89" s="121" t="s">
        <v>1632</v>
      </c>
    </row>
    <row r="90" spans="1:7" x14ac:dyDescent="0.35">
      <c r="A90" s="99" t="s">
        <v>1338</v>
      </c>
      <c r="B90" s="99">
        <v>90719934</v>
      </c>
      <c r="C90" s="99" t="str" cm="1">
        <f t="array" ref="C90">IFERROR(INDEX(#REF!, MATCH(1, (#REF! = B90) * (#REF! &lt;&gt; "Rejected") * (#REF! &lt;&gt; "Offboarded"), 0)), "")</f>
        <v/>
      </c>
      <c r="D90" s="99" t="s">
        <v>1897</v>
      </c>
      <c r="E90" s="99" t="s">
        <v>1898</v>
      </c>
      <c r="F90" s="99" t="s">
        <v>1639</v>
      </c>
      <c r="G90" s="121" t="s">
        <v>1632</v>
      </c>
    </row>
    <row r="91" spans="1:7" x14ac:dyDescent="0.35">
      <c r="A91" s="99" t="s">
        <v>1339</v>
      </c>
      <c r="B91" s="99">
        <v>90719307</v>
      </c>
      <c r="C91" s="99" t="str" cm="1">
        <f t="array" ref="C91">IFERROR(INDEX(#REF!, MATCH(1, (#REF! = B91) * (#REF! &lt;&gt; "Rejected") * (#REF! &lt;&gt; "Offboarded"), 0)), "")</f>
        <v/>
      </c>
      <c r="D91" s="99" t="s">
        <v>1899</v>
      </c>
      <c r="E91" s="99" t="s">
        <v>1900</v>
      </c>
      <c r="F91" s="99" t="s">
        <v>1652</v>
      </c>
      <c r="G91" s="121" t="s">
        <v>1632</v>
      </c>
    </row>
    <row r="92" spans="1:7" x14ac:dyDescent="0.35">
      <c r="A92" s="99" t="s">
        <v>1340</v>
      </c>
      <c r="B92" s="99">
        <v>90719749</v>
      </c>
      <c r="C92" s="99" t="str" cm="1">
        <f t="array" ref="C92">IFERROR(INDEX(#REF!, MATCH(1, (#REF! = B92) * (#REF! &lt;&gt; "Rejected") * (#REF! &lt;&gt; "Offboarded"), 0)), "")</f>
        <v/>
      </c>
      <c r="D92" s="99" t="s">
        <v>1901</v>
      </c>
      <c r="E92" s="99" t="s">
        <v>1902</v>
      </c>
      <c r="F92" s="99" t="s">
        <v>1903</v>
      </c>
      <c r="G92" s="121" t="s">
        <v>1632</v>
      </c>
    </row>
    <row r="93" spans="1:7" x14ac:dyDescent="0.35">
      <c r="A93" s="99" t="s">
        <v>1341</v>
      </c>
      <c r="B93" s="99">
        <v>90719784</v>
      </c>
      <c r="C93" s="99" t="str" cm="1">
        <f t="array" ref="C93">IFERROR(INDEX(#REF!, MATCH(1, (#REF! = B93) * (#REF! &lt;&gt; "Rejected") * (#REF! &lt;&gt; "Offboarded"), 0)), "")</f>
        <v/>
      </c>
      <c r="D93" s="99" t="s">
        <v>1904</v>
      </c>
      <c r="E93" s="99" t="s">
        <v>1905</v>
      </c>
      <c r="F93" s="99" t="s">
        <v>1906</v>
      </c>
      <c r="G93" s="121" t="s">
        <v>1632</v>
      </c>
    </row>
    <row r="94" spans="1:7" x14ac:dyDescent="0.35">
      <c r="A94" s="99" t="s">
        <v>1907</v>
      </c>
      <c r="B94" s="99">
        <v>90719727</v>
      </c>
      <c r="C94" s="99" t="str" cm="1">
        <f t="array" ref="C94">IFERROR(INDEX(#REF!, MATCH(1, (#REF! = B94) * (#REF! &lt;&gt; "Rejected") * (#REF! &lt;&gt; "Offboarded"), 0)), "")</f>
        <v/>
      </c>
      <c r="D94" s="99" t="s">
        <v>1908</v>
      </c>
      <c r="E94" s="99" t="s">
        <v>1909</v>
      </c>
      <c r="F94" s="99" t="s">
        <v>1910</v>
      </c>
      <c r="G94" s="121" t="s">
        <v>1632</v>
      </c>
    </row>
    <row r="95" spans="1:7" x14ac:dyDescent="0.35">
      <c r="A95" s="99" t="s">
        <v>1347</v>
      </c>
      <c r="B95" s="99">
        <v>90724640</v>
      </c>
      <c r="C95" s="99" t="str" cm="1">
        <f t="array" ref="C95">IFERROR(INDEX(#REF!, MATCH(1, (#REF! = B95) * (#REF! &lt;&gt; "Rejected") * (#REF! &lt;&gt; "Offboarded"), 0)), "")</f>
        <v/>
      </c>
      <c r="D95" s="99" t="s">
        <v>1911</v>
      </c>
      <c r="E95" s="99" t="s">
        <v>1912</v>
      </c>
      <c r="F95" s="99" t="s">
        <v>1913</v>
      </c>
      <c r="G95" s="121" t="s">
        <v>1632</v>
      </c>
    </row>
    <row r="96" spans="1:7" x14ac:dyDescent="0.35">
      <c r="A96" s="99" t="s">
        <v>1348</v>
      </c>
      <c r="B96" s="99">
        <v>90725456</v>
      </c>
      <c r="C96" s="99" t="str" cm="1">
        <f t="array" ref="C96">IFERROR(INDEX(#REF!, MATCH(1, (#REF! = B96) * (#REF! &lt;&gt; "Rejected") * (#REF! &lt;&gt; "Offboarded"), 0)), "")</f>
        <v/>
      </c>
      <c r="D96" s="99" t="s">
        <v>1914</v>
      </c>
      <c r="E96" s="99" t="s">
        <v>1915</v>
      </c>
      <c r="F96" s="99" t="s">
        <v>1866</v>
      </c>
      <c r="G96" s="121" t="s">
        <v>1632</v>
      </c>
    </row>
    <row r="97" spans="1:7" x14ac:dyDescent="0.35">
      <c r="A97" s="99" t="s">
        <v>1350</v>
      </c>
      <c r="B97" s="99">
        <v>90719563</v>
      </c>
      <c r="C97" s="99" t="str" cm="1">
        <f t="array" ref="C97">IFERROR(INDEX(#REF!, MATCH(1, (#REF! = B97) * (#REF! &lt;&gt; "Rejected") * (#REF! &lt;&gt; "Offboarded"), 0)), "")</f>
        <v/>
      </c>
      <c r="D97" s="99" t="s">
        <v>1916</v>
      </c>
      <c r="E97" s="99" t="s">
        <v>1917</v>
      </c>
      <c r="F97" s="99" t="s">
        <v>1918</v>
      </c>
      <c r="G97" s="121" t="s">
        <v>1632</v>
      </c>
    </row>
    <row r="98" spans="1:7" x14ac:dyDescent="0.35">
      <c r="A98" s="99" t="s">
        <v>1352</v>
      </c>
      <c r="B98" s="99">
        <v>90719580</v>
      </c>
      <c r="C98" s="99" t="str" cm="1">
        <f t="array" ref="C98">IFERROR(INDEX(#REF!, MATCH(1, (#REF! = B98) * (#REF! &lt;&gt; "Rejected") * (#REF! &lt;&gt; "Offboarded"), 0)), "")</f>
        <v/>
      </c>
      <c r="D98" s="99" t="s">
        <v>1919</v>
      </c>
      <c r="E98" s="99" t="s">
        <v>1920</v>
      </c>
      <c r="F98" s="99" t="s">
        <v>1921</v>
      </c>
      <c r="G98" s="121" t="s">
        <v>1632</v>
      </c>
    </row>
    <row r="99" spans="1:7" x14ac:dyDescent="0.35">
      <c r="A99" s="99" t="s">
        <v>1353</v>
      </c>
      <c r="B99" s="99">
        <v>90719555</v>
      </c>
      <c r="C99" s="99" t="str" cm="1">
        <f t="array" ref="C99">IFERROR(INDEX(#REF!, MATCH(1, (#REF! = B99) * (#REF! &lt;&gt; "Rejected") * (#REF! &lt;&gt; "Offboarded"), 0)), "")</f>
        <v/>
      </c>
      <c r="D99" s="99" t="s">
        <v>1922</v>
      </c>
      <c r="E99" s="99" t="s">
        <v>1923</v>
      </c>
      <c r="F99" s="99" t="s">
        <v>1924</v>
      </c>
      <c r="G99" s="121" t="s">
        <v>1632</v>
      </c>
    </row>
    <row r="100" spans="1:7" x14ac:dyDescent="0.35">
      <c r="A100" s="99" t="s">
        <v>1354</v>
      </c>
      <c r="B100" s="99">
        <v>90719672</v>
      </c>
      <c r="C100" s="99" t="str" cm="1">
        <f t="array" ref="C100">IFERROR(INDEX(#REF!, MATCH(1, (#REF! = B100) * (#REF! &lt;&gt; "Rejected") * (#REF! &lt;&gt; "Offboarded"), 0)), "")</f>
        <v/>
      </c>
      <c r="D100" s="99" t="s">
        <v>1925</v>
      </c>
      <c r="E100" s="99" t="s">
        <v>1923</v>
      </c>
      <c r="F100" s="99" t="s">
        <v>1926</v>
      </c>
      <c r="G100" s="121" t="s">
        <v>1632</v>
      </c>
    </row>
    <row r="101" spans="1:7" x14ac:dyDescent="0.35">
      <c r="A101" s="99" t="s">
        <v>1355</v>
      </c>
      <c r="B101" s="99">
        <v>90727173</v>
      </c>
      <c r="C101" s="99" t="str" cm="1">
        <f t="array" ref="C101">IFERROR(INDEX(#REF!, MATCH(1, (#REF! = B101) * (#REF! &lt;&gt; "Rejected") * (#REF! &lt;&gt; "Offboarded"), 0)), "")</f>
        <v/>
      </c>
      <c r="D101" s="99" t="s">
        <v>1927</v>
      </c>
      <c r="E101" s="99" t="s">
        <v>1928</v>
      </c>
      <c r="F101" s="99" t="s">
        <v>1929</v>
      </c>
      <c r="G101" s="121" t="s">
        <v>1632</v>
      </c>
    </row>
    <row r="102" spans="1:7" x14ac:dyDescent="0.35">
      <c r="A102" s="99" t="s">
        <v>1357</v>
      </c>
      <c r="B102" s="99">
        <v>90719904</v>
      </c>
      <c r="C102" s="99" t="str" cm="1">
        <f t="array" ref="C102">IFERROR(INDEX(#REF!, MATCH(1, (#REF! = B102) * (#REF! &lt;&gt; "Rejected") * (#REF! &lt;&gt; "Offboarded"), 0)), "")</f>
        <v/>
      </c>
      <c r="D102" s="99" t="s">
        <v>1930</v>
      </c>
      <c r="E102" s="99" t="s">
        <v>1928</v>
      </c>
      <c r="F102" s="99" t="s">
        <v>1931</v>
      </c>
      <c r="G102" s="121" t="s">
        <v>1632</v>
      </c>
    </row>
    <row r="103" spans="1:7" x14ac:dyDescent="0.35">
      <c r="A103" s="99" t="s">
        <v>1361</v>
      </c>
      <c r="B103" s="99">
        <v>90724671</v>
      </c>
      <c r="C103" s="99" t="str" cm="1">
        <f t="array" ref="C103">IFERROR(INDEX(#REF!, MATCH(1, (#REF! = B103) * (#REF! &lt;&gt; "Rejected") * (#REF! &lt;&gt; "Offboarded"), 0)), "")</f>
        <v/>
      </c>
      <c r="D103" s="99" t="s">
        <v>1932</v>
      </c>
      <c r="E103" s="99" t="s">
        <v>1933</v>
      </c>
      <c r="F103" s="99" t="s">
        <v>1934</v>
      </c>
      <c r="G103" s="121" t="s">
        <v>1632</v>
      </c>
    </row>
    <row r="104" spans="1:7" x14ac:dyDescent="0.35">
      <c r="A104" s="99" t="s">
        <v>1362</v>
      </c>
      <c r="B104" s="99">
        <v>90719943</v>
      </c>
      <c r="C104" s="99" t="str" cm="1">
        <f t="array" ref="C104">IFERROR(INDEX(#REF!, MATCH(1, (#REF! = B104) * (#REF! &lt;&gt; "Rejected") * (#REF! &lt;&gt; "Offboarded"), 0)), "")</f>
        <v/>
      </c>
      <c r="D104" s="99" t="s">
        <v>1935</v>
      </c>
      <c r="E104" s="99" t="s">
        <v>1936</v>
      </c>
      <c r="F104" s="99" t="s">
        <v>1937</v>
      </c>
      <c r="G104" s="121" t="s">
        <v>1632</v>
      </c>
    </row>
    <row r="105" spans="1:7" x14ac:dyDescent="0.35">
      <c r="A105" s="99" t="s">
        <v>1364</v>
      </c>
      <c r="B105" s="99">
        <v>90727247</v>
      </c>
      <c r="C105" s="99" t="str" cm="1">
        <f t="array" ref="C105">IFERROR(INDEX(#REF!, MATCH(1, (#REF! = B105) * (#REF! &lt;&gt; "Rejected") * (#REF! &lt;&gt; "Offboarded"), 0)), "")</f>
        <v/>
      </c>
      <c r="D105" s="99" t="s">
        <v>1938</v>
      </c>
      <c r="E105" s="99" t="s">
        <v>1939</v>
      </c>
      <c r="F105" s="99" t="s">
        <v>1940</v>
      </c>
      <c r="G105" s="121" t="s">
        <v>1632</v>
      </c>
    </row>
    <row r="106" spans="1:7" x14ac:dyDescent="0.35">
      <c r="A106" s="99" t="s">
        <v>1366</v>
      </c>
      <c r="B106" s="99">
        <v>90727181</v>
      </c>
      <c r="C106" s="99" t="str" cm="1">
        <f t="array" ref="C106">IFERROR(INDEX(#REF!, MATCH(1, (#REF! = B106) * (#REF! &lt;&gt; "Rejected") * (#REF! &lt;&gt; "Offboarded"), 0)), "")</f>
        <v/>
      </c>
      <c r="D106" s="99" t="s">
        <v>1941</v>
      </c>
      <c r="E106" s="99" t="s">
        <v>1942</v>
      </c>
      <c r="F106" s="99" t="s">
        <v>1943</v>
      </c>
      <c r="G106" s="121" t="s">
        <v>1632</v>
      </c>
    </row>
    <row r="107" spans="1:7" x14ac:dyDescent="0.35">
      <c r="A107" s="99" t="s">
        <v>1370</v>
      </c>
      <c r="B107" s="99">
        <v>90719916</v>
      </c>
      <c r="C107" s="99" t="str" cm="1">
        <f t="array" ref="C107">IFERROR(INDEX(#REF!, MATCH(1, (#REF! = B107) * (#REF! &lt;&gt; "Rejected") * (#REF! &lt;&gt; "Offboarded"), 0)), "")</f>
        <v/>
      </c>
      <c r="D107" s="99" t="s">
        <v>1944</v>
      </c>
      <c r="E107" s="99" t="s">
        <v>1945</v>
      </c>
      <c r="F107" s="99" t="s">
        <v>1946</v>
      </c>
      <c r="G107" s="121" t="s">
        <v>1632</v>
      </c>
    </row>
    <row r="108" spans="1:7" x14ac:dyDescent="0.35">
      <c r="A108" s="99" t="s">
        <v>1373</v>
      </c>
      <c r="B108" s="99">
        <v>90719622</v>
      </c>
      <c r="C108" s="99" t="str" cm="1">
        <f t="array" ref="C108">IFERROR(INDEX(#REF!, MATCH(1, (#REF! = B108) * (#REF! &lt;&gt; "Rejected") * (#REF! &lt;&gt; "Offboarded"), 0)), "")</f>
        <v/>
      </c>
      <c r="D108" s="99" t="s">
        <v>1947</v>
      </c>
      <c r="E108" s="99" t="s">
        <v>1948</v>
      </c>
      <c r="F108" s="99" t="s">
        <v>1949</v>
      </c>
      <c r="G108" s="121" t="s">
        <v>232</v>
      </c>
    </row>
    <row r="109" spans="1:7" x14ac:dyDescent="0.35">
      <c r="A109" s="99" t="s">
        <v>1950</v>
      </c>
      <c r="B109" s="99">
        <v>90719919</v>
      </c>
      <c r="C109" s="99" t="str" cm="1">
        <f t="array" ref="C109">IFERROR(INDEX(#REF!, MATCH(1, (#REF! = B109) * (#REF! &lt;&gt; "Rejected") * (#REF! &lt;&gt; "Offboarded"), 0)), "")</f>
        <v/>
      </c>
      <c r="D109" s="99" t="s">
        <v>1951</v>
      </c>
      <c r="E109" s="99" t="s">
        <v>1952</v>
      </c>
      <c r="F109" s="99" t="s">
        <v>1758</v>
      </c>
      <c r="G109" s="121" t="s">
        <v>1632</v>
      </c>
    </row>
    <row r="110" spans="1:7" x14ac:dyDescent="0.35">
      <c r="A110" s="99" t="s">
        <v>1375</v>
      </c>
      <c r="B110" s="99">
        <v>90725487</v>
      </c>
      <c r="C110" s="99" t="str" cm="1">
        <f t="array" ref="C110">IFERROR(INDEX(#REF!, MATCH(1, (#REF! = B110) * (#REF! &lt;&gt; "Rejected") * (#REF! &lt;&gt; "Offboarded"), 0)), "")</f>
        <v/>
      </c>
      <c r="D110" s="99" t="s">
        <v>1953</v>
      </c>
      <c r="E110" s="99" t="s">
        <v>1954</v>
      </c>
      <c r="F110" s="99" t="s">
        <v>1955</v>
      </c>
      <c r="G110" s="121" t="s">
        <v>1632</v>
      </c>
    </row>
    <row r="111" spans="1:7" x14ac:dyDescent="0.35">
      <c r="A111" s="99" t="s">
        <v>1378</v>
      </c>
      <c r="B111" s="99">
        <v>90719767</v>
      </c>
      <c r="C111" s="99" t="str" cm="1">
        <f t="array" ref="C111">IFERROR(INDEX(#REF!, MATCH(1, (#REF! = B111) * (#REF! &lt;&gt; "Rejected") * (#REF! &lt;&gt; "Offboarded"), 0)), "")</f>
        <v/>
      </c>
      <c r="D111" s="99" t="s">
        <v>1956</v>
      </c>
      <c r="E111" s="99" t="s">
        <v>1957</v>
      </c>
      <c r="F111" s="99" t="s">
        <v>1652</v>
      </c>
      <c r="G111" s="121" t="s">
        <v>1632</v>
      </c>
    </row>
    <row r="112" spans="1:7" x14ac:dyDescent="0.35">
      <c r="A112" s="99" t="s">
        <v>1381</v>
      </c>
      <c r="B112" s="99">
        <v>90719667</v>
      </c>
      <c r="C112" s="99" t="str" cm="1">
        <f t="array" ref="C112">IFERROR(INDEX(#REF!, MATCH(1, (#REF! = B112) * (#REF! &lt;&gt; "Rejected") * (#REF! &lt;&gt; "Offboarded"), 0)), "")</f>
        <v/>
      </c>
      <c r="D112" s="99" t="s">
        <v>1958</v>
      </c>
      <c r="E112" s="99" t="s">
        <v>1959</v>
      </c>
      <c r="F112" s="99" t="s">
        <v>1960</v>
      </c>
      <c r="G112" s="121" t="s">
        <v>1632</v>
      </c>
    </row>
    <row r="113" spans="1:7" x14ac:dyDescent="0.35">
      <c r="A113" s="99" t="s">
        <v>1961</v>
      </c>
      <c r="B113" s="99">
        <v>90719702</v>
      </c>
      <c r="C113" s="99" t="str" cm="1">
        <f t="array" ref="C113">IFERROR(INDEX(#REF!, MATCH(1, (#REF! = B113) * (#REF! &lt;&gt; "Rejected") * (#REF! &lt;&gt; "Offboarded"), 0)), "")</f>
        <v/>
      </c>
      <c r="D113" s="99" t="s">
        <v>1962</v>
      </c>
      <c r="E113" s="99" t="s">
        <v>1963</v>
      </c>
      <c r="F113" s="99" t="s">
        <v>1964</v>
      </c>
      <c r="G113" s="121" t="s">
        <v>1632</v>
      </c>
    </row>
    <row r="114" spans="1:7" x14ac:dyDescent="0.35">
      <c r="A114" s="99" t="s">
        <v>1382</v>
      </c>
      <c r="B114" s="99">
        <v>90719666</v>
      </c>
      <c r="C114" s="99" t="str" cm="1">
        <f t="array" ref="C114">IFERROR(INDEX(#REF!, MATCH(1, (#REF! = B114) * (#REF! &lt;&gt; "Rejected") * (#REF! &lt;&gt; "Offboarded"), 0)), "")</f>
        <v/>
      </c>
      <c r="D114" s="99" t="s">
        <v>1965</v>
      </c>
      <c r="E114" s="99" t="s">
        <v>1966</v>
      </c>
      <c r="F114" s="99" t="s">
        <v>1652</v>
      </c>
      <c r="G114" s="121" t="s">
        <v>1632</v>
      </c>
    </row>
    <row r="115" spans="1:7" x14ac:dyDescent="0.35">
      <c r="A115" s="99" t="s">
        <v>1384</v>
      </c>
      <c r="B115" s="99">
        <v>90719708</v>
      </c>
      <c r="C115" s="99" t="str" cm="1">
        <f t="array" ref="C115">IFERROR(INDEX(#REF!, MATCH(1, (#REF! = B115) * (#REF! &lt;&gt; "Rejected") * (#REF! &lt;&gt; "Offboarded"), 0)), "")</f>
        <v/>
      </c>
      <c r="D115" s="99" t="s">
        <v>1967</v>
      </c>
      <c r="E115" s="99" t="s">
        <v>1968</v>
      </c>
      <c r="F115" s="99" t="s">
        <v>1969</v>
      </c>
      <c r="G115" s="121" t="s">
        <v>1632</v>
      </c>
    </row>
    <row r="116" spans="1:7" x14ac:dyDescent="0.35">
      <c r="A116" s="99" t="s">
        <v>1385</v>
      </c>
      <c r="B116" s="99">
        <v>90725460</v>
      </c>
      <c r="C116" s="99" t="str" cm="1">
        <f t="array" ref="C116">IFERROR(INDEX(#REF!, MATCH(1, (#REF! = B116) * (#REF! &lt;&gt; "Rejected") * (#REF! &lt;&gt; "Offboarded"), 0)), "")</f>
        <v/>
      </c>
      <c r="D116" s="99" t="s">
        <v>1970</v>
      </c>
      <c r="E116" s="99" t="s">
        <v>1971</v>
      </c>
      <c r="F116" s="99" t="s">
        <v>1790</v>
      </c>
      <c r="G116" s="121" t="s">
        <v>1632</v>
      </c>
    </row>
    <row r="117" spans="1:7" x14ac:dyDescent="0.35">
      <c r="A117" s="99" t="s">
        <v>1389</v>
      </c>
      <c r="B117" s="99">
        <v>90724644</v>
      </c>
      <c r="C117" s="99" t="str" cm="1">
        <f t="array" ref="C117">IFERROR(INDEX(#REF!, MATCH(1, (#REF! = B117) * (#REF! &lt;&gt; "Rejected") * (#REF! &lt;&gt; "Offboarded"), 0)), "")</f>
        <v/>
      </c>
      <c r="D117" s="99" t="s">
        <v>1972</v>
      </c>
      <c r="E117" s="99" t="s">
        <v>1973</v>
      </c>
      <c r="F117" s="99" t="s">
        <v>1639</v>
      </c>
      <c r="G117" s="121" t="s">
        <v>1632</v>
      </c>
    </row>
    <row r="118" spans="1:7" x14ac:dyDescent="0.35">
      <c r="A118" s="99" t="s">
        <v>1391</v>
      </c>
      <c r="B118" s="99">
        <v>90719643</v>
      </c>
      <c r="C118" s="99" t="str" cm="1">
        <f t="array" ref="C118">IFERROR(INDEX(#REF!, MATCH(1, (#REF! = B118) * (#REF! &lt;&gt; "Rejected") * (#REF! &lt;&gt; "Offboarded"), 0)), "")</f>
        <v/>
      </c>
      <c r="D118" s="99" t="s">
        <v>1974</v>
      </c>
      <c r="E118" s="99" t="s">
        <v>1975</v>
      </c>
      <c r="F118" s="99" t="s">
        <v>1976</v>
      </c>
      <c r="G118" s="121" t="s">
        <v>1632</v>
      </c>
    </row>
    <row r="119" spans="1:7" x14ac:dyDescent="0.35">
      <c r="A119" s="99" t="s">
        <v>1394</v>
      </c>
      <c r="B119" s="99">
        <v>90719621</v>
      </c>
      <c r="C119" s="99" t="str" cm="1">
        <f t="array" ref="C119">IFERROR(INDEX(#REF!, MATCH(1, (#REF! = B119) * (#REF! &lt;&gt; "Rejected") * (#REF! &lt;&gt; "Offboarded"), 0)), "")</f>
        <v/>
      </c>
      <c r="D119" s="99" t="s">
        <v>1977</v>
      </c>
      <c r="E119" s="99" t="s">
        <v>1978</v>
      </c>
      <c r="F119" s="99" t="s">
        <v>1979</v>
      </c>
      <c r="G119" s="121" t="s">
        <v>1632</v>
      </c>
    </row>
    <row r="120" spans="1:7" x14ac:dyDescent="0.35">
      <c r="A120" s="99" t="s">
        <v>1395</v>
      </c>
      <c r="B120" s="99">
        <v>90719678</v>
      </c>
      <c r="C120" s="99" t="str" cm="1">
        <f t="array" ref="C120">IFERROR(INDEX(#REF!, MATCH(1, (#REF! = B120) * (#REF! &lt;&gt; "Rejected") * (#REF! &lt;&gt; "Offboarded"), 0)), "")</f>
        <v/>
      </c>
      <c r="D120" s="99" t="s">
        <v>1980</v>
      </c>
      <c r="E120" s="99" t="s">
        <v>1981</v>
      </c>
      <c r="F120" s="99" t="s">
        <v>1982</v>
      </c>
      <c r="G120" s="121" t="s">
        <v>1632</v>
      </c>
    </row>
    <row r="121" spans="1:7" x14ac:dyDescent="0.35">
      <c r="A121" s="99" t="s">
        <v>1396</v>
      </c>
      <c r="B121" s="99">
        <v>90719911</v>
      </c>
      <c r="C121" s="99" t="str" cm="1">
        <f t="array" ref="C121">IFERROR(INDEX(#REF!, MATCH(1, (#REF! = B121) * (#REF! &lt;&gt; "Rejected") * (#REF! &lt;&gt; "Offboarded"), 0)), "")</f>
        <v/>
      </c>
      <c r="D121" s="99" t="s">
        <v>1983</v>
      </c>
      <c r="E121" s="99" t="s">
        <v>1984</v>
      </c>
      <c r="F121" s="99" t="s">
        <v>1697</v>
      </c>
      <c r="G121" s="121" t="s">
        <v>1632</v>
      </c>
    </row>
    <row r="122" spans="1:7" x14ac:dyDescent="0.35">
      <c r="A122" s="99" t="s">
        <v>1397</v>
      </c>
      <c r="B122" s="99">
        <v>90719578</v>
      </c>
      <c r="C122" s="99" t="str" cm="1">
        <f t="array" ref="C122">IFERROR(INDEX(#REF!, MATCH(1, (#REF! = B122) * (#REF! &lt;&gt; "Rejected") * (#REF! &lt;&gt; "Offboarded"), 0)), "")</f>
        <v/>
      </c>
      <c r="D122" s="99" t="s">
        <v>1985</v>
      </c>
      <c r="E122" s="99" t="s">
        <v>1986</v>
      </c>
      <c r="F122" s="99" t="s">
        <v>1987</v>
      </c>
      <c r="G122" s="121" t="s">
        <v>1632</v>
      </c>
    </row>
    <row r="123" spans="1:7" x14ac:dyDescent="0.35">
      <c r="A123" s="99" t="s">
        <v>1398</v>
      </c>
      <c r="B123" s="99">
        <v>90719945</v>
      </c>
      <c r="C123" s="99" t="str" cm="1">
        <f t="array" ref="C123">IFERROR(INDEX(#REF!, MATCH(1, (#REF! = B123) * (#REF! &lt;&gt; "Rejected") * (#REF! &lt;&gt; "Offboarded"), 0)), "")</f>
        <v/>
      </c>
      <c r="D123" s="99" t="s">
        <v>1988</v>
      </c>
      <c r="E123" s="99" t="s">
        <v>1989</v>
      </c>
      <c r="F123" s="99" t="s">
        <v>1780</v>
      </c>
      <c r="G123" s="121" t="s">
        <v>1632</v>
      </c>
    </row>
    <row r="124" spans="1:7" x14ac:dyDescent="0.35">
      <c r="A124" s="99" t="s">
        <v>1399</v>
      </c>
      <c r="B124" s="99">
        <v>90719929</v>
      </c>
      <c r="C124" s="99" t="str" cm="1">
        <f t="array" ref="C124">IFERROR(INDEX(#REF!, MATCH(1, (#REF! = B124) * (#REF! &lt;&gt; "Rejected") * (#REF! &lt;&gt; "Offboarded"), 0)), "")</f>
        <v/>
      </c>
      <c r="D124" s="99" t="s">
        <v>1990</v>
      </c>
      <c r="E124" s="99" t="s">
        <v>1991</v>
      </c>
      <c r="F124" s="99" t="s">
        <v>1992</v>
      </c>
      <c r="G124" s="121" t="s">
        <v>1632</v>
      </c>
    </row>
    <row r="125" spans="1:7" x14ac:dyDescent="0.35">
      <c r="A125" s="99" t="s">
        <v>1993</v>
      </c>
      <c r="B125" s="99">
        <v>90719928</v>
      </c>
      <c r="C125" s="99" t="str" cm="1">
        <f t="array" ref="C125">IFERROR(INDEX(#REF!, MATCH(1, (#REF! = B125) * (#REF! &lt;&gt; "Rejected") * (#REF! &lt;&gt; "Offboarded"), 0)), "")</f>
        <v/>
      </c>
      <c r="D125" s="99" t="s">
        <v>1994</v>
      </c>
      <c r="E125" s="99" t="s">
        <v>1991</v>
      </c>
      <c r="F125" s="99" t="s">
        <v>1991</v>
      </c>
      <c r="G125" s="121" t="s">
        <v>1632</v>
      </c>
    </row>
    <row r="126" spans="1:7" x14ac:dyDescent="0.35">
      <c r="A126" s="99" t="s">
        <v>1402</v>
      </c>
      <c r="B126" s="99">
        <v>90729433</v>
      </c>
      <c r="C126" s="99" t="str" cm="1">
        <f t="array" ref="C126">IFERROR(INDEX(#REF!, MATCH(1, (#REF! = B126) * (#REF! &lt;&gt; "Rejected") * (#REF! &lt;&gt; "Offboarded"), 0)), "")</f>
        <v/>
      </c>
      <c r="D126" s="99" t="s">
        <v>1995</v>
      </c>
      <c r="E126" s="99" t="s">
        <v>1996</v>
      </c>
      <c r="F126" s="99" t="s">
        <v>1997</v>
      </c>
      <c r="G126" s="121" t="s">
        <v>1632</v>
      </c>
    </row>
    <row r="127" spans="1:7" x14ac:dyDescent="0.35">
      <c r="A127" s="99" t="s">
        <v>1403</v>
      </c>
      <c r="B127" s="99">
        <v>90727544</v>
      </c>
      <c r="C127" s="99" t="str" cm="1">
        <f t="array" ref="C127">IFERROR(INDEX(#REF!, MATCH(1, (#REF! = B127) * (#REF! &lt;&gt; "Rejected") * (#REF! &lt;&gt; "Offboarded"), 0)), "")</f>
        <v/>
      </c>
      <c r="D127" s="99" t="s">
        <v>1998</v>
      </c>
      <c r="E127" s="99" t="s">
        <v>1999</v>
      </c>
      <c r="F127" s="99" t="s">
        <v>2000</v>
      </c>
      <c r="G127" s="121" t="s">
        <v>1632</v>
      </c>
    </row>
    <row r="128" spans="1:7" x14ac:dyDescent="0.35">
      <c r="A128" s="99" t="s">
        <v>2001</v>
      </c>
      <c r="B128" s="99">
        <v>90719814</v>
      </c>
      <c r="C128" s="99" t="str" cm="1">
        <f t="array" ref="C128">IFERROR(INDEX(#REF!, MATCH(1, (#REF! = B128) * (#REF! &lt;&gt; "Rejected") * (#REF! &lt;&gt; "Offboarded"), 0)), "")</f>
        <v/>
      </c>
      <c r="D128" s="99" t="s">
        <v>2002</v>
      </c>
      <c r="E128" s="99" t="s">
        <v>2003</v>
      </c>
      <c r="F128" s="99" t="s">
        <v>1758</v>
      </c>
      <c r="G128" s="121" t="s">
        <v>1632</v>
      </c>
    </row>
    <row r="129" spans="1:7" x14ac:dyDescent="0.35">
      <c r="A129" s="99" t="s">
        <v>2004</v>
      </c>
      <c r="B129" s="99">
        <v>90719684</v>
      </c>
      <c r="C129" s="99" t="str" cm="1">
        <f t="array" ref="C129">IFERROR(INDEX(#REF!, MATCH(1, (#REF! = B129) * (#REF! &lt;&gt; "Rejected") * (#REF! &lt;&gt; "Offboarded"), 0)), "")</f>
        <v/>
      </c>
      <c r="D129" s="99" t="s">
        <v>2005</v>
      </c>
      <c r="E129" s="99" t="s">
        <v>2003</v>
      </c>
      <c r="F129" s="99" t="s">
        <v>2006</v>
      </c>
      <c r="G129" s="121" t="s">
        <v>1632</v>
      </c>
    </row>
    <row r="130" spans="1:7" x14ac:dyDescent="0.35">
      <c r="A130" s="99" t="s">
        <v>1407</v>
      </c>
      <c r="B130" s="99">
        <v>90719931</v>
      </c>
      <c r="C130" s="99" t="str" cm="1">
        <f t="array" ref="C130">IFERROR(INDEX(#REF!, MATCH(1, (#REF! = B130) * (#REF! &lt;&gt; "Rejected") * (#REF! &lt;&gt; "Offboarded"), 0)), "")</f>
        <v/>
      </c>
      <c r="D130" s="99" t="s">
        <v>2007</v>
      </c>
      <c r="E130" s="99" t="s">
        <v>2003</v>
      </c>
      <c r="F130" s="99" t="s">
        <v>2008</v>
      </c>
      <c r="G130" s="121" t="s">
        <v>1632</v>
      </c>
    </row>
    <row r="131" spans="1:7" x14ac:dyDescent="0.35">
      <c r="A131" s="99" t="s">
        <v>1408</v>
      </c>
      <c r="B131" s="99">
        <v>90719545</v>
      </c>
      <c r="C131" s="99" t="str" cm="1">
        <f t="array" ref="C131">IFERROR(INDEX(#REF!, MATCH(1, (#REF! = B131) * (#REF! &lt;&gt; "Rejected") * (#REF! &lt;&gt; "Offboarded"), 0)), "")</f>
        <v/>
      </c>
      <c r="D131" s="99" t="s">
        <v>2009</v>
      </c>
      <c r="E131" s="99" t="s">
        <v>2010</v>
      </c>
      <c r="F131" s="99" t="s">
        <v>1758</v>
      </c>
      <c r="G131" s="121" t="s">
        <v>1632</v>
      </c>
    </row>
    <row r="132" spans="1:7" x14ac:dyDescent="0.35">
      <c r="A132" s="99" t="s">
        <v>1410</v>
      </c>
      <c r="B132" s="99">
        <v>90719907</v>
      </c>
      <c r="C132" s="99" t="str" cm="1">
        <f t="array" ref="C132">IFERROR(INDEX(#REF!, MATCH(1, (#REF! = B132) * (#REF! &lt;&gt; "Rejected") * (#REF! &lt;&gt; "Offboarded"), 0)), "")</f>
        <v/>
      </c>
      <c r="D132" s="99" t="s">
        <v>2011</v>
      </c>
      <c r="E132" s="99" t="s">
        <v>2012</v>
      </c>
      <c r="F132" s="99" t="s">
        <v>2013</v>
      </c>
      <c r="G132" s="121" t="s">
        <v>1632</v>
      </c>
    </row>
    <row r="133" spans="1:7" x14ac:dyDescent="0.35">
      <c r="A133" s="99" t="s">
        <v>1411</v>
      </c>
      <c r="B133" s="99">
        <v>90719730</v>
      </c>
      <c r="C133" s="99" t="str" cm="1">
        <f t="array" ref="C133">IFERROR(INDEX(#REF!, MATCH(1, (#REF! = B133) * (#REF! &lt;&gt; "Rejected") * (#REF! &lt;&gt; "Offboarded"), 0)), "")</f>
        <v/>
      </c>
      <c r="D133" s="99" t="s">
        <v>2014</v>
      </c>
      <c r="E133" s="99" t="s">
        <v>2012</v>
      </c>
      <c r="F133" s="99" t="s">
        <v>1652</v>
      </c>
      <c r="G133" s="121" t="s">
        <v>1632</v>
      </c>
    </row>
    <row r="134" spans="1:7" x14ac:dyDescent="0.35">
      <c r="A134" s="99" t="s">
        <v>1413</v>
      </c>
      <c r="B134" s="99">
        <v>90719735</v>
      </c>
      <c r="C134" s="99" t="str" cm="1">
        <f t="array" ref="C134">IFERROR(INDEX(#REF!, MATCH(1, (#REF! = B134) * (#REF! &lt;&gt; "Rejected") * (#REF! &lt;&gt; "Offboarded"), 0)), "")</f>
        <v/>
      </c>
      <c r="D134" s="99" t="s">
        <v>2015</v>
      </c>
      <c r="E134" s="99" t="s">
        <v>2016</v>
      </c>
      <c r="F134" s="99" t="s">
        <v>1758</v>
      </c>
      <c r="G134" s="121" t="s">
        <v>1632</v>
      </c>
    </row>
    <row r="135" spans="1:7" x14ac:dyDescent="0.35">
      <c r="A135" s="99" t="s">
        <v>1416</v>
      </c>
      <c r="B135" s="99">
        <v>90719862</v>
      </c>
      <c r="C135" s="99" t="str" cm="1">
        <f t="array" ref="C135">IFERROR(INDEX(#REF!, MATCH(1, (#REF! = B135) * (#REF! &lt;&gt; "Rejected") * (#REF! &lt;&gt; "Offboarded"), 0)), "")</f>
        <v/>
      </c>
      <c r="D135" s="99" t="s">
        <v>2017</v>
      </c>
      <c r="E135" s="99" t="s">
        <v>2018</v>
      </c>
      <c r="F135" s="99" t="s">
        <v>1758</v>
      </c>
      <c r="G135" s="121" t="s">
        <v>1632</v>
      </c>
    </row>
    <row r="136" spans="1:7" x14ac:dyDescent="0.35">
      <c r="A136" s="99" t="s">
        <v>1418</v>
      </c>
      <c r="B136" s="99">
        <v>90728065</v>
      </c>
      <c r="C136" s="99" t="str" cm="1">
        <f t="array" ref="C136">IFERROR(INDEX(#REF!, MATCH(1, (#REF! = B136) * (#REF! &lt;&gt; "Rejected") * (#REF! &lt;&gt; "Offboarded"), 0)), "")</f>
        <v/>
      </c>
      <c r="D136" s="99" t="s">
        <v>2019</v>
      </c>
      <c r="E136" s="99" t="s">
        <v>2020</v>
      </c>
      <c r="F136" s="99" t="s">
        <v>2021</v>
      </c>
      <c r="G136" s="121" t="s">
        <v>1632</v>
      </c>
    </row>
    <row r="137" spans="1:7" x14ac:dyDescent="0.35">
      <c r="A137" s="99" t="s">
        <v>1421</v>
      </c>
      <c r="B137" s="99">
        <v>90719927</v>
      </c>
      <c r="C137" s="99" t="str" cm="1">
        <f t="array" ref="C137">IFERROR(INDEX(#REF!, MATCH(1, (#REF! = B137) * (#REF! &lt;&gt; "Rejected") * (#REF! &lt;&gt; "Offboarded"), 0)), "")</f>
        <v/>
      </c>
      <c r="D137" s="99" t="s">
        <v>2022</v>
      </c>
      <c r="E137" s="99" t="s">
        <v>2023</v>
      </c>
      <c r="F137" s="99" t="s">
        <v>2024</v>
      </c>
      <c r="G137" s="121" t="s">
        <v>1632</v>
      </c>
    </row>
    <row r="138" spans="1:7" x14ac:dyDescent="0.35">
      <c r="A138" s="99" t="s">
        <v>1422</v>
      </c>
      <c r="B138" s="99">
        <v>90719925</v>
      </c>
      <c r="C138" s="99" t="str" cm="1">
        <f t="array" ref="C138">IFERROR(INDEX(#REF!, MATCH(1, (#REF! = B138) * (#REF! &lt;&gt; "Rejected") * (#REF! &lt;&gt; "Offboarded"), 0)), "")</f>
        <v/>
      </c>
      <c r="D138" s="99" t="s">
        <v>2025</v>
      </c>
      <c r="E138" s="99" t="s">
        <v>2026</v>
      </c>
      <c r="F138" s="99" t="s">
        <v>2027</v>
      </c>
      <c r="G138" s="121" t="s">
        <v>1632</v>
      </c>
    </row>
    <row r="139" spans="1:7" x14ac:dyDescent="0.35">
      <c r="A139" s="99" t="s">
        <v>1423</v>
      </c>
      <c r="B139" s="99">
        <v>90727250</v>
      </c>
      <c r="C139" s="99" t="str" cm="1">
        <f t="array" ref="C139">IFERROR(INDEX(#REF!, MATCH(1, (#REF! = B139) * (#REF! &lt;&gt; "Rejected") * (#REF! &lt;&gt; "Offboarded"), 0)), "")</f>
        <v/>
      </c>
      <c r="D139" s="99" t="s">
        <v>2028</v>
      </c>
      <c r="E139" s="99" t="s">
        <v>2029</v>
      </c>
      <c r="F139" s="99" t="s">
        <v>2030</v>
      </c>
      <c r="G139" s="121" t="s">
        <v>1632</v>
      </c>
    </row>
    <row r="140" spans="1:7" x14ac:dyDescent="0.35">
      <c r="A140" s="99" t="s">
        <v>1424</v>
      </c>
      <c r="B140" s="99">
        <v>90724613</v>
      </c>
      <c r="C140" s="99" t="str" cm="1">
        <f t="array" ref="C140">IFERROR(INDEX(#REF!, MATCH(1, (#REF! = B140) * (#REF! &lt;&gt; "Rejected") * (#REF! &lt;&gt; "Offboarded"), 0)), "")</f>
        <v/>
      </c>
      <c r="D140" s="99" t="s">
        <v>2031</v>
      </c>
      <c r="E140" s="99" t="s">
        <v>2032</v>
      </c>
      <c r="F140" s="99" t="s">
        <v>2033</v>
      </c>
      <c r="G140" s="121" t="s">
        <v>1632</v>
      </c>
    </row>
    <row r="141" spans="1:7" x14ac:dyDescent="0.35">
      <c r="A141" s="99" t="s">
        <v>1426</v>
      </c>
      <c r="B141" s="99">
        <v>90727179</v>
      </c>
      <c r="C141" s="99" t="str" cm="1">
        <f t="array" ref="C141">IFERROR(INDEX(#REF!, MATCH(1, (#REF! = B141) * (#REF! &lt;&gt; "Rejected") * (#REF! &lt;&gt; "Offboarded"), 0)), "")</f>
        <v/>
      </c>
      <c r="D141" s="99" t="s">
        <v>2034</v>
      </c>
      <c r="E141" s="99" t="s">
        <v>1652</v>
      </c>
      <c r="F141" s="99" t="s">
        <v>2035</v>
      </c>
      <c r="G141" s="121" t="s">
        <v>1632</v>
      </c>
    </row>
    <row r="142" spans="1:7" x14ac:dyDescent="0.35">
      <c r="A142" s="99" t="s">
        <v>2036</v>
      </c>
      <c r="B142" s="99">
        <v>90719817</v>
      </c>
      <c r="C142" s="99" t="str" cm="1">
        <f t="array" ref="C142">IFERROR(INDEX(#REF!, MATCH(1, (#REF! = B142) * (#REF! &lt;&gt; "Rejected") * (#REF! &lt;&gt; "Offboarded"), 0)), "")</f>
        <v/>
      </c>
      <c r="D142" s="99" t="s">
        <v>2037</v>
      </c>
      <c r="E142" s="99" t="s">
        <v>2038</v>
      </c>
      <c r="F142" s="99" t="s">
        <v>2039</v>
      </c>
      <c r="G142" s="121" t="s">
        <v>1632</v>
      </c>
    </row>
    <row r="143" spans="1:7" x14ac:dyDescent="0.35">
      <c r="A143" s="99" t="s">
        <v>2040</v>
      </c>
      <c r="B143" s="99">
        <v>90719685</v>
      </c>
      <c r="C143" s="99" t="str" cm="1">
        <f t="array" ref="C143">IFERROR(INDEX(#REF!, MATCH(1, (#REF! = B143) * (#REF! &lt;&gt; "Rejected") * (#REF! &lt;&gt; "Offboarded"), 0)), "")</f>
        <v/>
      </c>
      <c r="D143" s="99" t="s">
        <v>2041</v>
      </c>
      <c r="E143" s="99" t="s">
        <v>2042</v>
      </c>
      <c r="F143" s="99" t="s">
        <v>2043</v>
      </c>
      <c r="G143" s="121" t="s">
        <v>1632</v>
      </c>
    </row>
    <row r="144" spans="1:7" x14ac:dyDescent="0.35">
      <c r="A144" s="99" t="s">
        <v>2044</v>
      </c>
      <c r="B144" s="99">
        <v>90719765</v>
      </c>
      <c r="C144" s="99" t="str" cm="1">
        <f t="array" ref="C144">IFERROR(INDEX(#REF!, MATCH(1, (#REF! = B144) * (#REF! &lt;&gt; "Rejected") * (#REF! &lt;&gt; "Offboarded"), 0)), "")</f>
        <v/>
      </c>
      <c r="D144" s="99" t="s">
        <v>2045</v>
      </c>
      <c r="E144" s="99" t="s">
        <v>2042</v>
      </c>
      <c r="F144" s="99" t="s">
        <v>1727</v>
      </c>
      <c r="G144" s="121" t="s">
        <v>1632</v>
      </c>
    </row>
    <row r="145" spans="1:7" x14ac:dyDescent="0.35">
      <c r="A145" s="99" t="s">
        <v>2046</v>
      </c>
      <c r="B145" s="99">
        <v>90724626</v>
      </c>
      <c r="C145" s="99" t="str" cm="1">
        <f t="array" ref="C145">IFERROR(INDEX(#REF!, MATCH(1, (#REF! = B145) * (#REF! &lt;&gt; "Rejected") * (#REF! &lt;&gt; "Offboarded"), 0)), "")</f>
        <v/>
      </c>
      <c r="D145" s="99" t="s">
        <v>2047</v>
      </c>
      <c r="E145" s="99" t="s">
        <v>2042</v>
      </c>
      <c r="F145" s="99" t="s">
        <v>2048</v>
      </c>
      <c r="G145" s="121" t="s">
        <v>1632</v>
      </c>
    </row>
    <row r="146" spans="1:7" x14ac:dyDescent="0.35">
      <c r="A146" s="99" t="s">
        <v>2049</v>
      </c>
      <c r="B146" s="99">
        <v>90719845</v>
      </c>
      <c r="C146" s="99" t="str" cm="1">
        <f t="array" ref="C146">IFERROR(INDEX(#REF!, MATCH(1, (#REF! = B146) * (#REF! &lt;&gt; "Rejected") * (#REF! &lt;&gt; "Offboarded"), 0)), "")</f>
        <v/>
      </c>
      <c r="D146" s="99" t="s">
        <v>2050</v>
      </c>
      <c r="E146" s="99" t="s">
        <v>2042</v>
      </c>
      <c r="F146" s="99" t="s">
        <v>2051</v>
      </c>
      <c r="G146" s="121" t="s">
        <v>1632</v>
      </c>
    </row>
    <row r="147" spans="1:7" x14ac:dyDescent="0.35">
      <c r="A147" s="99" t="s">
        <v>1428</v>
      </c>
      <c r="B147" s="99">
        <v>90719604</v>
      </c>
      <c r="C147" s="99" t="str" cm="1">
        <f t="array" ref="C147">IFERROR(INDEX(#REF!, MATCH(1, (#REF! = B147) * (#REF! &lt;&gt; "Rejected") * (#REF! &lt;&gt; "Offboarded"), 0)), "")</f>
        <v/>
      </c>
      <c r="D147" s="99" t="s">
        <v>2052</v>
      </c>
      <c r="E147" s="99" t="s">
        <v>2042</v>
      </c>
      <c r="F147" s="99" t="s">
        <v>2053</v>
      </c>
      <c r="G147" s="121" t="s">
        <v>1632</v>
      </c>
    </row>
    <row r="148" spans="1:7" x14ac:dyDescent="0.35">
      <c r="A148" s="99" t="s">
        <v>1430</v>
      </c>
      <c r="B148" s="99">
        <v>90719900</v>
      </c>
      <c r="C148" s="99" t="str" cm="1">
        <f t="array" ref="C148">IFERROR(INDEX(#REF!, MATCH(1, (#REF! = B148) * (#REF! &lt;&gt; "Rejected") * (#REF! &lt;&gt; "Offboarded"), 0)), "")</f>
        <v/>
      </c>
      <c r="D148" s="99" t="s">
        <v>2054</v>
      </c>
      <c r="E148" s="99" t="s">
        <v>2042</v>
      </c>
      <c r="F148" s="99" t="s">
        <v>2055</v>
      </c>
      <c r="G148" s="121" t="s">
        <v>1632</v>
      </c>
    </row>
    <row r="149" spans="1:7" x14ac:dyDescent="0.35">
      <c r="A149" s="99" t="s">
        <v>1431</v>
      </c>
      <c r="B149" s="99">
        <v>90719908</v>
      </c>
      <c r="C149" s="99" t="str" cm="1">
        <f t="array" ref="C149">IFERROR(INDEX(#REF!, MATCH(1, (#REF! = B149) * (#REF! &lt;&gt; "Rejected") * (#REF! &lt;&gt; "Offboarded"), 0)), "")</f>
        <v/>
      </c>
      <c r="D149" s="99" t="s">
        <v>2056</v>
      </c>
      <c r="E149" s="99" t="s">
        <v>2057</v>
      </c>
      <c r="F149" s="99" t="s">
        <v>2058</v>
      </c>
      <c r="G149" s="121" t="s">
        <v>1632</v>
      </c>
    </row>
    <row r="150" spans="1:7" x14ac:dyDescent="0.35">
      <c r="A150" s="99" t="s">
        <v>1433</v>
      </c>
      <c r="B150" s="99">
        <v>90719627</v>
      </c>
      <c r="C150" s="99" t="str" cm="1">
        <f t="array" ref="C150">IFERROR(INDEX(#REF!, MATCH(1, (#REF! = B150) * (#REF! &lt;&gt; "Rejected") * (#REF! &lt;&gt; "Offboarded"), 0)), "")</f>
        <v/>
      </c>
      <c r="D150" s="99" t="s">
        <v>2059</v>
      </c>
      <c r="E150" s="99" t="s">
        <v>2060</v>
      </c>
      <c r="F150" s="99" t="s">
        <v>2061</v>
      </c>
      <c r="G150" s="121" t="s">
        <v>1632</v>
      </c>
    </row>
    <row r="151" spans="1:7" x14ac:dyDescent="0.35">
      <c r="A151" s="99" t="s">
        <v>1435</v>
      </c>
      <c r="B151" s="99">
        <v>90719910</v>
      </c>
      <c r="C151" s="99" t="str" cm="1">
        <f t="array" ref="C151">IFERROR(INDEX(#REF!, MATCH(1, (#REF! = B151) * (#REF! &lt;&gt; "Rejected") * (#REF! &lt;&gt; "Offboarded"), 0)), "")</f>
        <v/>
      </c>
      <c r="D151" s="99" t="s">
        <v>2062</v>
      </c>
      <c r="E151" s="99" t="s">
        <v>2063</v>
      </c>
      <c r="F151" s="99" t="s">
        <v>2064</v>
      </c>
      <c r="G151" s="121" t="s">
        <v>1632</v>
      </c>
    </row>
    <row r="152" spans="1:7" x14ac:dyDescent="0.35">
      <c r="A152" s="99" t="s">
        <v>2065</v>
      </c>
      <c r="B152" s="99">
        <v>90719742</v>
      </c>
      <c r="C152" s="99" t="str" cm="1">
        <f t="array" ref="C152">IFERROR(INDEX(#REF!, MATCH(1, (#REF! = B152) * (#REF! &lt;&gt; "Rejected") * (#REF! &lt;&gt; "Offboarded"), 0)), "")</f>
        <v/>
      </c>
      <c r="D152" s="99" t="s">
        <v>2066</v>
      </c>
      <c r="E152" s="99" t="s">
        <v>2067</v>
      </c>
      <c r="F152" s="99" t="s">
        <v>2068</v>
      </c>
      <c r="G152" s="121" t="s">
        <v>1632</v>
      </c>
    </row>
    <row r="153" spans="1:7" x14ac:dyDescent="0.35">
      <c r="A153" s="99" t="s">
        <v>1438</v>
      </c>
      <c r="B153" s="99">
        <v>90727177</v>
      </c>
      <c r="C153" s="99" t="str" cm="1">
        <f t="array" ref="C153">IFERROR(INDEX(#REF!, MATCH(1, (#REF! = B153) * (#REF! &lt;&gt; "Rejected") * (#REF! &lt;&gt; "Offboarded"), 0)), "")</f>
        <v/>
      </c>
      <c r="D153" s="99" t="s">
        <v>2069</v>
      </c>
      <c r="E153" s="99" t="s">
        <v>2070</v>
      </c>
      <c r="F153" s="99" t="s">
        <v>2071</v>
      </c>
      <c r="G153" s="121" t="s">
        <v>1632</v>
      </c>
    </row>
    <row r="154" spans="1:7" x14ac:dyDescent="0.35">
      <c r="A154" s="99" t="s">
        <v>1440</v>
      </c>
      <c r="B154" s="99">
        <v>90719926</v>
      </c>
      <c r="C154" s="99" t="str" cm="1">
        <f t="array" ref="C154">IFERROR(INDEX(#REF!, MATCH(1, (#REF! = B154) * (#REF! &lt;&gt; "Rejected") * (#REF! &lt;&gt; "Offboarded"), 0)), "")</f>
        <v/>
      </c>
      <c r="D154" s="99" t="s">
        <v>2072</v>
      </c>
      <c r="E154" s="99" t="s">
        <v>2073</v>
      </c>
      <c r="F154" s="99" t="s">
        <v>2074</v>
      </c>
      <c r="G154" s="121" t="s">
        <v>1632</v>
      </c>
    </row>
    <row r="155" spans="1:7" x14ac:dyDescent="0.35">
      <c r="A155" s="99" t="s">
        <v>2075</v>
      </c>
      <c r="B155" s="99">
        <v>90719846</v>
      </c>
      <c r="C155" s="99" t="str" cm="1">
        <f t="array" ref="C155">IFERROR(INDEX(#REF!, MATCH(1, (#REF! = B155) * (#REF! &lt;&gt; "Rejected") * (#REF! &lt;&gt; "Offboarded"), 0)), "")</f>
        <v/>
      </c>
      <c r="D155" s="99" t="s">
        <v>2076</v>
      </c>
      <c r="E155" s="99" t="s">
        <v>2077</v>
      </c>
      <c r="F155" s="99" t="s">
        <v>2078</v>
      </c>
      <c r="G155" s="121" t="s">
        <v>1632</v>
      </c>
    </row>
    <row r="156" spans="1:7" x14ac:dyDescent="0.35">
      <c r="A156" s="99" t="s">
        <v>1447</v>
      </c>
      <c r="B156" s="99">
        <v>90719949</v>
      </c>
      <c r="C156" s="99" t="str" cm="1">
        <f t="array" ref="C156">IFERROR(INDEX(#REF!, MATCH(1, (#REF! = B156) * (#REF! &lt;&gt; "Rejected") * (#REF! &lt;&gt; "Offboarded"), 0)), "")</f>
        <v/>
      </c>
      <c r="D156" s="99" t="s">
        <v>2079</v>
      </c>
      <c r="E156" s="99" t="s">
        <v>2080</v>
      </c>
      <c r="F156" s="99" t="s">
        <v>2081</v>
      </c>
      <c r="G156" s="121" t="s">
        <v>1632</v>
      </c>
    </row>
    <row r="157" spans="1:7" x14ac:dyDescent="0.35">
      <c r="A157" s="99" t="s">
        <v>1454</v>
      </c>
      <c r="B157" s="99">
        <v>90719899</v>
      </c>
      <c r="C157" s="99" t="str" cm="1">
        <f t="array" ref="C157">IFERROR(INDEX(#REF!, MATCH(1, (#REF! = B157) * (#REF! &lt;&gt; "Rejected") * (#REF! &lt;&gt; "Offboarded"), 0)), "")</f>
        <v/>
      </c>
      <c r="D157" s="99" t="s">
        <v>2082</v>
      </c>
      <c r="E157" s="99" t="s">
        <v>2083</v>
      </c>
      <c r="F157" s="99" t="s">
        <v>1697</v>
      </c>
      <c r="G157" s="121" t="s">
        <v>1632</v>
      </c>
    </row>
    <row r="158" spans="1:7" x14ac:dyDescent="0.35">
      <c r="A158" s="99" t="s">
        <v>2084</v>
      </c>
      <c r="B158" s="99">
        <v>90719717</v>
      </c>
      <c r="C158" s="99" t="str" cm="1">
        <f t="array" ref="C158">IFERROR(INDEX(#REF!, MATCH(1, (#REF! = B158) * (#REF! &lt;&gt; "Rejected") * (#REF! &lt;&gt; "Offboarded"), 0)), "")</f>
        <v/>
      </c>
      <c r="D158" s="99" t="s">
        <v>2085</v>
      </c>
      <c r="E158" s="99" t="s">
        <v>2086</v>
      </c>
      <c r="F158" s="99" t="s">
        <v>2087</v>
      </c>
      <c r="G158" s="121" t="s">
        <v>1632</v>
      </c>
    </row>
    <row r="159" spans="1:7" x14ac:dyDescent="0.35">
      <c r="A159" s="99" t="s">
        <v>2088</v>
      </c>
      <c r="B159" s="99">
        <v>90719872</v>
      </c>
      <c r="C159" s="99" t="str" cm="1">
        <f t="array" ref="C159">IFERROR(INDEX(#REF!, MATCH(1, (#REF! = B159) * (#REF! &lt;&gt; "Rejected") * (#REF! &lt;&gt; "Offboarded"), 0)), "")</f>
        <v/>
      </c>
      <c r="D159" s="99" t="s">
        <v>2089</v>
      </c>
      <c r="E159" s="99" t="s">
        <v>2090</v>
      </c>
      <c r="F159" s="99" t="s">
        <v>2091</v>
      </c>
      <c r="G159" s="121" t="s">
        <v>1632</v>
      </c>
    </row>
    <row r="160" spans="1:7" x14ac:dyDescent="0.35">
      <c r="A160" s="99" t="s">
        <v>1457</v>
      </c>
      <c r="B160" s="99">
        <v>90719641</v>
      </c>
      <c r="C160" s="99" t="str" cm="1">
        <f t="array" ref="C160">IFERROR(INDEX(#REF!, MATCH(1, (#REF! = B160) * (#REF! &lt;&gt; "Rejected") * (#REF! &lt;&gt; "Offboarded"), 0)), "")</f>
        <v/>
      </c>
      <c r="D160" s="99" t="s">
        <v>2092</v>
      </c>
      <c r="E160" s="99" t="s">
        <v>2093</v>
      </c>
      <c r="F160" s="99" t="s">
        <v>1758</v>
      </c>
      <c r="G160" s="121" t="s">
        <v>1632</v>
      </c>
    </row>
    <row r="161" spans="1:7" x14ac:dyDescent="0.35">
      <c r="A161" s="99" t="s">
        <v>2094</v>
      </c>
      <c r="B161" s="99">
        <v>90719804</v>
      </c>
      <c r="C161" s="99" t="str" cm="1">
        <f t="array" ref="C161">IFERROR(INDEX(#REF!, MATCH(1, (#REF! = B161) * (#REF! &lt;&gt; "Rejected") * (#REF! &lt;&gt; "Offboarded"), 0)), "")</f>
        <v/>
      </c>
      <c r="D161" s="99" t="s">
        <v>2095</v>
      </c>
      <c r="E161" s="99" t="s">
        <v>2096</v>
      </c>
      <c r="F161" s="99" t="s">
        <v>1639</v>
      </c>
      <c r="G161" s="121" t="s">
        <v>1632</v>
      </c>
    </row>
    <row r="162" spans="1:7" x14ac:dyDescent="0.35">
      <c r="A162" s="99" t="s">
        <v>1460</v>
      </c>
      <c r="B162" s="99">
        <v>90727176</v>
      </c>
      <c r="C162" s="99" t="str" cm="1">
        <f t="array" ref="C162">IFERROR(INDEX(#REF!, MATCH(1, (#REF! = B162) * (#REF! &lt;&gt; "Rejected") * (#REF! &lt;&gt; "Offboarded"), 0)), "")</f>
        <v/>
      </c>
      <c r="D162" s="99" t="s">
        <v>2097</v>
      </c>
      <c r="E162" s="99" t="s">
        <v>2098</v>
      </c>
      <c r="F162" s="99" t="s">
        <v>2099</v>
      </c>
      <c r="G162" s="121" t="s">
        <v>1632</v>
      </c>
    </row>
    <row r="163" spans="1:7" x14ac:dyDescent="0.35">
      <c r="A163" s="99" t="s">
        <v>1463</v>
      </c>
      <c r="B163" s="99">
        <v>90724651</v>
      </c>
      <c r="C163" s="99" t="str" cm="1">
        <f t="array" ref="C163">IFERROR(INDEX(#REF!, MATCH(1, (#REF! = B163) * (#REF! &lt;&gt; "Rejected") * (#REF! &lt;&gt; "Offboarded"), 0)), "")</f>
        <v/>
      </c>
      <c r="D163" s="99" t="s">
        <v>2100</v>
      </c>
      <c r="E163" s="99" t="s">
        <v>2098</v>
      </c>
      <c r="F163" s="99" t="s">
        <v>2101</v>
      </c>
      <c r="G163" s="121" t="s">
        <v>1632</v>
      </c>
    </row>
    <row r="164" spans="1:7" x14ac:dyDescent="0.35">
      <c r="A164" s="99" t="s">
        <v>1464</v>
      </c>
      <c r="B164" s="99">
        <v>90724646</v>
      </c>
      <c r="C164" s="99" t="str" cm="1">
        <f t="array" ref="C164">IFERROR(INDEX(#REF!, MATCH(1, (#REF! = B164) * (#REF! &lt;&gt; "Rejected") * (#REF! &lt;&gt; "Offboarded"), 0)), "")</f>
        <v/>
      </c>
      <c r="D164" s="99" t="s">
        <v>2102</v>
      </c>
      <c r="E164" s="99" t="s">
        <v>2098</v>
      </c>
      <c r="F164" s="99" t="s">
        <v>2103</v>
      </c>
      <c r="G164" s="121" t="s">
        <v>1632</v>
      </c>
    </row>
    <row r="165" spans="1:7" x14ac:dyDescent="0.35">
      <c r="A165" s="99" t="s">
        <v>1466</v>
      </c>
      <c r="B165" s="99">
        <v>90724656</v>
      </c>
      <c r="C165" s="99" t="str" cm="1">
        <f t="array" ref="C165">IFERROR(INDEX(#REF!, MATCH(1, (#REF! = B165) * (#REF! &lt;&gt; "Rejected") * (#REF! &lt;&gt; "Offboarded"), 0)), "")</f>
        <v/>
      </c>
      <c r="D165" s="99" t="s">
        <v>2104</v>
      </c>
      <c r="E165" s="99" t="s">
        <v>2105</v>
      </c>
      <c r="F165" s="99" t="s">
        <v>2106</v>
      </c>
      <c r="G165" s="121" t="s">
        <v>1632</v>
      </c>
    </row>
    <row r="166" spans="1:7" x14ac:dyDescent="0.35">
      <c r="A166" s="99" t="s">
        <v>1468</v>
      </c>
      <c r="B166" s="99">
        <v>90719879</v>
      </c>
      <c r="C166" s="99" t="str" cm="1">
        <f t="array" ref="C166">IFERROR(INDEX(#REF!, MATCH(1, (#REF! = B166) * (#REF! &lt;&gt; "Rejected") * (#REF! &lt;&gt; "Offboarded"), 0)), "")</f>
        <v/>
      </c>
      <c r="D166" s="99" t="s">
        <v>2107</v>
      </c>
      <c r="E166" s="99" t="s">
        <v>2108</v>
      </c>
      <c r="F166" s="99" t="s">
        <v>1893</v>
      </c>
      <c r="G166" s="121" t="s">
        <v>1632</v>
      </c>
    </row>
    <row r="167" spans="1:7" x14ac:dyDescent="0.35">
      <c r="A167" s="99" t="s">
        <v>1469</v>
      </c>
      <c r="B167" s="99">
        <v>90719913</v>
      </c>
      <c r="C167" s="99" t="str" cm="1">
        <f t="array" ref="C167">IFERROR(INDEX(#REF!, MATCH(1, (#REF! = B167) * (#REF! &lt;&gt; "Rejected") * (#REF! &lt;&gt; "Offboarded"), 0)), "")</f>
        <v/>
      </c>
      <c r="D167" s="99" t="s">
        <v>2109</v>
      </c>
      <c r="E167" s="99" t="s">
        <v>2110</v>
      </c>
      <c r="F167" s="99" t="s">
        <v>2111</v>
      </c>
      <c r="G167" s="121" t="s">
        <v>1632</v>
      </c>
    </row>
    <row r="168" spans="1:7" x14ac:dyDescent="0.35">
      <c r="A168" s="99" t="s">
        <v>2112</v>
      </c>
      <c r="B168" s="99">
        <v>90719562</v>
      </c>
      <c r="C168" s="99" t="str" cm="1">
        <f t="array" ref="C168">IFERROR(INDEX(#REF!, MATCH(1, (#REF! = B168) * (#REF! &lt;&gt; "Rejected") * (#REF! &lt;&gt; "Offboarded"), 0)), "")</f>
        <v/>
      </c>
      <c r="D168" s="99" t="s">
        <v>2113</v>
      </c>
      <c r="E168" s="99" t="s">
        <v>2114</v>
      </c>
      <c r="F168" s="99" t="s">
        <v>1805</v>
      </c>
      <c r="G168" s="121" t="s">
        <v>1632</v>
      </c>
    </row>
    <row r="169" spans="1:7" x14ac:dyDescent="0.35">
      <c r="A169" s="99" t="s">
        <v>1472</v>
      </c>
      <c r="B169" s="99">
        <v>90719886</v>
      </c>
      <c r="C169" s="99" t="str" cm="1">
        <f t="array" ref="C169">IFERROR(INDEX(#REF!, MATCH(1, (#REF! = B169) * (#REF! &lt;&gt; "Rejected") * (#REF! &lt;&gt; "Offboarded"), 0)), "")</f>
        <v/>
      </c>
      <c r="D169" s="99" t="s">
        <v>2115</v>
      </c>
      <c r="E169" s="99" t="s">
        <v>2116</v>
      </c>
      <c r="F169" s="99" t="s">
        <v>2117</v>
      </c>
      <c r="G169" s="121" t="s">
        <v>1632</v>
      </c>
    </row>
    <row r="170" spans="1:7" x14ac:dyDescent="0.35">
      <c r="A170" s="99" t="s">
        <v>1474</v>
      </c>
      <c r="B170" s="99">
        <v>90719813</v>
      </c>
      <c r="C170" s="99" t="str" cm="1">
        <f t="array" ref="C170">IFERROR(INDEX(#REF!, MATCH(1, (#REF! = B170) * (#REF! &lt;&gt; "Rejected") * (#REF! &lt;&gt; "Offboarded"), 0)), "")</f>
        <v/>
      </c>
      <c r="D170" s="99" t="s">
        <v>2118</v>
      </c>
      <c r="E170" s="99" t="s">
        <v>2119</v>
      </c>
      <c r="F170" s="99" t="s">
        <v>2120</v>
      </c>
      <c r="G170" s="121" t="s">
        <v>1632</v>
      </c>
    </row>
    <row r="171" spans="1:7" x14ac:dyDescent="0.35">
      <c r="A171" s="99" t="s">
        <v>1475</v>
      </c>
      <c r="B171" s="99">
        <v>90719637</v>
      </c>
      <c r="C171" s="99" t="str" cm="1">
        <f t="array" ref="C171">IFERROR(INDEX(#REF!, MATCH(1, (#REF! = B171) * (#REF! &lt;&gt; "Rejected") * (#REF! &lt;&gt; "Offboarded"), 0)), "")</f>
        <v/>
      </c>
      <c r="D171" s="99" t="s">
        <v>2121</v>
      </c>
      <c r="E171" s="99" t="s">
        <v>2122</v>
      </c>
      <c r="F171" s="99" t="s">
        <v>1652</v>
      </c>
      <c r="G171" s="121" t="s">
        <v>1632</v>
      </c>
    </row>
    <row r="172" spans="1:7" x14ac:dyDescent="0.35">
      <c r="A172" s="99" t="s">
        <v>1476</v>
      </c>
      <c r="B172" s="99">
        <v>90719791</v>
      </c>
      <c r="C172" s="99" t="str" cm="1">
        <f t="array" ref="C172">IFERROR(INDEX(#REF!, MATCH(1, (#REF! = B172) * (#REF! &lt;&gt; "Rejected") * (#REF! &lt;&gt; "Offboarded"), 0)), "")</f>
        <v/>
      </c>
      <c r="D172" s="99" t="s">
        <v>2123</v>
      </c>
      <c r="E172" s="99" t="s">
        <v>2124</v>
      </c>
      <c r="F172" s="99" t="s">
        <v>2125</v>
      </c>
      <c r="G172" s="121" t="s">
        <v>1632</v>
      </c>
    </row>
    <row r="173" spans="1:7" x14ac:dyDescent="0.35">
      <c r="A173" s="99" t="s">
        <v>1477</v>
      </c>
      <c r="B173" s="99">
        <v>90719941</v>
      </c>
      <c r="C173" s="99" t="str" cm="1">
        <f t="array" ref="C173">IFERROR(INDEX(#REF!, MATCH(1, (#REF! = B173) * (#REF! &lt;&gt; "Rejected") * (#REF! &lt;&gt; "Offboarded"), 0)), "")</f>
        <v/>
      </c>
      <c r="D173" s="99" t="s">
        <v>2126</v>
      </c>
      <c r="E173" s="99" t="s">
        <v>2127</v>
      </c>
      <c r="F173" s="99" t="s">
        <v>1652</v>
      </c>
      <c r="G173" s="121" t="s">
        <v>1632</v>
      </c>
    </row>
    <row r="174" spans="1:7" x14ac:dyDescent="0.35">
      <c r="A174" s="99" t="s">
        <v>1481</v>
      </c>
      <c r="B174" s="99">
        <v>90719751</v>
      </c>
      <c r="C174" s="99" t="str" cm="1">
        <f t="array" ref="C174">IFERROR(INDEX(#REF!, MATCH(1, (#REF! = B174) * (#REF! &lt;&gt; "Rejected") * (#REF! &lt;&gt; "Offboarded"), 0)), "")</f>
        <v/>
      </c>
      <c r="D174" s="99" t="s">
        <v>2128</v>
      </c>
      <c r="E174" s="99" t="s">
        <v>2129</v>
      </c>
      <c r="F174" s="99" t="s">
        <v>2130</v>
      </c>
      <c r="G174" s="121" t="s">
        <v>1632</v>
      </c>
    </row>
    <row r="175" spans="1:7" x14ac:dyDescent="0.35">
      <c r="A175" s="99" t="s">
        <v>1483</v>
      </c>
      <c r="B175" s="99">
        <v>90719775</v>
      </c>
      <c r="C175" s="99" t="str" cm="1">
        <f t="array" ref="C175">IFERROR(INDEX(#REF!, MATCH(1, (#REF! = B175) * (#REF! &lt;&gt; "Rejected") * (#REF! &lt;&gt; "Offboarded"), 0)), "")</f>
        <v/>
      </c>
      <c r="D175" s="99" t="s">
        <v>2131</v>
      </c>
      <c r="E175" s="99" t="s">
        <v>2132</v>
      </c>
      <c r="F175" s="99" t="s">
        <v>2133</v>
      </c>
      <c r="G175" s="121" t="s">
        <v>1632</v>
      </c>
    </row>
    <row r="176" spans="1:7" x14ac:dyDescent="0.35">
      <c r="A176" s="99" t="s">
        <v>1484</v>
      </c>
      <c r="B176" s="99">
        <v>90719816</v>
      </c>
      <c r="C176" s="99" t="str" cm="1">
        <f t="array" ref="C176">IFERROR(INDEX(#REF!, MATCH(1, (#REF! = B176) * (#REF! &lt;&gt; "Rejected") * (#REF! &lt;&gt; "Offboarded"), 0)), "")</f>
        <v/>
      </c>
      <c r="D176" s="99" t="s">
        <v>2134</v>
      </c>
      <c r="E176" s="99" t="s">
        <v>2135</v>
      </c>
      <c r="F176" s="99" t="s">
        <v>2136</v>
      </c>
      <c r="G176" s="121" t="s">
        <v>1632</v>
      </c>
    </row>
    <row r="177" spans="1:7" x14ac:dyDescent="0.35">
      <c r="A177" s="99" t="s">
        <v>1485</v>
      </c>
      <c r="B177" s="99">
        <v>90719920</v>
      </c>
      <c r="C177" s="99" t="str" cm="1">
        <f t="array" ref="C177">IFERROR(INDEX(#REF!, MATCH(1, (#REF! = B177) * (#REF! &lt;&gt; "Rejected") * (#REF! &lt;&gt; "Offboarded"), 0)), "")</f>
        <v/>
      </c>
      <c r="D177" s="99" t="s">
        <v>2137</v>
      </c>
      <c r="E177" s="99" t="s">
        <v>2138</v>
      </c>
      <c r="F177" s="99" t="s">
        <v>2139</v>
      </c>
      <c r="G177" s="121" t="s">
        <v>1632</v>
      </c>
    </row>
    <row r="178" spans="1:7" x14ac:dyDescent="0.35">
      <c r="A178" s="99" t="s">
        <v>1486</v>
      </c>
      <c r="B178" s="99">
        <v>90724670</v>
      </c>
      <c r="C178" s="99" t="str" cm="1">
        <f t="array" ref="C178">IFERROR(INDEX(#REF!, MATCH(1, (#REF! = B178) * (#REF! &lt;&gt; "Rejected") * (#REF! &lt;&gt; "Offboarded"), 0)), "")</f>
        <v/>
      </c>
      <c r="D178" s="99" t="s">
        <v>2140</v>
      </c>
      <c r="E178" s="99" t="s">
        <v>2141</v>
      </c>
      <c r="F178" s="99" t="s">
        <v>2142</v>
      </c>
      <c r="G178" s="121" t="s">
        <v>232</v>
      </c>
    </row>
    <row r="179" spans="1:7" x14ac:dyDescent="0.35">
      <c r="A179" s="99" t="s">
        <v>1487</v>
      </c>
      <c r="B179" s="99">
        <v>90719962</v>
      </c>
      <c r="C179" s="99" t="str" cm="1">
        <f t="array" ref="C179">IFERROR(INDEX(#REF!, MATCH(1, (#REF! = B179) * (#REF! &lt;&gt; "Rejected") * (#REF! &lt;&gt; "Offboarded"), 0)), "")</f>
        <v/>
      </c>
      <c r="D179" s="99" t="s">
        <v>2143</v>
      </c>
      <c r="E179" s="99" t="s">
        <v>2144</v>
      </c>
      <c r="F179" s="99" t="s">
        <v>2145</v>
      </c>
      <c r="G179" s="121" t="s">
        <v>1632</v>
      </c>
    </row>
    <row r="180" spans="1:7" x14ac:dyDescent="0.35">
      <c r="A180" s="99" t="s">
        <v>2146</v>
      </c>
      <c r="B180" s="99">
        <v>90719944</v>
      </c>
      <c r="C180" s="99" t="str" cm="1">
        <f t="array" ref="C180">IFERROR(INDEX(#REF!, MATCH(1, (#REF! = B180) * (#REF! &lt;&gt; "Rejected") * (#REF! &lt;&gt; "Offboarded"), 0)), "")</f>
        <v/>
      </c>
      <c r="D180" s="99" t="s">
        <v>2147</v>
      </c>
      <c r="E180" s="99" t="s">
        <v>2148</v>
      </c>
      <c r="F180" s="99" t="s">
        <v>1893</v>
      </c>
      <c r="G180" s="121" t="s">
        <v>1632</v>
      </c>
    </row>
    <row r="181" spans="1:7" x14ac:dyDescent="0.35">
      <c r="A181" s="99" t="s">
        <v>1496</v>
      </c>
      <c r="B181" s="99">
        <v>90719832</v>
      </c>
      <c r="C181" s="99" t="str" cm="1">
        <f t="array" ref="C181">IFERROR(INDEX(#REF!, MATCH(1, (#REF! = B181) * (#REF! &lt;&gt; "Rejected") * (#REF! &lt;&gt; "Offboarded"), 0)), "")</f>
        <v/>
      </c>
      <c r="D181" s="99" t="s">
        <v>2149</v>
      </c>
      <c r="E181" s="99" t="s">
        <v>2150</v>
      </c>
      <c r="F181" s="99" t="s">
        <v>1652</v>
      </c>
      <c r="G181" s="121" t="s">
        <v>1632</v>
      </c>
    </row>
    <row r="182" spans="1:7" x14ac:dyDescent="0.35">
      <c r="A182" s="99" t="s">
        <v>1497</v>
      </c>
      <c r="B182" s="99">
        <v>90719889</v>
      </c>
      <c r="C182" s="99" t="str" cm="1">
        <f t="array" ref="C182">IFERROR(INDEX(#REF!, MATCH(1, (#REF! = B182) * (#REF! &lt;&gt; "Rejected") * (#REF! &lt;&gt; "Offboarded"), 0)), "")</f>
        <v/>
      </c>
      <c r="D182" s="99" t="s">
        <v>2151</v>
      </c>
      <c r="E182" s="99" t="s">
        <v>2152</v>
      </c>
      <c r="F182" s="99" t="s">
        <v>2153</v>
      </c>
      <c r="G182" s="121" t="s">
        <v>1632</v>
      </c>
    </row>
    <row r="183" spans="1:7" x14ac:dyDescent="0.35">
      <c r="A183" s="99" t="s">
        <v>1498</v>
      </c>
      <c r="B183" s="99">
        <v>90719830</v>
      </c>
      <c r="C183" s="99" t="str" cm="1">
        <f t="array" ref="C183">IFERROR(INDEX(#REF!, MATCH(1, (#REF! = B183) * (#REF! &lt;&gt; "Rejected") * (#REF! &lt;&gt; "Offboarded"), 0)), "")</f>
        <v/>
      </c>
      <c r="D183" s="99" t="s">
        <v>2154</v>
      </c>
      <c r="E183" s="99" t="s">
        <v>2155</v>
      </c>
      <c r="F183" s="99" t="s">
        <v>1652</v>
      </c>
      <c r="G183" s="121" t="s">
        <v>232</v>
      </c>
    </row>
    <row r="184" spans="1:7" x14ac:dyDescent="0.35">
      <c r="A184" s="99" t="s">
        <v>1499</v>
      </c>
      <c r="B184" s="99">
        <v>90719923</v>
      </c>
      <c r="C184" s="99" t="str" cm="1">
        <f t="array" ref="C184">IFERROR(INDEX(#REF!, MATCH(1, (#REF! = B184) * (#REF! &lt;&gt; "Rejected") * (#REF! &lt;&gt; "Offboarded"), 0)), "")</f>
        <v/>
      </c>
      <c r="D184" s="99" t="s">
        <v>2156</v>
      </c>
      <c r="E184" s="99" t="s">
        <v>2157</v>
      </c>
      <c r="F184" s="99" t="s">
        <v>2158</v>
      </c>
      <c r="G184" s="121" t="s">
        <v>1632</v>
      </c>
    </row>
    <row r="185" spans="1:7" x14ac:dyDescent="0.35">
      <c r="A185" s="99" t="s">
        <v>1504</v>
      </c>
      <c r="B185" s="99">
        <v>90721957</v>
      </c>
      <c r="C185" s="99" t="str" cm="1">
        <f t="array" ref="C185">IFERROR(INDEX(#REF!, MATCH(1, (#REF! = B185) * (#REF! &lt;&gt; "Rejected") * (#REF! &lt;&gt; "Offboarded"), 0)), "")</f>
        <v/>
      </c>
      <c r="D185" s="99" t="s">
        <v>2159</v>
      </c>
      <c r="E185" s="99" t="s">
        <v>2160</v>
      </c>
      <c r="F185" s="99" t="s">
        <v>1946</v>
      </c>
      <c r="G185" s="121" t="s">
        <v>1632</v>
      </c>
    </row>
    <row r="186" spans="1:7" x14ac:dyDescent="0.35">
      <c r="A186" s="99" t="s">
        <v>1505</v>
      </c>
      <c r="B186" s="99">
        <v>90727174</v>
      </c>
      <c r="C186" s="99" t="str" cm="1">
        <f t="array" ref="C186">IFERROR(INDEX(#REF!, MATCH(1, (#REF! = B186) * (#REF! &lt;&gt; "Rejected") * (#REF! &lt;&gt; "Offboarded"), 0)), "")</f>
        <v/>
      </c>
      <c r="D186" s="99" t="s">
        <v>2161</v>
      </c>
      <c r="E186" s="99" t="s">
        <v>2162</v>
      </c>
      <c r="F186" s="99" t="s">
        <v>2162</v>
      </c>
      <c r="G186" s="121" t="s">
        <v>1632</v>
      </c>
    </row>
    <row r="187" spans="1:7" x14ac:dyDescent="0.35">
      <c r="A187" s="99" t="s">
        <v>1508</v>
      </c>
      <c r="B187" s="99">
        <v>90719963</v>
      </c>
      <c r="C187" s="99" t="str" cm="1">
        <f t="array" ref="C187">IFERROR(INDEX(#REF!, MATCH(1, (#REF! = B187) * (#REF! &lt;&gt; "Rejected") * (#REF! &lt;&gt; "Offboarded"), 0)), "")</f>
        <v/>
      </c>
      <c r="D187" s="99" t="s">
        <v>2163</v>
      </c>
      <c r="E187" s="99" t="s">
        <v>2164</v>
      </c>
      <c r="F187" s="99" t="s">
        <v>2165</v>
      </c>
      <c r="G187" s="121" t="s">
        <v>1632</v>
      </c>
    </row>
    <row r="188" spans="1:7" x14ac:dyDescent="0.35">
      <c r="A188" s="99" t="s">
        <v>1509</v>
      </c>
      <c r="B188" s="99">
        <v>90719653</v>
      </c>
      <c r="C188" s="99" t="str" cm="1">
        <f t="array" ref="C188">IFERROR(INDEX(#REF!, MATCH(1, (#REF! = B188) * (#REF! &lt;&gt; "Rejected") * (#REF! &lt;&gt; "Offboarded"), 0)), "")</f>
        <v/>
      </c>
      <c r="D188" s="99" t="s">
        <v>2166</v>
      </c>
      <c r="E188" s="99" t="s">
        <v>2167</v>
      </c>
      <c r="F188" s="99" t="s">
        <v>2168</v>
      </c>
      <c r="G188" s="121" t="s">
        <v>1632</v>
      </c>
    </row>
    <row r="189" spans="1:7" x14ac:dyDescent="0.35">
      <c r="A189" s="99" t="s">
        <v>2169</v>
      </c>
      <c r="B189" s="99">
        <v>90719607</v>
      </c>
      <c r="C189" s="99" t="str" cm="1">
        <f t="array" ref="C189">IFERROR(INDEX(#REF!, MATCH(1, (#REF! = B189) * (#REF! &lt;&gt; "Rejected") * (#REF! &lt;&gt; "Offboarded"), 0)), "")</f>
        <v/>
      </c>
      <c r="D189" s="99" t="s">
        <v>2170</v>
      </c>
      <c r="E189" s="99" t="s">
        <v>2171</v>
      </c>
      <c r="F189" s="99" t="s">
        <v>1672</v>
      </c>
      <c r="G189" s="121" t="s">
        <v>1632</v>
      </c>
    </row>
    <row r="190" spans="1:7" x14ac:dyDescent="0.35">
      <c r="A190" s="99" t="s">
        <v>1516</v>
      </c>
      <c r="B190" s="99">
        <v>90719871</v>
      </c>
      <c r="C190" s="99" t="str" cm="1">
        <f t="array" ref="C190">IFERROR(INDEX(#REF!, MATCH(1, (#REF! = B190) * (#REF! &lt;&gt; "Rejected") * (#REF! &lt;&gt; "Offboarded"), 0)), "")</f>
        <v/>
      </c>
      <c r="D190" s="99" t="s">
        <v>2172</v>
      </c>
      <c r="E190" s="99" t="s">
        <v>2173</v>
      </c>
      <c r="F190" s="99" t="s">
        <v>1790</v>
      </c>
      <c r="G190" s="121" t="s">
        <v>1632</v>
      </c>
    </row>
    <row r="191" spans="1:7" x14ac:dyDescent="0.35">
      <c r="A191" s="99" t="s">
        <v>1517</v>
      </c>
      <c r="B191" s="99">
        <v>90719921</v>
      </c>
      <c r="C191" s="99" t="str" cm="1">
        <f t="array" ref="C191">IFERROR(INDEX(#REF!, MATCH(1, (#REF! = B191) * (#REF! &lt;&gt; "Rejected") * (#REF! &lt;&gt; "Offboarded"), 0)), "")</f>
        <v/>
      </c>
      <c r="D191" s="99" t="s">
        <v>2174</v>
      </c>
      <c r="E191" s="99" t="s">
        <v>2175</v>
      </c>
      <c r="F191" s="99" t="s">
        <v>2175</v>
      </c>
      <c r="G191" s="121" t="s">
        <v>1632</v>
      </c>
    </row>
    <row r="192" spans="1:7" x14ac:dyDescent="0.35">
      <c r="A192" s="99" t="s">
        <v>1518</v>
      </c>
      <c r="B192" s="99">
        <v>90719805</v>
      </c>
      <c r="C192" s="99" t="str" cm="1">
        <f t="array" ref="C192">IFERROR(INDEX(#REF!, MATCH(1, (#REF! = B192) * (#REF! &lt;&gt; "Rejected") * (#REF! &lt;&gt; "Offboarded"), 0)), "")</f>
        <v/>
      </c>
      <c r="D192" s="99" t="s">
        <v>2176</v>
      </c>
      <c r="E192" s="99" t="s">
        <v>2177</v>
      </c>
      <c r="F192" s="99" t="s">
        <v>1675</v>
      </c>
      <c r="G192" s="121" t="s">
        <v>1632</v>
      </c>
    </row>
    <row r="193" spans="1:7" x14ac:dyDescent="0.35">
      <c r="A193" s="99" t="s">
        <v>2178</v>
      </c>
      <c r="B193" s="99">
        <v>90719748</v>
      </c>
      <c r="C193" s="99" t="str" cm="1">
        <f t="array" ref="C193">IFERROR(INDEX(#REF!, MATCH(1, (#REF! = B193) * (#REF! &lt;&gt; "Rejected") * (#REF! &lt;&gt; "Offboarded"), 0)), "")</f>
        <v/>
      </c>
      <c r="D193" s="99" t="s">
        <v>2179</v>
      </c>
      <c r="E193" s="99" t="s">
        <v>2180</v>
      </c>
      <c r="F193" s="99" t="s">
        <v>1719</v>
      </c>
      <c r="G193" s="121" t="s">
        <v>1632</v>
      </c>
    </row>
    <row r="194" spans="1:7" x14ac:dyDescent="0.35">
      <c r="A194" s="99" t="s">
        <v>1527</v>
      </c>
      <c r="B194" s="99">
        <v>90719768</v>
      </c>
      <c r="C194" s="99" t="str" cm="1">
        <f t="array" ref="C194">IFERROR(INDEX(#REF!, MATCH(1, (#REF! = B194) * (#REF! &lt;&gt; "Rejected") * (#REF! &lt;&gt; "Offboarded"), 0)), "")</f>
        <v/>
      </c>
      <c r="D194" s="99" t="s">
        <v>2181</v>
      </c>
      <c r="E194" s="99" t="s">
        <v>2182</v>
      </c>
      <c r="F194" s="99" t="s">
        <v>2183</v>
      </c>
      <c r="G194" s="121" t="s">
        <v>1632</v>
      </c>
    </row>
    <row r="195" spans="1:7" x14ac:dyDescent="0.35">
      <c r="A195" s="99" t="s">
        <v>1528</v>
      </c>
      <c r="B195" s="99">
        <v>90719584</v>
      </c>
      <c r="C195" s="99" t="str" cm="1">
        <f t="array" ref="C195">IFERROR(INDEX(#REF!, MATCH(1, (#REF! = B195) * (#REF! &lt;&gt; "Rejected") * (#REF! &lt;&gt; "Offboarded"), 0)), "")</f>
        <v/>
      </c>
      <c r="D195" s="99" t="s">
        <v>2184</v>
      </c>
      <c r="E195" s="99" t="s">
        <v>2185</v>
      </c>
      <c r="F195" s="99" t="s">
        <v>2186</v>
      </c>
      <c r="G195" s="121" t="s">
        <v>1632</v>
      </c>
    </row>
    <row r="196" spans="1:7" x14ac:dyDescent="0.35">
      <c r="A196" s="99" t="s">
        <v>1529</v>
      </c>
      <c r="B196" s="99">
        <v>90727329</v>
      </c>
      <c r="C196" s="99" t="str" cm="1">
        <f t="array" ref="C196">IFERROR(INDEX(#REF!, MATCH(1, (#REF! = B196) * (#REF! &lt;&gt; "Rejected") * (#REF! &lt;&gt; "Offboarded"), 0)), "")</f>
        <v/>
      </c>
      <c r="D196" s="99" t="s">
        <v>2187</v>
      </c>
      <c r="E196" s="99" t="s">
        <v>2185</v>
      </c>
      <c r="F196" s="99" t="s">
        <v>2027</v>
      </c>
      <c r="G196" s="121" t="s">
        <v>1632</v>
      </c>
    </row>
    <row r="197" spans="1:7" x14ac:dyDescent="0.35">
      <c r="A197" s="99" t="s">
        <v>2188</v>
      </c>
      <c r="B197" s="99">
        <v>90719843</v>
      </c>
      <c r="C197" s="99" t="str" cm="1">
        <f t="array" ref="C197">IFERROR(INDEX(#REF!, MATCH(1, (#REF! = B197) * (#REF! &lt;&gt; "Rejected") * (#REF! &lt;&gt; "Offboarded"), 0)), "")</f>
        <v/>
      </c>
      <c r="D197" s="99" t="s">
        <v>2189</v>
      </c>
      <c r="E197" s="99" t="s">
        <v>2190</v>
      </c>
      <c r="F197" s="99" t="s">
        <v>2191</v>
      </c>
      <c r="G197" s="121" t="s">
        <v>1632</v>
      </c>
    </row>
    <row r="198" spans="1:7" x14ac:dyDescent="0.35">
      <c r="A198" s="99" t="s">
        <v>1536</v>
      </c>
      <c r="B198" s="99">
        <v>90720239</v>
      </c>
      <c r="C198" s="99" t="str" cm="1">
        <f t="array" ref="C198">IFERROR(INDEX(#REF!, MATCH(1, (#REF! = B198) * (#REF! &lt;&gt; "Rejected") * (#REF! &lt;&gt; "Offboarded"), 0)), "")</f>
        <v/>
      </c>
      <c r="D198" s="99" t="s">
        <v>2192</v>
      </c>
      <c r="E198" s="99" t="s">
        <v>2193</v>
      </c>
      <c r="F198" s="99" t="s">
        <v>2194</v>
      </c>
      <c r="G198" s="121" t="s">
        <v>1632</v>
      </c>
    </row>
    <row r="199" spans="1:7" x14ac:dyDescent="0.35">
      <c r="A199" s="99" t="s">
        <v>1537</v>
      </c>
      <c r="B199" s="99">
        <v>90719935</v>
      </c>
      <c r="C199" s="99" t="str" cm="1">
        <f t="array" ref="C199">IFERROR(INDEX(#REF!, MATCH(1, (#REF! = B199) * (#REF! &lt;&gt; "Rejected") * (#REF! &lt;&gt; "Offboarded"), 0)), "")</f>
        <v/>
      </c>
      <c r="D199" s="99" t="s">
        <v>2195</v>
      </c>
      <c r="E199" s="99" t="s">
        <v>2196</v>
      </c>
      <c r="F199" s="99" t="s">
        <v>2197</v>
      </c>
      <c r="G199" s="121" t="s">
        <v>1632</v>
      </c>
    </row>
    <row r="200" spans="1:7" x14ac:dyDescent="0.35">
      <c r="A200" s="99" t="s">
        <v>1538</v>
      </c>
      <c r="B200" s="99">
        <v>90729512</v>
      </c>
      <c r="C200" s="99" t="str" cm="1">
        <f t="array" ref="C200">IFERROR(INDEX(#REF!, MATCH(1, (#REF! = B200) * (#REF! &lt;&gt; "Rejected") * (#REF! &lt;&gt; "Offboarded"), 0)), "")</f>
        <v/>
      </c>
      <c r="D200" s="99" t="s">
        <v>381</v>
      </c>
      <c r="E200" s="99" t="s">
        <v>2198</v>
      </c>
      <c r="F200" s="99" t="s">
        <v>2199</v>
      </c>
      <c r="G200" s="121" t="s">
        <v>1632</v>
      </c>
    </row>
    <row r="201" spans="1:7" x14ac:dyDescent="0.35">
      <c r="A201" s="99" t="s">
        <v>2200</v>
      </c>
      <c r="B201" s="99">
        <v>90730197</v>
      </c>
      <c r="C201" s="99" t="str" cm="1">
        <f t="array" ref="C201">IFERROR(INDEX(#REF!, MATCH(1, (#REF! = B201) * (#REF! &lt;&gt; "Rejected") * (#REF! &lt;&gt; "Offboarded"), 0)), "")</f>
        <v/>
      </c>
      <c r="D201" s="99" t="s">
        <v>2201</v>
      </c>
      <c r="E201" s="99" t="s">
        <v>2202</v>
      </c>
      <c r="F201" s="99" t="s">
        <v>2203</v>
      </c>
      <c r="G201" s="121" t="s">
        <v>2204</v>
      </c>
    </row>
    <row r="202" spans="1:7" x14ac:dyDescent="0.35">
      <c r="A202" s="99" t="s">
        <v>1187</v>
      </c>
      <c r="B202" s="99">
        <v>90719506</v>
      </c>
      <c r="C202" s="99" t="str" cm="1">
        <f t="array" ref="C202">IFERROR(INDEX(#REF!, MATCH(1, (#REF! = B202) * (#REF! &lt;&gt; "Rejected") * (#REF! &lt;&gt; "Offboarded"), 0)), "")</f>
        <v/>
      </c>
      <c r="D202" s="99" t="s">
        <v>2205</v>
      </c>
      <c r="E202" s="99" t="s">
        <v>1631</v>
      </c>
      <c r="F202" s="99" t="s">
        <v>2206</v>
      </c>
      <c r="G202" s="121" t="s">
        <v>2207</v>
      </c>
    </row>
    <row r="203" spans="1:7" x14ac:dyDescent="0.35">
      <c r="A203" s="99" t="s">
        <v>2208</v>
      </c>
      <c r="B203" s="99">
        <v>90719489</v>
      </c>
      <c r="C203" s="99" t="str" cm="1">
        <f t="array" ref="C203">IFERROR(INDEX(#REF!, MATCH(1, (#REF! = B203) * (#REF! &lt;&gt; "Rejected") * (#REF! &lt;&gt; "Offboarded"), 0)), "")</f>
        <v/>
      </c>
      <c r="D203" s="99" t="s">
        <v>2209</v>
      </c>
      <c r="E203" s="99" t="s">
        <v>2210</v>
      </c>
      <c r="F203" s="99" t="s">
        <v>1758</v>
      </c>
      <c r="G203" s="121" t="s">
        <v>2207</v>
      </c>
    </row>
    <row r="204" spans="1:7" x14ac:dyDescent="0.35">
      <c r="A204" s="99" t="s">
        <v>1191</v>
      </c>
      <c r="B204" s="99">
        <v>90719409</v>
      </c>
      <c r="C204" s="99" t="str" cm="1">
        <f t="array" ref="C204">IFERROR(INDEX(#REF!, MATCH(1, (#REF! = B204) * (#REF! &lt;&gt; "Rejected") * (#REF! &lt;&gt; "Offboarded"), 0)), "")</f>
        <v/>
      </c>
      <c r="D204" s="99" t="s">
        <v>2211</v>
      </c>
      <c r="E204" s="99" t="s">
        <v>1641</v>
      </c>
      <c r="F204" s="99" t="s">
        <v>2212</v>
      </c>
      <c r="G204" s="121" t="s">
        <v>232</v>
      </c>
    </row>
    <row r="205" spans="1:7" x14ac:dyDescent="0.35">
      <c r="A205" s="99" t="s">
        <v>2213</v>
      </c>
      <c r="B205" s="99">
        <v>90719450</v>
      </c>
      <c r="C205" s="99" t="str" cm="1">
        <f t="array" ref="C205">IFERROR(INDEX(#REF!, MATCH(1, (#REF! = B205) * (#REF! &lt;&gt; "Rejected") * (#REF! &lt;&gt; "Offboarded"), 0)), "")</f>
        <v/>
      </c>
      <c r="D205" s="99" t="s">
        <v>2214</v>
      </c>
      <c r="E205" s="99" t="s">
        <v>1641</v>
      </c>
      <c r="F205" s="99" t="s">
        <v>2215</v>
      </c>
      <c r="G205" s="121" t="s">
        <v>2207</v>
      </c>
    </row>
    <row r="206" spans="1:7" x14ac:dyDescent="0.35">
      <c r="A206" s="99" t="s">
        <v>1193</v>
      </c>
      <c r="B206" s="99">
        <v>90719536</v>
      </c>
      <c r="C206" s="99" t="str" cm="1">
        <f t="array" ref="C206">IFERROR(INDEX(#REF!, MATCH(1, (#REF! = B206) * (#REF! &lt;&gt; "Rejected") * (#REF! &lt;&gt; "Offboarded"), 0)), "")</f>
        <v/>
      </c>
      <c r="D206" s="99" t="s">
        <v>2216</v>
      </c>
      <c r="E206" s="99" t="s">
        <v>2217</v>
      </c>
      <c r="F206" s="99" t="s">
        <v>1805</v>
      </c>
      <c r="G206" s="121" t="s">
        <v>2207</v>
      </c>
    </row>
    <row r="207" spans="1:7" x14ac:dyDescent="0.35">
      <c r="A207" s="99" t="s">
        <v>2218</v>
      </c>
      <c r="B207" s="99">
        <v>90719537</v>
      </c>
      <c r="C207" s="99" t="str" cm="1">
        <f t="array" ref="C207">IFERROR(INDEX(#REF!, MATCH(1, (#REF! = B207) * (#REF! &lt;&gt; "Rejected") * (#REF! &lt;&gt; "Offboarded"), 0)), "")</f>
        <v/>
      </c>
      <c r="D207" s="99" t="s">
        <v>2219</v>
      </c>
      <c r="E207" s="99" t="s">
        <v>2220</v>
      </c>
      <c r="F207" s="99" t="s">
        <v>2221</v>
      </c>
      <c r="G207" s="121" t="s">
        <v>2207</v>
      </c>
    </row>
    <row r="208" spans="1:7" x14ac:dyDescent="0.35">
      <c r="A208" s="99" t="s">
        <v>2222</v>
      </c>
      <c r="B208" s="99">
        <v>90719723</v>
      </c>
      <c r="C208" s="99" t="str" cm="1">
        <f t="array" ref="C208">IFERROR(INDEX(#REF!, MATCH(1, (#REF! = B208) * (#REF! &lt;&gt; "Rejected") * (#REF! &lt;&gt; "Offboarded"), 0)), "")</f>
        <v/>
      </c>
      <c r="D208" s="99" t="s">
        <v>2223</v>
      </c>
      <c r="E208" s="99" t="s">
        <v>1657</v>
      </c>
      <c r="F208" s="99" t="s">
        <v>2224</v>
      </c>
      <c r="G208" s="121" t="s">
        <v>2207</v>
      </c>
    </row>
    <row r="209" spans="1:7" x14ac:dyDescent="0.35">
      <c r="A209" s="99" t="s">
        <v>2225</v>
      </c>
      <c r="B209" s="99">
        <v>90719786</v>
      </c>
      <c r="C209" s="99" t="str" cm="1">
        <f t="array" ref="C209">IFERROR(INDEX(#REF!, MATCH(1, (#REF! = B209) * (#REF! &lt;&gt; "Rejected") * (#REF! &lt;&gt; "Offboarded"), 0)), "")</f>
        <v/>
      </c>
      <c r="D209" s="99" t="s">
        <v>2226</v>
      </c>
      <c r="E209" s="99" t="s">
        <v>1665</v>
      </c>
      <c r="F209" s="99" t="s">
        <v>2227</v>
      </c>
      <c r="G209" s="121" t="s">
        <v>2207</v>
      </c>
    </row>
    <row r="210" spans="1:7" x14ac:dyDescent="0.35">
      <c r="A210" s="99" t="s">
        <v>2228</v>
      </c>
      <c r="B210" s="99">
        <v>90719605</v>
      </c>
      <c r="C210" s="99" t="str" cm="1">
        <f t="array" ref="C210">IFERROR(INDEX(#REF!, MATCH(1, (#REF! = B210) * (#REF! &lt;&gt; "Rejected") * (#REF! &lt;&gt; "Offboarded"), 0)), "")</f>
        <v/>
      </c>
      <c r="D210" s="99" t="s">
        <v>2229</v>
      </c>
      <c r="E210" s="99" t="s">
        <v>1665</v>
      </c>
      <c r="F210" s="99" t="s">
        <v>2230</v>
      </c>
      <c r="G210" s="121" t="s">
        <v>2207</v>
      </c>
    </row>
    <row r="211" spans="1:7" x14ac:dyDescent="0.35">
      <c r="A211" s="99" t="s">
        <v>1205</v>
      </c>
      <c r="B211" s="99">
        <v>90719350</v>
      </c>
      <c r="C211" s="99" t="str" cm="1">
        <f t="array" ref="C211">IFERROR(INDEX(#REF!, MATCH(1, (#REF! = B211) * (#REF! &lt;&gt; "Rejected") * (#REF! &lt;&gt; "Offboarded"), 0)), "")</f>
        <v/>
      </c>
      <c r="D211" s="99" t="s">
        <v>2231</v>
      </c>
      <c r="E211" s="99" t="s">
        <v>2232</v>
      </c>
      <c r="F211" s="99" t="s">
        <v>2233</v>
      </c>
      <c r="G211" s="121" t="s">
        <v>2207</v>
      </c>
    </row>
    <row r="212" spans="1:7" x14ac:dyDescent="0.35">
      <c r="A212" s="99" t="s">
        <v>1207</v>
      </c>
      <c r="B212" s="99">
        <v>90719796</v>
      </c>
      <c r="C212" s="99" t="str" cm="1">
        <f t="array" ref="C212">IFERROR(INDEX(#REF!, MATCH(1, (#REF! = B212) * (#REF! &lt;&gt; "Rejected") * (#REF! &lt;&gt; "Offboarded"), 0)), "")</f>
        <v/>
      </c>
      <c r="D212" s="99" t="s">
        <v>2234</v>
      </c>
      <c r="E212" s="99" t="s">
        <v>2235</v>
      </c>
      <c r="F212" s="99" t="s">
        <v>2236</v>
      </c>
      <c r="G212" s="121" t="s">
        <v>2207</v>
      </c>
    </row>
    <row r="213" spans="1:7" x14ac:dyDescent="0.35">
      <c r="A213" s="99" t="s">
        <v>1211</v>
      </c>
      <c r="B213" s="99">
        <v>90719649</v>
      </c>
      <c r="C213" s="99" t="str" cm="1">
        <f t="array" ref="C213">IFERROR(INDEX(#REF!, MATCH(1, (#REF! = B213) * (#REF! &lt;&gt; "Rejected") * (#REF! &lt;&gt; "Offboarded"), 0)), "")</f>
        <v/>
      </c>
      <c r="D213" s="99" t="s">
        <v>2237</v>
      </c>
      <c r="E213" s="99" t="s">
        <v>2238</v>
      </c>
      <c r="F213" s="99" t="s">
        <v>2239</v>
      </c>
      <c r="G213" s="121" t="s">
        <v>2207</v>
      </c>
    </row>
    <row r="214" spans="1:7" x14ac:dyDescent="0.35">
      <c r="A214" s="99" t="s">
        <v>1218</v>
      </c>
      <c r="B214" s="99">
        <v>90719532</v>
      </c>
      <c r="C214" s="99" t="str" cm="1">
        <f t="array" ref="C214">IFERROR(INDEX(#REF!, MATCH(1, (#REF! = B214) * (#REF! &lt;&gt; "Rejected") * (#REF! &lt;&gt; "Offboarded"), 0)), "")</f>
        <v/>
      </c>
      <c r="D214" s="99" t="s">
        <v>2240</v>
      </c>
      <c r="E214" s="99" t="s">
        <v>2241</v>
      </c>
      <c r="F214" s="99" t="s">
        <v>2013</v>
      </c>
      <c r="G214" s="121" t="s">
        <v>2207</v>
      </c>
    </row>
    <row r="215" spans="1:7" x14ac:dyDescent="0.35">
      <c r="A215" s="99" t="s">
        <v>1222</v>
      </c>
      <c r="B215" s="99">
        <v>90719387</v>
      </c>
      <c r="C215" s="99" t="str" cm="1">
        <f t="array" ref="C215">IFERROR(INDEX(#REF!, MATCH(1, (#REF! = B215) * (#REF! &lt;&gt; "Rejected") * (#REF! &lt;&gt; "Offboarded"), 0)), "")</f>
        <v/>
      </c>
      <c r="D215" s="99" t="s">
        <v>2242</v>
      </c>
      <c r="E215" s="99" t="s">
        <v>2243</v>
      </c>
      <c r="F215" s="99" t="s">
        <v>2244</v>
      </c>
      <c r="G215" s="121" t="s">
        <v>2207</v>
      </c>
    </row>
    <row r="216" spans="1:7" x14ac:dyDescent="0.35">
      <c r="A216" s="99" t="s">
        <v>1232</v>
      </c>
      <c r="B216" s="99">
        <v>90719449</v>
      </c>
      <c r="C216" s="99" t="str" cm="1">
        <f t="array" ref="C216">IFERROR(INDEX(#REF!, MATCH(1, (#REF! = B216) * (#REF! &lt;&gt; "Rejected") * (#REF! &lt;&gt; "Offboarded"), 0)), "")</f>
        <v/>
      </c>
      <c r="D216" s="99" t="s">
        <v>2245</v>
      </c>
      <c r="E216" s="99" t="s">
        <v>1729</v>
      </c>
      <c r="F216" s="99" t="s">
        <v>2246</v>
      </c>
      <c r="G216" s="121" t="s">
        <v>2207</v>
      </c>
    </row>
    <row r="217" spans="1:7" x14ac:dyDescent="0.35">
      <c r="A217" s="99" t="s">
        <v>1234</v>
      </c>
      <c r="B217" s="99">
        <v>90719535</v>
      </c>
      <c r="C217" s="99" t="str" cm="1">
        <f t="array" ref="C217">IFERROR(INDEX(#REF!, MATCH(1, (#REF! = B217) * (#REF! &lt;&gt; "Rejected") * (#REF! &lt;&gt; "Offboarded"), 0)), "")</f>
        <v/>
      </c>
      <c r="D217" s="99" t="s">
        <v>2247</v>
      </c>
      <c r="E217" s="99" t="s">
        <v>2248</v>
      </c>
      <c r="F217" s="99" t="s">
        <v>2249</v>
      </c>
      <c r="G217" s="121" t="s">
        <v>2207</v>
      </c>
    </row>
    <row r="218" spans="1:7" x14ac:dyDescent="0.35">
      <c r="A218" s="99" t="s">
        <v>1235</v>
      </c>
      <c r="B218" s="99">
        <v>90719600</v>
      </c>
      <c r="C218" s="99" t="str" cm="1">
        <f t="array" ref="C218">IFERROR(INDEX(#REF!, MATCH(1, (#REF! = B218) * (#REF! &lt;&gt; "Rejected") * (#REF! &lt;&gt; "Offboarded"), 0)), "")</f>
        <v/>
      </c>
      <c r="D218" s="99" t="s">
        <v>2250</v>
      </c>
      <c r="E218" s="99" t="s">
        <v>2251</v>
      </c>
      <c r="F218" s="99" t="s">
        <v>1639</v>
      </c>
      <c r="G218" s="121" t="s">
        <v>2207</v>
      </c>
    </row>
    <row r="219" spans="1:7" x14ac:dyDescent="0.35">
      <c r="A219" s="99" t="s">
        <v>1238</v>
      </c>
      <c r="B219" s="99">
        <v>90719513</v>
      </c>
      <c r="C219" s="99" t="str" cm="1">
        <f t="array" ref="C219">IFERROR(INDEX(#REF!, MATCH(1, (#REF! = B219) * (#REF! &lt;&gt; "Rejected") * (#REF! &lt;&gt; "Offboarded"), 0)), "")</f>
        <v/>
      </c>
      <c r="D219" s="99" t="s">
        <v>2252</v>
      </c>
      <c r="E219" s="99" t="s">
        <v>2253</v>
      </c>
      <c r="F219" s="99" t="s">
        <v>2168</v>
      </c>
      <c r="G219" s="121" t="s">
        <v>2207</v>
      </c>
    </row>
    <row r="220" spans="1:7" x14ac:dyDescent="0.35">
      <c r="A220" s="99" t="s">
        <v>2254</v>
      </c>
      <c r="B220" s="99">
        <v>90719612</v>
      </c>
      <c r="C220" s="99" t="str" cm="1">
        <f t="array" ref="C220">IFERROR(INDEX(#REF!, MATCH(1, (#REF! = B220) * (#REF! &lt;&gt; "Rejected") * (#REF! &lt;&gt; "Offboarded"), 0)), "")</f>
        <v/>
      </c>
      <c r="D220" s="99" t="s">
        <v>2255</v>
      </c>
      <c r="E220" s="99" t="s">
        <v>2256</v>
      </c>
      <c r="F220" s="99" t="s">
        <v>1790</v>
      </c>
      <c r="G220" s="121" t="s">
        <v>2207</v>
      </c>
    </row>
    <row r="221" spans="1:7" x14ac:dyDescent="0.35">
      <c r="A221" s="99" t="s">
        <v>1246</v>
      </c>
      <c r="B221" s="99">
        <v>90719664</v>
      </c>
      <c r="C221" s="99" t="str" cm="1">
        <f t="array" ref="C221">IFERROR(INDEX(#REF!, MATCH(1, (#REF! = B221) * (#REF! &lt;&gt; "Rejected") * (#REF! &lt;&gt; "Offboarded"), 0)), "")</f>
        <v/>
      </c>
      <c r="D221" s="99" t="s">
        <v>2257</v>
      </c>
      <c r="E221" s="99" t="s">
        <v>2258</v>
      </c>
      <c r="F221" s="99" t="s">
        <v>2259</v>
      </c>
      <c r="G221" s="121" t="s">
        <v>2207</v>
      </c>
    </row>
    <row r="222" spans="1:7" x14ac:dyDescent="0.35">
      <c r="A222" s="99" t="s">
        <v>2260</v>
      </c>
      <c r="B222" s="99">
        <v>90719547</v>
      </c>
      <c r="C222" s="99" t="str" cm="1">
        <f t="array" ref="C222">IFERROR(INDEX(#REF!, MATCH(1, (#REF! = B222) * (#REF! &lt;&gt; "Rejected") * (#REF! &lt;&gt; "Offboarded"), 0)), "")</f>
        <v/>
      </c>
      <c r="D222" s="99" t="s">
        <v>2261</v>
      </c>
      <c r="E222" s="99" t="s">
        <v>2262</v>
      </c>
      <c r="F222" s="99" t="s">
        <v>2263</v>
      </c>
      <c r="G222" s="121" t="s">
        <v>2207</v>
      </c>
    </row>
    <row r="223" spans="1:7" x14ac:dyDescent="0.35">
      <c r="A223" s="99" t="s">
        <v>2264</v>
      </c>
      <c r="B223" s="99">
        <v>90719682</v>
      </c>
      <c r="C223" s="99" t="str" cm="1">
        <f t="array" ref="C223">IFERROR(INDEX(#REF!, MATCH(1, (#REF! = B223) * (#REF! &lt;&gt; "Rejected") * (#REF! &lt;&gt; "Offboarded"), 0)), "")</f>
        <v/>
      </c>
      <c r="D223" s="99" t="s">
        <v>2265</v>
      </c>
      <c r="E223" s="99" t="s">
        <v>2266</v>
      </c>
      <c r="F223" s="99" t="s">
        <v>1652</v>
      </c>
      <c r="G223" s="121" t="s">
        <v>2207</v>
      </c>
    </row>
    <row r="224" spans="1:7" x14ac:dyDescent="0.35">
      <c r="A224" s="99" t="s">
        <v>1252</v>
      </c>
      <c r="B224" s="99">
        <v>90719596</v>
      </c>
      <c r="C224" s="99" t="str" cm="1">
        <f t="array" ref="C224">IFERROR(INDEX(#REF!, MATCH(1, (#REF! = B224) * (#REF! &lt;&gt; "Rejected") * (#REF! &lt;&gt; "Offboarded"), 0)), "")</f>
        <v/>
      </c>
      <c r="D224" s="99" t="s">
        <v>2267</v>
      </c>
      <c r="E224" s="99" t="s">
        <v>2268</v>
      </c>
      <c r="F224" s="99" t="s">
        <v>2269</v>
      </c>
      <c r="G224" s="121" t="s">
        <v>2207</v>
      </c>
    </row>
    <row r="225" spans="1:7" x14ac:dyDescent="0.35">
      <c r="A225" s="99" t="s">
        <v>2270</v>
      </c>
      <c r="B225" s="99">
        <v>90718999</v>
      </c>
      <c r="C225" s="99" t="str" cm="1">
        <f t="array" ref="C225">IFERROR(INDEX(#REF!, MATCH(1, (#REF! = B225) * (#REF! &lt;&gt; "Rejected") * (#REF! &lt;&gt; "Offboarded"), 0)), "")</f>
        <v/>
      </c>
      <c r="D225" s="99" t="s">
        <v>2271</v>
      </c>
      <c r="E225" s="99" t="s">
        <v>2272</v>
      </c>
      <c r="F225" s="99" t="s">
        <v>2273</v>
      </c>
      <c r="G225" s="121" t="s">
        <v>2207</v>
      </c>
    </row>
    <row r="226" spans="1:7" x14ac:dyDescent="0.35">
      <c r="A226" s="99" t="s">
        <v>1266</v>
      </c>
      <c r="B226" s="99">
        <v>90719515</v>
      </c>
      <c r="C226" s="99" t="str" cm="1">
        <f t="array" ref="C226">IFERROR(INDEX(#REF!, MATCH(1, (#REF! = B226) * (#REF! &lt;&gt; "Rejected") * (#REF! &lt;&gt; "Offboarded"), 0)), "")</f>
        <v/>
      </c>
      <c r="D226" s="99" t="s">
        <v>2274</v>
      </c>
      <c r="E226" s="99" t="s">
        <v>2275</v>
      </c>
      <c r="F226" s="99" t="s">
        <v>1918</v>
      </c>
      <c r="G226" s="121" t="s">
        <v>2207</v>
      </c>
    </row>
    <row r="227" spans="1:7" x14ac:dyDescent="0.35">
      <c r="A227" s="99" t="s">
        <v>2276</v>
      </c>
      <c r="B227" s="99">
        <v>90719499</v>
      </c>
      <c r="C227" s="99" t="str" cm="1">
        <f t="array" ref="C227">IFERROR(INDEX(#REF!, MATCH(1, (#REF! = B227) * (#REF! &lt;&gt; "Rejected") * (#REF! &lt;&gt; "Offboarded"), 0)), "")</f>
        <v/>
      </c>
      <c r="D227" s="99" t="s">
        <v>2277</v>
      </c>
      <c r="E227" s="99" t="s">
        <v>2278</v>
      </c>
      <c r="F227" s="99" t="s">
        <v>1682</v>
      </c>
      <c r="G227" s="121" t="s">
        <v>2207</v>
      </c>
    </row>
    <row r="228" spans="1:7" x14ac:dyDescent="0.35">
      <c r="A228" s="99" t="s">
        <v>1270</v>
      </c>
      <c r="B228" s="99">
        <v>90719554</v>
      </c>
      <c r="C228" s="99" t="str" cm="1">
        <f t="array" ref="C228">IFERROR(INDEX(#REF!, MATCH(1, (#REF! = B228) * (#REF! &lt;&gt; "Rejected") * (#REF! &lt;&gt; "Offboarded"), 0)), "")</f>
        <v/>
      </c>
      <c r="D228" s="99" t="s">
        <v>2279</v>
      </c>
      <c r="E228" s="99" t="s">
        <v>2280</v>
      </c>
      <c r="F228" s="99" t="s">
        <v>2281</v>
      </c>
      <c r="G228" s="121" t="s">
        <v>2207</v>
      </c>
    </row>
    <row r="229" spans="1:7" x14ac:dyDescent="0.35">
      <c r="A229" s="99" t="s">
        <v>1271</v>
      </c>
      <c r="B229" s="99">
        <v>90719487</v>
      </c>
      <c r="C229" s="99" t="str" cm="1">
        <f t="array" ref="C229">IFERROR(INDEX(#REF!, MATCH(1, (#REF! = B229) * (#REF! &lt;&gt; "Rejected") * (#REF! &lt;&gt; "Offboarded"), 0)), "")</f>
        <v/>
      </c>
      <c r="D229" s="99" t="s">
        <v>2282</v>
      </c>
      <c r="E229" s="99" t="s">
        <v>2283</v>
      </c>
      <c r="F229" s="99" t="s">
        <v>2284</v>
      </c>
      <c r="G229" s="121" t="s">
        <v>1632</v>
      </c>
    </row>
    <row r="230" spans="1:7" x14ac:dyDescent="0.35">
      <c r="A230" s="99" t="s">
        <v>1275</v>
      </c>
      <c r="B230" s="99">
        <v>90719400</v>
      </c>
      <c r="C230" s="99" t="str" cm="1">
        <f t="array" ref="C230">IFERROR(INDEX(#REF!, MATCH(1, (#REF! = B230) * (#REF! &lt;&gt; "Rejected") * (#REF! &lt;&gt; "Offboarded"), 0)), "")</f>
        <v/>
      </c>
      <c r="D230" s="99" t="s">
        <v>2285</v>
      </c>
      <c r="E230" s="99" t="s">
        <v>2286</v>
      </c>
      <c r="F230" s="99" t="s">
        <v>2287</v>
      </c>
      <c r="G230" s="121" t="s">
        <v>2207</v>
      </c>
    </row>
    <row r="231" spans="1:7" x14ac:dyDescent="0.35">
      <c r="A231" s="99" t="s">
        <v>1276</v>
      </c>
      <c r="B231" s="99">
        <v>90719437</v>
      </c>
      <c r="C231" s="99" t="str" cm="1">
        <f t="array" ref="C231">IFERROR(INDEX(#REF!, MATCH(1, (#REF! = B231) * (#REF! &lt;&gt; "Rejected") * (#REF! &lt;&gt; "Offboarded"), 0)), "")</f>
        <v/>
      </c>
      <c r="D231" s="99" t="s">
        <v>2288</v>
      </c>
      <c r="E231" s="99" t="s">
        <v>2286</v>
      </c>
      <c r="F231" s="99" t="s">
        <v>2289</v>
      </c>
      <c r="G231" s="121" t="s">
        <v>2207</v>
      </c>
    </row>
    <row r="232" spans="1:7" x14ac:dyDescent="0.35">
      <c r="A232" s="99" t="s">
        <v>1285</v>
      </c>
      <c r="B232" s="99">
        <v>90719455</v>
      </c>
      <c r="C232" s="99" t="str" cm="1">
        <f t="array" ref="C232">IFERROR(INDEX(#REF!, MATCH(1, (#REF! = B232) * (#REF! &lt;&gt; "Rejected") * (#REF! &lt;&gt; "Offboarded"), 0)), "")</f>
        <v/>
      </c>
      <c r="D232" s="99" t="s">
        <v>2290</v>
      </c>
      <c r="E232" s="99" t="s">
        <v>2291</v>
      </c>
      <c r="F232" s="99" t="s">
        <v>1692</v>
      </c>
      <c r="G232" s="121" t="s">
        <v>2207</v>
      </c>
    </row>
    <row r="233" spans="1:7" x14ac:dyDescent="0.35">
      <c r="A233" s="99" t="s">
        <v>1287</v>
      </c>
      <c r="B233" s="99">
        <v>90719979</v>
      </c>
      <c r="C233" s="99" t="str" cm="1">
        <f t="array" ref="C233">IFERROR(INDEX(#REF!, MATCH(1, (#REF! = B233) * (#REF! &lt;&gt; "Rejected") * (#REF! &lt;&gt; "Offboarded"), 0)), "")</f>
        <v/>
      </c>
      <c r="D233" s="99" t="s">
        <v>2292</v>
      </c>
      <c r="E233" s="99" t="s">
        <v>2293</v>
      </c>
      <c r="F233" s="99" t="s">
        <v>2294</v>
      </c>
      <c r="G233" s="121" t="s">
        <v>2207</v>
      </c>
    </row>
    <row r="234" spans="1:7" x14ac:dyDescent="0.35">
      <c r="A234" s="99" t="s">
        <v>1294</v>
      </c>
      <c r="B234" s="99">
        <v>90719522</v>
      </c>
      <c r="C234" s="99" t="str" cm="1">
        <f t="array" ref="C234">IFERROR(INDEX(#REF!, MATCH(1, (#REF! = B234) * (#REF! &lt;&gt; "Rejected") * (#REF! &lt;&gt; "Offboarded"), 0)), "")</f>
        <v/>
      </c>
      <c r="D234" s="99" t="s">
        <v>2295</v>
      </c>
      <c r="E234" s="99" t="s">
        <v>2296</v>
      </c>
      <c r="F234" s="99" t="s">
        <v>2263</v>
      </c>
      <c r="G234" s="121" t="s">
        <v>232</v>
      </c>
    </row>
    <row r="235" spans="1:7" x14ac:dyDescent="0.35">
      <c r="A235" s="99" t="s">
        <v>1295</v>
      </c>
      <c r="B235" s="99">
        <v>90719609</v>
      </c>
      <c r="C235" s="99" t="str" cm="1">
        <f t="array" ref="C235">IFERROR(INDEX(#REF!, MATCH(1, (#REF! = B235) * (#REF! &lt;&gt; "Rejected") * (#REF! &lt;&gt; "Offboarded"), 0)), "")</f>
        <v/>
      </c>
      <c r="D235" s="99" t="s">
        <v>2297</v>
      </c>
      <c r="E235" s="99" t="s">
        <v>2298</v>
      </c>
      <c r="F235" s="99" t="s">
        <v>2299</v>
      </c>
      <c r="G235" s="121" t="s">
        <v>2207</v>
      </c>
    </row>
    <row r="236" spans="1:7" x14ac:dyDescent="0.35">
      <c r="A236" s="99" t="s">
        <v>2300</v>
      </c>
      <c r="B236" s="99">
        <v>90719591</v>
      </c>
      <c r="C236" s="99" t="str" cm="1">
        <f t="array" ref="C236">IFERROR(INDEX(#REF!, MATCH(1, (#REF! = B236) * (#REF! &lt;&gt; "Rejected") * (#REF! &lt;&gt; "Offboarded"), 0)), "")</f>
        <v/>
      </c>
      <c r="D236" s="99" t="s">
        <v>2301</v>
      </c>
      <c r="E236" s="99" t="s">
        <v>2302</v>
      </c>
      <c r="F236" s="99" t="s">
        <v>2303</v>
      </c>
      <c r="G236" s="121" t="s">
        <v>2207</v>
      </c>
    </row>
    <row r="237" spans="1:7" x14ac:dyDescent="0.35">
      <c r="A237" s="99" t="s">
        <v>1299</v>
      </c>
      <c r="B237" s="99">
        <v>90719635</v>
      </c>
      <c r="C237" s="99" t="str" cm="1">
        <f t="array" ref="C237">IFERROR(INDEX(#REF!, MATCH(1, (#REF! = B237) * (#REF! &lt;&gt; "Rejected") * (#REF! &lt;&gt; "Offboarded"), 0)), "")</f>
        <v/>
      </c>
      <c r="D237" s="99" t="s">
        <v>2304</v>
      </c>
      <c r="E237" s="99" t="s">
        <v>2305</v>
      </c>
      <c r="F237" s="99" t="s">
        <v>2306</v>
      </c>
      <c r="G237" s="121" t="s">
        <v>2207</v>
      </c>
    </row>
    <row r="238" spans="1:7" x14ac:dyDescent="0.35">
      <c r="A238" s="99" t="s">
        <v>2307</v>
      </c>
      <c r="B238" s="99">
        <v>90719407</v>
      </c>
      <c r="C238" s="99" t="str" cm="1">
        <f t="array" ref="C238">IFERROR(INDEX(#REF!, MATCH(1, (#REF! = B238) * (#REF! &lt;&gt; "Rejected") * (#REF! &lt;&gt; "Offboarded"), 0)), "")</f>
        <v/>
      </c>
      <c r="D238" s="99" t="s">
        <v>2308</v>
      </c>
      <c r="E238" s="99" t="s">
        <v>2309</v>
      </c>
      <c r="F238" s="99" t="s">
        <v>2310</v>
      </c>
      <c r="G238" s="121" t="s">
        <v>2207</v>
      </c>
    </row>
    <row r="239" spans="1:7" x14ac:dyDescent="0.35">
      <c r="A239" s="99" t="s">
        <v>1307</v>
      </c>
      <c r="B239" s="99">
        <v>90719710</v>
      </c>
      <c r="C239" s="99" t="str" cm="1">
        <f t="array" ref="C239">IFERROR(INDEX(#REF!, MATCH(1, (#REF! = B239) * (#REF! &lt;&gt; "Rejected") * (#REF! &lt;&gt; "Offboarded"), 0)), "")</f>
        <v/>
      </c>
      <c r="D239" s="99" t="s">
        <v>2311</v>
      </c>
      <c r="E239" s="99" t="s">
        <v>2312</v>
      </c>
      <c r="F239" s="99" t="s">
        <v>2236</v>
      </c>
      <c r="G239" s="121" t="s">
        <v>2207</v>
      </c>
    </row>
    <row r="240" spans="1:7" x14ac:dyDescent="0.35">
      <c r="A240" s="99" t="s">
        <v>1308</v>
      </c>
      <c r="B240" s="99">
        <v>90719587</v>
      </c>
      <c r="C240" s="99" t="str" cm="1">
        <f t="array" ref="C240">IFERROR(INDEX(#REF!, MATCH(1, (#REF! = B240) * (#REF! &lt;&gt; "Rejected") * (#REF! &lt;&gt; "Offboarded"), 0)), "")</f>
        <v/>
      </c>
      <c r="D240" s="99" t="s">
        <v>2313</v>
      </c>
      <c r="E240" s="99" t="s">
        <v>2314</v>
      </c>
      <c r="F240" s="99" t="s">
        <v>2315</v>
      </c>
      <c r="G240" s="121" t="s">
        <v>2207</v>
      </c>
    </row>
    <row r="241" spans="1:7" x14ac:dyDescent="0.35">
      <c r="A241" s="99" t="s">
        <v>2316</v>
      </c>
      <c r="B241" s="99">
        <v>90719771</v>
      </c>
      <c r="C241" s="99" t="str" cm="1">
        <f t="array" ref="C241">IFERROR(INDEX(#REF!, MATCH(1, (#REF! = B241) * (#REF! &lt;&gt; "Rejected") * (#REF! &lt;&gt; "Offboarded"), 0)), "")</f>
        <v/>
      </c>
      <c r="D241" s="99" t="s">
        <v>2317</v>
      </c>
      <c r="E241" s="99" t="s">
        <v>2318</v>
      </c>
      <c r="F241" s="99" t="s">
        <v>2319</v>
      </c>
      <c r="G241" s="121" t="s">
        <v>2207</v>
      </c>
    </row>
    <row r="242" spans="1:7" x14ac:dyDescent="0.35">
      <c r="A242" s="99" t="s">
        <v>1320</v>
      </c>
      <c r="B242" s="99">
        <v>90718952</v>
      </c>
      <c r="C242" s="99" t="str" cm="1">
        <f t="array" ref="C242">IFERROR(INDEX(#REF!, MATCH(1, (#REF! = B242) * (#REF! &lt;&gt; "Rejected") * (#REF! &lt;&gt; "Offboarded"), 0)), "")</f>
        <v/>
      </c>
      <c r="D242" s="99" t="s">
        <v>2320</v>
      </c>
      <c r="E242" s="99" t="s">
        <v>2321</v>
      </c>
      <c r="F242" s="99" t="s">
        <v>2322</v>
      </c>
      <c r="G242" s="121" t="s">
        <v>2207</v>
      </c>
    </row>
    <row r="243" spans="1:7" x14ac:dyDescent="0.35">
      <c r="A243" s="99" t="s">
        <v>1327</v>
      </c>
      <c r="B243" s="99">
        <v>90719714</v>
      </c>
      <c r="C243" s="99" t="str" cm="1">
        <f t="array" ref="C243">IFERROR(INDEX(#REF!, MATCH(1, (#REF! = B243) * (#REF! &lt;&gt; "Rejected") * (#REF! &lt;&gt; "Offboarded"), 0)), "")</f>
        <v/>
      </c>
      <c r="D243" s="99" t="s">
        <v>2323</v>
      </c>
      <c r="E243" s="99" t="s">
        <v>2324</v>
      </c>
      <c r="F243" s="99" t="s">
        <v>1918</v>
      </c>
      <c r="G243" s="121" t="s">
        <v>2207</v>
      </c>
    </row>
    <row r="244" spans="1:7" x14ac:dyDescent="0.35">
      <c r="A244" s="99" t="s">
        <v>1328</v>
      </c>
      <c r="B244" s="99">
        <v>90719847</v>
      </c>
      <c r="C244" s="99" t="str" cm="1">
        <f t="array" ref="C244">IFERROR(INDEX(#REF!, MATCH(1, (#REF! = B244) * (#REF! &lt;&gt; "Rejected") * (#REF! &lt;&gt; "Offboarded"), 0)), "")</f>
        <v/>
      </c>
      <c r="D244" s="99" t="s">
        <v>2325</v>
      </c>
      <c r="E244" s="99" t="s">
        <v>1856</v>
      </c>
      <c r="F244" s="99" t="s">
        <v>2326</v>
      </c>
      <c r="G244" s="121" t="s">
        <v>2207</v>
      </c>
    </row>
    <row r="245" spans="1:7" x14ac:dyDescent="0.35">
      <c r="A245" s="99" t="s">
        <v>1330</v>
      </c>
      <c r="B245" s="99">
        <v>90719326</v>
      </c>
      <c r="C245" s="99" t="str" cm="1">
        <f t="array" ref="C245">IFERROR(INDEX(#REF!, MATCH(1, (#REF! = B245) * (#REF! &lt;&gt; "Rejected") * (#REF! &lt;&gt; "Offboarded"), 0)), "")</f>
        <v/>
      </c>
      <c r="D245" s="99" t="s">
        <v>2327</v>
      </c>
      <c r="E245" s="99" t="s">
        <v>2328</v>
      </c>
      <c r="F245" s="99" t="s">
        <v>2329</v>
      </c>
      <c r="G245" s="121" t="s">
        <v>2207</v>
      </c>
    </row>
    <row r="246" spans="1:7" x14ac:dyDescent="0.35">
      <c r="A246" s="99" t="s">
        <v>1332</v>
      </c>
      <c r="B246" s="99">
        <v>90719443</v>
      </c>
      <c r="C246" s="99" t="str" cm="1">
        <f t="array" ref="C246">IFERROR(INDEX(#REF!, MATCH(1, (#REF! = B246) * (#REF! &lt;&gt; "Rejected") * (#REF! &lt;&gt; "Offboarded"), 0)), "")</f>
        <v/>
      </c>
      <c r="D246" s="99" t="s">
        <v>2330</v>
      </c>
      <c r="E246" s="99" t="s">
        <v>2331</v>
      </c>
      <c r="F246" s="99" t="s">
        <v>1780</v>
      </c>
      <c r="G246" s="121" t="s">
        <v>1632</v>
      </c>
    </row>
    <row r="247" spans="1:7" x14ac:dyDescent="0.35">
      <c r="A247" s="99" t="s">
        <v>1333</v>
      </c>
      <c r="B247" s="99">
        <v>90719444</v>
      </c>
      <c r="C247" s="99" t="str" cm="1">
        <f t="array" ref="C247">IFERROR(INDEX(#REF!, MATCH(1, (#REF! = B247) * (#REF! &lt;&gt; "Rejected") * (#REF! &lt;&gt; "Offboarded"), 0)), "")</f>
        <v/>
      </c>
      <c r="D247" s="99" t="s">
        <v>2332</v>
      </c>
      <c r="E247" s="99" t="s">
        <v>2333</v>
      </c>
      <c r="F247" s="99" t="s">
        <v>2334</v>
      </c>
      <c r="G247" s="121" t="s">
        <v>2207</v>
      </c>
    </row>
    <row r="248" spans="1:7" x14ac:dyDescent="0.35">
      <c r="A248" s="99" t="s">
        <v>1335</v>
      </c>
      <c r="B248" s="99">
        <v>90719479</v>
      </c>
      <c r="C248" s="99" t="str" cm="1">
        <f t="array" ref="C248">IFERROR(INDEX(#REF!, MATCH(1, (#REF! = B248) * (#REF! &lt;&gt; "Rejected") * (#REF! &lt;&gt; "Offboarded"), 0)), "")</f>
        <v/>
      </c>
      <c r="D248" s="99" t="s">
        <v>2335</v>
      </c>
      <c r="E248" s="99" t="s">
        <v>2336</v>
      </c>
      <c r="F248" s="99" t="s">
        <v>1790</v>
      </c>
      <c r="G248" s="121" t="s">
        <v>2207</v>
      </c>
    </row>
    <row r="249" spans="1:7" x14ac:dyDescent="0.35">
      <c r="A249" s="99" t="s">
        <v>1336</v>
      </c>
      <c r="B249" s="99">
        <v>90719485</v>
      </c>
      <c r="C249" s="99" t="str" cm="1">
        <f t="array" ref="C249">IFERROR(INDEX(#REF!, MATCH(1, (#REF! = B249) * (#REF! &lt;&gt; "Rejected") * (#REF! &lt;&gt; "Offboarded"), 0)), "")</f>
        <v/>
      </c>
      <c r="D249" s="99" t="s">
        <v>2337</v>
      </c>
      <c r="E249" s="99" t="s">
        <v>2336</v>
      </c>
      <c r="F249" s="99" t="s">
        <v>2338</v>
      </c>
      <c r="G249" s="121" t="s">
        <v>2207</v>
      </c>
    </row>
    <row r="250" spans="1:7" x14ac:dyDescent="0.35">
      <c r="A250" s="99" t="s">
        <v>1342</v>
      </c>
      <c r="B250" s="99">
        <v>80119778</v>
      </c>
      <c r="C250" s="99" t="str" cm="1">
        <f t="array" ref="C250">IFERROR(INDEX(#REF!, MATCH(1, (#REF! = B250) * (#REF! &lt;&gt; "Rejected") * (#REF! &lt;&gt; "Offboarded"), 0)), "")</f>
        <v/>
      </c>
      <c r="D250" s="99" t="s">
        <v>2339</v>
      </c>
      <c r="E250" s="99" t="s">
        <v>2340</v>
      </c>
      <c r="F250" s="99" t="s">
        <v>2341</v>
      </c>
      <c r="G250" s="121" t="s">
        <v>249</v>
      </c>
    </row>
    <row r="251" spans="1:7" x14ac:dyDescent="0.35">
      <c r="A251" s="99" t="s">
        <v>1343</v>
      </c>
      <c r="B251" s="99">
        <v>90719406</v>
      </c>
      <c r="C251" s="99" t="str" cm="1">
        <f t="array" ref="C251">IFERROR(INDEX(#REF!, MATCH(1, (#REF! = B251) * (#REF! &lt;&gt; "Rejected") * (#REF! &lt;&gt; "Offboarded"), 0)), "")</f>
        <v/>
      </c>
      <c r="D251" s="99" t="s">
        <v>2342</v>
      </c>
      <c r="E251" s="99" t="s">
        <v>2343</v>
      </c>
      <c r="F251" s="99" t="s">
        <v>2344</v>
      </c>
      <c r="G251" s="121" t="s">
        <v>2207</v>
      </c>
    </row>
    <row r="252" spans="1:7" x14ac:dyDescent="0.35">
      <c r="A252" s="99" t="s">
        <v>1344</v>
      </c>
      <c r="B252" s="99">
        <v>90719639</v>
      </c>
      <c r="C252" s="99" t="str" cm="1">
        <f t="array" ref="C252">IFERROR(INDEX(#REF!, MATCH(1, (#REF! = B252) * (#REF! &lt;&gt; "Rejected") * (#REF! &lt;&gt; "Offboarded"), 0)), "")</f>
        <v/>
      </c>
      <c r="D252" s="99" t="s">
        <v>2345</v>
      </c>
      <c r="E252" s="99" t="s">
        <v>2346</v>
      </c>
      <c r="F252" s="99" t="s">
        <v>2103</v>
      </c>
      <c r="G252" s="121" t="s">
        <v>2207</v>
      </c>
    </row>
    <row r="253" spans="1:7" x14ac:dyDescent="0.35">
      <c r="A253" s="99" t="s">
        <v>2347</v>
      </c>
      <c r="B253" s="99">
        <v>80114707</v>
      </c>
      <c r="C253" s="99" t="str" cm="1">
        <f t="array" ref="C253">IFERROR(INDEX(#REF!, MATCH(1, (#REF! = B253) * (#REF! &lt;&gt; "Rejected") * (#REF! &lt;&gt; "Offboarded"), 0)), "")</f>
        <v/>
      </c>
      <c r="D253" s="99" t="s">
        <v>2348</v>
      </c>
      <c r="E253" s="99" t="s">
        <v>1909</v>
      </c>
      <c r="F253" s="99" t="s">
        <v>2349</v>
      </c>
      <c r="G253" s="121" t="s">
        <v>2207</v>
      </c>
    </row>
    <row r="254" spans="1:7" x14ac:dyDescent="0.35">
      <c r="A254" s="99" t="s">
        <v>2350</v>
      </c>
      <c r="B254" s="99">
        <v>90719613</v>
      </c>
      <c r="C254" s="99" t="str" cm="1">
        <f t="array" ref="C254">IFERROR(INDEX(#REF!, MATCH(1, (#REF! = B254) * (#REF! &lt;&gt; "Rejected") * (#REF! &lt;&gt; "Offboarded"), 0)), "")</f>
        <v/>
      </c>
      <c r="D254" s="99" t="s">
        <v>2351</v>
      </c>
      <c r="E254" s="99" t="s">
        <v>2352</v>
      </c>
      <c r="F254" s="99" t="s">
        <v>2353</v>
      </c>
      <c r="G254" s="121" t="s">
        <v>2207</v>
      </c>
    </row>
    <row r="255" spans="1:7" x14ac:dyDescent="0.35">
      <c r="A255" s="99" t="s">
        <v>2354</v>
      </c>
      <c r="B255" s="99">
        <v>90719636</v>
      </c>
      <c r="C255" s="99" t="str" cm="1">
        <f t="array" ref="C255">IFERROR(INDEX(#REF!, MATCH(1, (#REF! = B255) * (#REF! &lt;&gt; "Rejected") * (#REF! &lt;&gt; "Offboarded"), 0)), "")</f>
        <v/>
      </c>
      <c r="D255" s="99" t="s">
        <v>2355</v>
      </c>
      <c r="E255" s="99" t="s">
        <v>2356</v>
      </c>
      <c r="F255" s="99" t="s">
        <v>1909</v>
      </c>
      <c r="G255" s="121" t="s">
        <v>232</v>
      </c>
    </row>
    <row r="256" spans="1:7" x14ac:dyDescent="0.35">
      <c r="A256" s="99" t="s">
        <v>1356</v>
      </c>
      <c r="B256" s="99">
        <v>90719602</v>
      </c>
      <c r="C256" s="99" t="str" cm="1">
        <f t="array" ref="C256">IFERROR(INDEX(#REF!, MATCH(1, (#REF! = B256) * (#REF! &lt;&gt; "Rejected") * (#REF! &lt;&gt; "Offboarded"), 0)), "")</f>
        <v/>
      </c>
      <c r="D256" s="99" t="s">
        <v>2357</v>
      </c>
      <c r="E256" s="99" t="s">
        <v>1928</v>
      </c>
      <c r="F256" s="99" t="s">
        <v>1790</v>
      </c>
      <c r="G256" s="121" t="s">
        <v>2207</v>
      </c>
    </row>
    <row r="257" spans="1:7" x14ac:dyDescent="0.35">
      <c r="A257" s="99" t="s">
        <v>1358</v>
      </c>
      <c r="B257" s="99">
        <v>90719521</v>
      </c>
      <c r="C257" s="99" t="str" cm="1">
        <f t="array" ref="C257">IFERROR(INDEX(#REF!, MATCH(1, (#REF! = B257) * (#REF! &lt;&gt; "Rejected") * (#REF! &lt;&gt; "Offboarded"), 0)), "")</f>
        <v/>
      </c>
      <c r="D257" s="99" t="s">
        <v>2358</v>
      </c>
      <c r="E257" s="99" t="s">
        <v>2359</v>
      </c>
      <c r="F257" s="99" t="s">
        <v>2360</v>
      </c>
      <c r="G257" s="121" t="s">
        <v>2207</v>
      </c>
    </row>
    <row r="258" spans="1:7" x14ac:dyDescent="0.35">
      <c r="A258" s="99" t="s">
        <v>1359</v>
      </c>
      <c r="B258" s="99">
        <v>90719576</v>
      </c>
      <c r="C258" s="99" t="str" cm="1">
        <f t="array" ref="C258">IFERROR(INDEX(#REF!, MATCH(1, (#REF! = B258) * (#REF! &lt;&gt; "Rejected") * (#REF! &lt;&gt; "Offboarded"), 0)), "")</f>
        <v/>
      </c>
      <c r="D258" s="99" t="s">
        <v>2361</v>
      </c>
      <c r="E258" s="99" t="s">
        <v>2359</v>
      </c>
      <c r="F258" s="99" t="s">
        <v>1893</v>
      </c>
      <c r="G258" s="121" t="s">
        <v>232</v>
      </c>
    </row>
    <row r="259" spans="1:7" x14ac:dyDescent="0.35">
      <c r="A259" s="99" t="s">
        <v>2362</v>
      </c>
      <c r="B259" s="99">
        <v>90719675</v>
      </c>
      <c r="C259" s="99" t="str" cm="1">
        <f t="array" ref="C259">IFERROR(INDEX(#REF!, MATCH(1, (#REF! = B259) * (#REF! &lt;&gt; "Rejected") * (#REF! &lt;&gt; "Offboarded"), 0)), "")</f>
        <v/>
      </c>
      <c r="D259" s="99" t="s">
        <v>2363</v>
      </c>
      <c r="E259" s="99" t="s">
        <v>2364</v>
      </c>
      <c r="F259" s="99" t="s">
        <v>2365</v>
      </c>
      <c r="G259" s="121" t="s">
        <v>2207</v>
      </c>
    </row>
    <row r="260" spans="1:7" x14ac:dyDescent="0.35">
      <c r="A260" s="99" t="s">
        <v>1360</v>
      </c>
      <c r="B260" s="99">
        <v>90719593</v>
      </c>
      <c r="C260" s="99" t="str" cm="1">
        <f t="array" ref="C260">IFERROR(INDEX(#REF!, MATCH(1, (#REF! = B260) * (#REF! &lt;&gt; "Rejected") * (#REF! &lt;&gt; "Offboarded"), 0)), "")</f>
        <v/>
      </c>
      <c r="D260" s="99" t="s">
        <v>2366</v>
      </c>
      <c r="E260" s="99" t="s">
        <v>2367</v>
      </c>
      <c r="F260" s="99" t="s">
        <v>2368</v>
      </c>
      <c r="G260" s="121" t="s">
        <v>2207</v>
      </c>
    </row>
    <row r="261" spans="1:7" x14ac:dyDescent="0.35">
      <c r="A261" s="99" t="s">
        <v>1367</v>
      </c>
      <c r="B261" s="99">
        <v>90719894</v>
      </c>
      <c r="C261" s="99" t="str" cm="1">
        <f t="array" ref="C261">IFERROR(INDEX(#REF!, MATCH(1, (#REF! = B261) * (#REF! &lt;&gt; "Rejected") * (#REF! &lt;&gt; "Offboarded"), 0)), "")</f>
        <v/>
      </c>
      <c r="D261" s="99" t="s">
        <v>2369</v>
      </c>
      <c r="E261" s="99" t="s">
        <v>2370</v>
      </c>
      <c r="F261" s="99" t="s">
        <v>2371</v>
      </c>
      <c r="G261" s="121" t="s">
        <v>2207</v>
      </c>
    </row>
    <row r="262" spans="1:7" x14ac:dyDescent="0.35">
      <c r="A262" s="99" t="s">
        <v>1372</v>
      </c>
      <c r="B262" s="99">
        <v>90719530</v>
      </c>
      <c r="C262" s="99" t="str" cm="1">
        <f t="array" ref="C262">IFERROR(INDEX(#REF!, MATCH(1, (#REF! = B262) * (#REF! &lt;&gt; "Rejected") * (#REF! &lt;&gt; "Offboarded"), 0)), "")</f>
        <v/>
      </c>
      <c r="D262" s="99" t="s">
        <v>2372</v>
      </c>
      <c r="E262" s="99" t="s">
        <v>1945</v>
      </c>
      <c r="F262" s="99" t="s">
        <v>2373</v>
      </c>
      <c r="G262" s="121" t="s">
        <v>2207</v>
      </c>
    </row>
    <row r="263" spans="1:7" x14ac:dyDescent="0.35">
      <c r="A263" s="99" t="s">
        <v>2374</v>
      </c>
      <c r="B263" s="99">
        <v>90719362</v>
      </c>
      <c r="C263" s="99" t="str" cm="1">
        <f t="array" ref="C263">IFERROR(INDEX(#REF!, MATCH(1, (#REF! = B263) * (#REF! &lt;&gt; "Rejected") * (#REF! &lt;&gt; "Offboarded"), 0)), "")</f>
        <v/>
      </c>
      <c r="D263" s="99" t="s">
        <v>2375</v>
      </c>
      <c r="E263" s="99" t="s">
        <v>2376</v>
      </c>
      <c r="F263" s="99" t="s">
        <v>2027</v>
      </c>
      <c r="G263" s="121" t="s">
        <v>2207</v>
      </c>
    </row>
    <row r="264" spans="1:7" x14ac:dyDescent="0.35">
      <c r="A264" s="99" t="s">
        <v>2377</v>
      </c>
      <c r="B264" s="99">
        <v>90719792</v>
      </c>
      <c r="C264" s="99" t="str" cm="1">
        <f t="array" ref="C264">IFERROR(INDEX(#REF!, MATCH(1, (#REF! = B264) * (#REF! &lt;&gt; "Rejected") * (#REF! &lt;&gt; "Offboarded"), 0)), "")</f>
        <v/>
      </c>
      <c r="D264" s="99" t="s">
        <v>2378</v>
      </c>
      <c r="E264" s="99" t="s">
        <v>1954</v>
      </c>
      <c r="F264" s="99" t="s">
        <v>1954</v>
      </c>
      <c r="G264" s="121" t="s">
        <v>2207</v>
      </c>
    </row>
    <row r="265" spans="1:7" x14ac:dyDescent="0.35">
      <c r="A265" s="99" t="s">
        <v>2379</v>
      </c>
      <c r="B265" s="99">
        <v>90719756</v>
      </c>
      <c r="C265" s="99" t="str" cm="1">
        <f t="array" ref="C265">IFERROR(INDEX(#REF!, MATCH(1, (#REF! = B265) * (#REF! &lt;&gt; "Rejected") * (#REF! &lt;&gt; "Offboarded"), 0)), "")</f>
        <v/>
      </c>
      <c r="D265" s="99" t="s">
        <v>2380</v>
      </c>
      <c r="E265" s="99" t="s">
        <v>2381</v>
      </c>
      <c r="F265" s="99" t="s">
        <v>1682</v>
      </c>
      <c r="G265" s="121" t="s">
        <v>2207</v>
      </c>
    </row>
    <row r="266" spans="1:7" x14ac:dyDescent="0.35">
      <c r="A266" s="99" t="s">
        <v>1377</v>
      </c>
      <c r="B266" s="99">
        <v>90719476</v>
      </c>
      <c r="C266" s="99" t="str" cm="1">
        <f t="array" ref="C266">IFERROR(INDEX(#REF!, MATCH(1, (#REF! = B266) * (#REF! &lt;&gt; "Rejected") * (#REF! &lt;&gt; "Offboarded"), 0)), "")</f>
        <v/>
      </c>
      <c r="D266" s="99" t="s">
        <v>2382</v>
      </c>
      <c r="E266" s="99" t="s">
        <v>2383</v>
      </c>
      <c r="F266" s="99" t="s">
        <v>2384</v>
      </c>
      <c r="G266" s="121" t="s">
        <v>2207</v>
      </c>
    </row>
    <row r="267" spans="1:7" x14ac:dyDescent="0.35">
      <c r="A267" s="99" t="s">
        <v>1379</v>
      </c>
      <c r="B267" s="99">
        <v>90719482</v>
      </c>
      <c r="C267" s="99" t="str" cm="1">
        <f t="array" ref="C267">IFERROR(INDEX(#REF!, MATCH(1, (#REF! = B267) * (#REF! &lt;&gt; "Rejected") * (#REF! &lt;&gt; "Offboarded"), 0)), "")</f>
        <v/>
      </c>
      <c r="D267" s="99" t="s">
        <v>2385</v>
      </c>
      <c r="E267" s="99" t="s">
        <v>2386</v>
      </c>
      <c r="F267" s="99" t="s">
        <v>1926</v>
      </c>
      <c r="G267" s="121" t="s">
        <v>2207</v>
      </c>
    </row>
    <row r="268" spans="1:7" x14ac:dyDescent="0.35">
      <c r="A268" s="99" t="s">
        <v>1380</v>
      </c>
      <c r="B268" s="99">
        <v>90719413</v>
      </c>
      <c r="C268" s="99" t="str" cm="1">
        <f t="array" ref="C268">IFERROR(INDEX(#REF!, MATCH(1, (#REF! = B268) * (#REF! &lt;&gt; "Rejected") * (#REF! &lt;&gt; "Offboarded"), 0)), "")</f>
        <v/>
      </c>
      <c r="D268" s="99" t="s">
        <v>2387</v>
      </c>
      <c r="E268" s="99" t="s">
        <v>2388</v>
      </c>
      <c r="F268" s="99" t="s">
        <v>1933</v>
      </c>
      <c r="G268" s="121" t="s">
        <v>2207</v>
      </c>
    </row>
    <row r="269" spans="1:7" x14ac:dyDescent="0.35">
      <c r="A269" s="99" t="s">
        <v>1386</v>
      </c>
      <c r="B269" s="99">
        <v>90719629</v>
      </c>
      <c r="C269" s="99" t="str" cm="1">
        <f t="array" ref="C269">IFERROR(INDEX(#REF!, MATCH(1, (#REF! = B269) * (#REF! &lt;&gt; "Rejected") * (#REF! &lt;&gt; "Offboarded"), 0)), "")</f>
        <v/>
      </c>
      <c r="D269" s="99" t="s">
        <v>2389</v>
      </c>
      <c r="E269" s="99" t="s">
        <v>2390</v>
      </c>
      <c r="F269" s="99" t="s">
        <v>2391</v>
      </c>
      <c r="G269" s="121" t="s">
        <v>2207</v>
      </c>
    </row>
    <row r="270" spans="1:7" x14ac:dyDescent="0.35">
      <c r="A270" s="99" t="s">
        <v>2392</v>
      </c>
      <c r="B270" s="99">
        <v>90719583</v>
      </c>
      <c r="C270" s="99" t="str" cm="1">
        <f t="array" ref="C270">IFERROR(INDEX(#REF!, MATCH(1, (#REF! = B270) * (#REF! &lt;&gt; "Rejected") * (#REF! &lt;&gt; "Offboarded"), 0)), "")</f>
        <v/>
      </c>
      <c r="D270" s="99" t="s">
        <v>2393</v>
      </c>
      <c r="E270" s="99" t="s">
        <v>2394</v>
      </c>
      <c r="F270" s="99" t="s">
        <v>2395</v>
      </c>
      <c r="G270" s="121" t="s">
        <v>2207</v>
      </c>
    </row>
    <row r="271" spans="1:7" x14ac:dyDescent="0.35">
      <c r="A271" s="99" t="s">
        <v>1390</v>
      </c>
      <c r="B271" s="99">
        <v>90719446</v>
      </c>
      <c r="C271" s="99" t="str" cm="1">
        <f t="array" ref="C271">IFERROR(INDEX(#REF!, MATCH(1, (#REF! = B271) * (#REF! &lt;&gt; "Rejected") * (#REF! &lt;&gt; "Offboarded"), 0)), "")</f>
        <v/>
      </c>
      <c r="D271" s="99" t="s">
        <v>2396</v>
      </c>
      <c r="E271" s="99" t="s">
        <v>2397</v>
      </c>
      <c r="F271" s="99" t="s">
        <v>2287</v>
      </c>
      <c r="G271" s="121" t="s">
        <v>249</v>
      </c>
    </row>
    <row r="272" spans="1:7" x14ac:dyDescent="0.35">
      <c r="A272" s="99" t="s">
        <v>1392</v>
      </c>
      <c r="B272" s="99">
        <v>80114706</v>
      </c>
      <c r="C272" s="99" t="str" cm="1">
        <f t="array" ref="C272">IFERROR(INDEX(#REF!, MATCH(1, (#REF! = B272) * (#REF! &lt;&gt; "Rejected") * (#REF! &lt;&gt; "Offboarded"), 0)), "")</f>
        <v/>
      </c>
      <c r="D272" s="99" t="s">
        <v>2398</v>
      </c>
      <c r="E272" s="99" t="s">
        <v>2394</v>
      </c>
      <c r="F272" s="99" t="s">
        <v>1672</v>
      </c>
      <c r="G272" s="121" t="s">
        <v>249</v>
      </c>
    </row>
    <row r="273" spans="1:7" x14ac:dyDescent="0.35">
      <c r="A273" s="99" t="s">
        <v>1393</v>
      </c>
      <c r="B273" s="99">
        <v>90719518</v>
      </c>
      <c r="C273" s="99" t="str" cm="1">
        <f t="array" ref="C273">IFERROR(INDEX(#REF!, MATCH(1, (#REF! = B273) * (#REF! &lt;&gt; "Rejected") * (#REF! &lt;&gt; "Offboarded"), 0)), "")</f>
        <v/>
      </c>
      <c r="D273" s="99" t="s">
        <v>2399</v>
      </c>
      <c r="E273" s="99" t="s">
        <v>1978</v>
      </c>
      <c r="F273" s="99" t="s">
        <v>2400</v>
      </c>
      <c r="G273" s="121" t="s">
        <v>2207</v>
      </c>
    </row>
    <row r="274" spans="1:7" x14ac:dyDescent="0.35">
      <c r="A274" s="99" t="s">
        <v>2401</v>
      </c>
      <c r="B274" s="99">
        <v>90719679</v>
      </c>
      <c r="C274" s="99" t="str" cm="1">
        <f t="array" ref="C274">IFERROR(INDEX(#REF!, MATCH(1, (#REF! = B274) * (#REF! &lt;&gt; "Rejected") * (#REF! &lt;&gt; "Offboarded"), 0)), "")</f>
        <v/>
      </c>
      <c r="D274" s="99" t="s">
        <v>2402</v>
      </c>
      <c r="E274" s="99" t="s">
        <v>2403</v>
      </c>
      <c r="F274" s="99" t="s">
        <v>1879</v>
      </c>
      <c r="G274" s="121" t="s">
        <v>2207</v>
      </c>
    </row>
    <row r="275" spans="1:7" x14ac:dyDescent="0.35">
      <c r="A275" s="99" t="s">
        <v>1401</v>
      </c>
      <c r="B275" s="99">
        <v>90719384</v>
      </c>
      <c r="C275" s="99" t="str" cm="1">
        <f t="array" ref="C275">IFERROR(INDEX(#REF!, MATCH(1, (#REF! = B275) * (#REF! &lt;&gt; "Rejected") * (#REF! &lt;&gt; "Offboarded"), 0)), "")</f>
        <v/>
      </c>
      <c r="D275" s="99" t="s">
        <v>2404</v>
      </c>
      <c r="E275" s="99" t="s">
        <v>2405</v>
      </c>
      <c r="F275" s="99" t="s">
        <v>2406</v>
      </c>
      <c r="G275" s="121" t="s">
        <v>2207</v>
      </c>
    </row>
    <row r="276" spans="1:7" x14ac:dyDescent="0.35">
      <c r="A276" s="99" t="s">
        <v>1404</v>
      </c>
      <c r="B276" s="99">
        <v>90719323</v>
      </c>
      <c r="C276" s="99" t="str" cm="1">
        <f t="array" ref="C276">IFERROR(INDEX(#REF!, MATCH(1, (#REF! = B276) * (#REF! &lt;&gt; "Rejected") * (#REF! &lt;&gt; "Offboarded"), 0)), "")</f>
        <v/>
      </c>
      <c r="D276" s="99" t="s">
        <v>2407</v>
      </c>
      <c r="E276" s="99" t="s">
        <v>2003</v>
      </c>
      <c r="F276" s="99" t="s">
        <v>2408</v>
      </c>
      <c r="G276" s="121" t="s">
        <v>2207</v>
      </c>
    </row>
    <row r="277" spans="1:7" x14ac:dyDescent="0.35">
      <c r="A277" s="99" t="s">
        <v>1406</v>
      </c>
      <c r="B277" s="99">
        <v>90719459</v>
      </c>
      <c r="C277" s="99" t="str" cm="1">
        <f t="array" ref="C277">IFERROR(INDEX(#REF!, MATCH(1, (#REF! = B277) * (#REF! &lt;&gt; "Rejected") * (#REF! &lt;&gt; "Offboarded"), 0)), "")</f>
        <v/>
      </c>
      <c r="D277" s="99" t="s">
        <v>2409</v>
      </c>
      <c r="E277" s="99" t="s">
        <v>2003</v>
      </c>
      <c r="F277" s="99" t="s">
        <v>2410</v>
      </c>
      <c r="G277" s="121" t="s">
        <v>2207</v>
      </c>
    </row>
    <row r="278" spans="1:7" x14ac:dyDescent="0.35">
      <c r="A278" s="99" t="s">
        <v>1409</v>
      </c>
      <c r="B278" s="99">
        <v>90719531</v>
      </c>
      <c r="C278" s="99" t="str" cm="1">
        <f t="array" ref="C278">IFERROR(INDEX(#REF!, MATCH(1, (#REF! = B278) * (#REF! &lt;&gt; "Rejected") * (#REF! &lt;&gt; "Offboarded"), 0)), "")</f>
        <v/>
      </c>
      <c r="D278" s="99" t="s">
        <v>2411</v>
      </c>
      <c r="E278" s="99" t="s">
        <v>2412</v>
      </c>
      <c r="F278" s="99" t="s">
        <v>2412</v>
      </c>
      <c r="G278" s="121" t="s">
        <v>2207</v>
      </c>
    </row>
    <row r="279" spans="1:7" x14ac:dyDescent="0.35">
      <c r="A279" s="99" t="s">
        <v>1415</v>
      </c>
      <c r="B279" s="99">
        <v>90719345</v>
      </c>
      <c r="C279" s="99" t="str" cm="1">
        <f t="array" ref="C279">IFERROR(INDEX(#REF!, MATCH(1, (#REF! = B279) * (#REF! &lt;&gt; "Rejected") * (#REF! &lt;&gt; "Offboarded"), 0)), "")</f>
        <v/>
      </c>
      <c r="D279" s="99" t="s">
        <v>2413</v>
      </c>
      <c r="E279" s="99" t="s">
        <v>2414</v>
      </c>
      <c r="F279" s="99" t="s">
        <v>1790</v>
      </c>
      <c r="G279" s="121" t="s">
        <v>2207</v>
      </c>
    </row>
    <row r="280" spans="1:7" x14ac:dyDescent="0.35">
      <c r="A280" s="99" t="s">
        <v>1417</v>
      </c>
      <c r="B280" s="99">
        <v>90719651</v>
      </c>
      <c r="C280" s="99" t="str" cm="1">
        <f t="array" ref="C280">IFERROR(INDEX(#REF!, MATCH(1, (#REF! = B280) * (#REF! &lt;&gt; "Rejected") * (#REF! &lt;&gt; "Offboarded"), 0)), "")</f>
        <v/>
      </c>
      <c r="D280" s="99" t="s">
        <v>2415</v>
      </c>
      <c r="E280" s="99" t="s">
        <v>2018</v>
      </c>
      <c r="F280" s="99" t="s">
        <v>2416</v>
      </c>
      <c r="G280" s="121" t="s">
        <v>2207</v>
      </c>
    </row>
    <row r="281" spans="1:7" x14ac:dyDescent="0.35">
      <c r="A281" s="99" t="s">
        <v>1419</v>
      </c>
      <c r="B281" s="99">
        <v>90719724</v>
      </c>
      <c r="C281" s="99" t="str" cm="1">
        <f t="array" ref="C281">IFERROR(INDEX(#REF!, MATCH(1, (#REF! = B281) * (#REF! &lt;&gt; "Rejected") * (#REF! &lt;&gt; "Offboarded"), 0)), "")</f>
        <v/>
      </c>
      <c r="D281" s="99" t="s">
        <v>2417</v>
      </c>
      <c r="E281" s="99" t="s">
        <v>2020</v>
      </c>
      <c r="F281" s="99" t="s">
        <v>2418</v>
      </c>
      <c r="G281" s="121" t="s">
        <v>1632</v>
      </c>
    </row>
    <row r="282" spans="1:7" x14ac:dyDescent="0.35">
      <c r="A282" s="99" t="s">
        <v>2419</v>
      </c>
      <c r="B282" s="99">
        <v>90719616</v>
      </c>
      <c r="C282" s="99" t="str" cm="1">
        <f t="array" ref="C282">IFERROR(INDEX(#REF!, MATCH(1, (#REF! = B282) * (#REF! &lt;&gt; "Rejected") * (#REF! &lt;&gt; "Offboarded"), 0)), "")</f>
        <v/>
      </c>
      <c r="D282" s="99" t="s">
        <v>2420</v>
      </c>
      <c r="E282" s="99" t="s">
        <v>2421</v>
      </c>
      <c r="F282" s="99" t="s">
        <v>1719</v>
      </c>
      <c r="G282" s="121" t="s">
        <v>2207</v>
      </c>
    </row>
    <row r="283" spans="1:7" x14ac:dyDescent="0.35">
      <c r="A283" s="99" t="s">
        <v>2422</v>
      </c>
      <c r="B283" s="99">
        <v>90719623</v>
      </c>
      <c r="C283" s="99" t="str" cm="1">
        <f t="array" ref="C283">IFERROR(INDEX(#REF!, MATCH(1, (#REF! = B283) * (#REF! &lt;&gt; "Rejected") * (#REF! &lt;&gt; "Offboarded"), 0)), "")</f>
        <v/>
      </c>
      <c r="D283" s="99" t="s">
        <v>2423</v>
      </c>
      <c r="E283" s="99" t="s">
        <v>2424</v>
      </c>
      <c r="F283" s="99" t="s">
        <v>2425</v>
      </c>
      <c r="G283" s="121" t="s">
        <v>2207</v>
      </c>
    </row>
    <row r="284" spans="1:7" x14ac:dyDescent="0.35">
      <c r="A284" s="99" t="s">
        <v>2426</v>
      </c>
      <c r="B284" s="99">
        <v>90719014</v>
      </c>
      <c r="C284" s="99" t="str" cm="1">
        <f t="array" ref="C284">IFERROR(INDEX(#REF!, MATCH(1, (#REF! = B284) * (#REF! &lt;&gt; "Rejected") * (#REF! &lt;&gt; "Offboarded"), 0)), "")</f>
        <v/>
      </c>
      <c r="D284" s="99" t="s">
        <v>2427</v>
      </c>
      <c r="E284" s="99" t="s">
        <v>2428</v>
      </c>
      <c r="F284" s="99" t="s">
        <v>1761</v>
      </c>
      <c r="G284" s="121" t="s">
        <v>2207</v>
      </c>
    </row>
    <row r="285" spans="1:7" x14ac:dyDescent="0.35">
      <c r="A285" s="99" t="s">
        <v>1429</v>
      </c>
      <c r="B285" s="99">
        <v>90719475</v>
      </c>
      <c r="C285" s="99" t="str" cm="1">
        <f t="array" ref="C285">IFERROR(INDEX(#REF!, MATCH(1, (#REF! = B285) * (#REF! &lt;&gt; "Rejected") * (#REF! &lt;&gt; "Offboarded"), 0)), "")</f>
        <v/>
      </c>
      <c r="D285" s="99" t="s">
        <v>2429</v>
      </c>
      <c r="E285" s="99" t="s">
        <v>2042</v>
      </c>
      <c r="F285" s="99" t="s">
        <v>2430</v>
      </c>
      <c r="G285" s="121" t="s">
        <v>2207</v>
      </c>
    </row>
    <row r="286" spans="1:7" x14ac:dyDescent="0.35">
      <c r="A286" s="99" t="s">
        <v>1436</v>
      </c>
      <c r="B286" s="99">
        <v>90719959</v>
      </c>
      <c r="C286" s="99" t="str" cm="1">
        <f t="array" ref="C286">IFERROR(INDEX(#REF!, MATCH(1, (#REF! = B286) * (#REF! &lt;&gt; "Rejected") * (#REF! &lt;&gt; "Offboarded"), 0)), "")</f>
        <v/>
      </c>
      <c r="D286" s="99" t="s">
        <v>2431</v>
      </c>
      <c r="E286" s="99" t="s">
        <v>2432</v>
      </c>
      <c r="F286" s="99" t="s">
        <v>2433</v>
      </c>
      <c r="G286" s="121" t="s">
        <v>2207</v>
      </c>
    </row>
    <row r="287" spans="1:7" x14ac:dyDescent="0.35">
      <c r="A287" s="99" t="s">
        <v>1437</v>
      </c>
      <c r="B287" s="99">
        <v>90729815</v>
      </c>
      <c r="C287" s="99" t="str" cm="1">
        <f t="array" ref="C287">IFERROR(INDEX(#REF!, MATCH(1, (#REF! = B287) * (#REF! &lt;&gt; "Rejected") * (#REF! &lt;&gt; "Offboarded"), 0)), "")</f>
        <v/>
      </c>
      <c r="D287" s="99" t="s">
        <v>2434</v>
      </c>
      <c r="E287" s="99" t="s">
        <v>2435</v>
      </c>
      <c r="F287" s="99" t="s">
        <v>2436</v>
      </c>
      <c r="G287" s="121" t="s">
        <v>249</v>
      </c>
    </row>
    <row r="288" spans="1:7" x14ac:dyDescent="0.35">
      <c r="A288" s="99" t="s">
        <v>1441</v>
      </c>
      <c r="B288" s="99">
        <v>90719526</v>
      </c>
      <c r="C288" s="99" t="str" cm="1">
        <f t="array" ref="C288">IFERROR(INDEX(#REF!, MATCH(1, (#REF! = B288) * (#REF! &lt;&gt; "Rejected") * (#REF! &lt;&gt; "Offboarded"), 0)), "")</f>
        <v/>
      </c>
      <c r="D288" s="99" t="s">
        <v>2437</v>
      </c>
      <c r="E288" s="99" t="s">
        <v>2438</v>
      </c>
      <c r="F288" s="99" t="s">
        <v>2439</v>
      </c>
      <c r="G288" s="121" t="s">
        <v>2207</v>
      </c>
    </row>
    <row r="289" spans="1:7" x14ac:dyDescent="0.35">
      <c r="A289" s="99" t="s">
        <v>1442</v>
      </c>
      <c r="B289" s="99">
        <v>90719527</v>
      </c>
      <c r="C289" s="99" t="str" cm="1">
        <f t="array" ref="C289">IFERROR(INDEX(#REF!, MATCH(1, (#REF! = B289) * (#REF! &lt;&gt; "Rejected") * (#REF! &lt;&gt; "Offboarded"), 0)), "")</f>
        <v/>
      </c>
      <c r="D289" s="99" t="s">
        <v>2440</v>
      </c>
      <c r="E289" s="99" t="s">
        <v>2441</v>
      </c>
      <c r="F289" s="99" t="s">
        <v>2442</v>
      </c>
      <c r="G289" s="121" t="s">
        <v>2207</v>
      </c>
    </row>
    <row r="290" spans="1:7" x14ac:dyDescent="0.35">
      <c r="A290" s="99" t="s">
        <v>1444</v>
      </c>
      <c r="B290" s="99">
        <v>90719865</v>
      </c>
      <c r="C290" s="99" t="str" cm="1">
        <f t="array" ref="C290">IFERROR(INDEX(#REF!, MATCH(1, (#REF! = B290) * (#REF! &lt;&gt; "Rejected") * (#REF! &lt;&gt; "Offboarded"), 0)), "")</f>
        <v/>
      </c>
      <c r="D290" s="99" t="s">
        <v>2443</v>
      </c>
      <c r="E290" s="99" t="s">
        <v>2444</v>
      </c>
      <c r="F290" s="99" t="s">
        <v>2445</v>
      </c>
      <c r="G290" s="121" t="s">
        <v>2207</v>
      </c>
    </row>
    <row r="291" spans="1:7" x14ac:dyDescent="0.35">
      <c r="A291" s="99" t="s">
        <v>1449</v>
      </c>
      <c r="B291" s="99">
        <v>90719677</v>
      </c>
      <c r="C291" s="99" t="str" cm="1">
        <f t="array" ref="C291">IFERROR(INDEX(#REF!, MATCH(1, (#REF! = B291) * (#REF! &lt;&gt; "Rejected") * (#REF! &lt;&gt; "Offboarded"), 0)), "")</f>
        <v/>
      </c>
      <c r="D291" s="99" t="s">
        <v>2446</v>
      </c>
      <c r="E291" s="99" t="s">
        <v>2447</v>
      </c>
      <c r="F291" s="99" t="s">
        <v>2448</v>
      </c>
      <c r="G291" s="121" t="s">
        <v>2207</v>
      </c>
    </row>
    <row r="292" spans="1:7" x14ac:dyDescent="0.35">
      <c r="A292" s="99" t="s">
        <v>1451</v>
      </c>
      <c r="B292" s="99">
        <v>90719500</v>
      </c>
      <c r="C292" s="99" t="str" cm="1">
        <f t="array" ref="C292">IFERROR(INDEX(#REF!, MATCH(1, (#REF! = B292) * (#REF! &lt;&gt; "Rejected") * (#REF! &lt;&gt; "Offboarded"), 0)), "")</f>
        <v/>
      </c>
      <c r="D292" s="99" t="s">
        <v>2449</v>
      </c>
      <c r="E292" s="99" t="s">
        <v>2450</v>
      </c>
      <c r="F292" s="99" t="s">
        <v>2428</v>
      </c>
      <c r="G292" s="121" t="s">
        <v>2207</v>
      </c>
    </row>
    <row r="293" spans="1:7" x14ac:dyDescent="0.35">
      <c r="A293" s="99" t="s">
        <v>1455</v>
      </c>
      <c r="B293" s="99">
        <v>90719470</v>
      </c>
      <c r="C293" s="99" t="str" cm="1">
        <f t="array" ref="C293">IFERROR(INDEX(#REF!, MATCH(1, (#REF! = B293) * (#REF! &lt;&gt; "Rejected") * (#REF! &lt;&gt; "Offboarded"), 0)), "")</f>
        <v/>
      </c>
      <c r="D293" s="99" t="s">
        <v>2451</v>
      </c>
      <c r="E293" s="99" t="s">
        <v>2452</v>
      </c>
      <c r="F293" s="99" t="s">
        <v>1672</v>
      </c>
      <c r="G293" s="121" t="s">
        <v>2207</v>
      </c>
    </row>
    <row r="294" spans="1:7" x14ac:dyDescent="0.35">
      <c r="A294" s="99" t="s">
        <v>1458</v>
      </c>
      <c r="B294" s="99">
        <v>90719433</v>
      </c>
      <c r="C294" s="99" t="str" cm="1">
        <f t="array" ref="C294">IFERROR(INDEX(#REF!, MATCH(1, (#REF! = B294) * (#REF! &lt;&gt; "Rejected") * (#REF! &lt;&gt; "Offboarded"), 0)), "")</f>
        <v/>
      </c>
      <c r="D294" s="99" t="s">
        <v>2453</v>
      </c>
      <c r="E294" s="99" t="s">
        <v>2454</v>
      </c>
      <c r="F294" s="99" t="s">
        <v>2455</v>
      </c>
      <c r="G294" s="121" t="s">
        <v>2207</v>
      </c>
    </row>
    <row r="295" spans="1:7" x14ac:dyDescent="0.35">
      <c r="A295" s="99" t="s">
        <v>1461</v>
      </c>
      <c r="B295" s="99">
        <v>90719378</v>
      </c>
      <c r="C295" s="99" t="str" cm="1">
        <f t="array" ref="C295">IFERROR(INDEX(#REF!, MATCH(1, (#REF! = B295) * (#REF! &lt;&gt; "Rejected") * (#REF! &lt;&gt; "Offboarded"), 0)), "")</f>
        <v/>
      </c>
      <c r="D295" s="99" t="s">
        <v>2456</v>
      </c>
      <c r="E295" s="99" t="s">
        <v>2098</v>
      </c>
      <c r="F295" s="99" t="s">
        <v>2457</v>
      </c>
      <c r="G295" s="121" t="s">
        <v>2207</v>
      </c>
    </row>
    <row r="296" spans="1:7" x14ac:dyDescent="0.35">
      <c r="A296" s="99" t="s">
        <v>1462</v>
      </c>
      <c r="B296" s="99">
        <v>90719837</v>
      </c>
      <c r="C296" s="99" t="str" cm="1">
        <f t="array" ref="C296">IFERROR(INDEX(#REF!, MATCH(1, (#REF! = B296) * (#REF! &lt;&gt; "Rejected") * (#REF! &lt;&gt; "Offboarded"), 0)), "")</f>
        <v/>
      </c>
      <c r="D296" s="99" t="s">
        <v>2458</v>
      </c>
      <c r="E296" s="99" t="s">
        <v>2098</v>
      </c>
      <c r="F296" s="99" t="s">
        <v>2459</v>
      </c>
      <c r="G296" s="121" t="s">
        <v>2207</v>
      </c>
    </row>
    <row r="297" spans="1:7" x14ac:dyDescent="0.35">
      <c r="A297" s="99" t="s">
        <v>1471</v>
      </c>
      <c r="B297" s="99">
        <v>90719354</v>
      </c>
      <c r="C297" s="99" t="str" cm="1">
        <f t="array" ref="C297">IFERROR(INDEX(#REF!, MATCH(1, (#REF! = B297) * (#REF! &lt;&gt; "Rejected") * (#REF! &lt;&gt; "Offboarded"), 0)), "")</f>
        <v/>
      </c>
      <c r="D297" s="99" t="s">
        <v>2460</v>
      </c>
      <c r="E297" s="99" t="s">
        <v>2461</v>
      </c>
      <c r="F297" s="99" t="s">
        <v>2087</v>
      </c>
      <c r="G297" s="121" t="s">
        <v>2207</v>
      </c>
    </row>
    <row r="298" spans="1:7" x14ac:dyDescent="0.35">
      <c r="A298" s="99" t="s">
        <v>1473</v>
      </c>
      <c r="B298" s="99">
        <v>90719975</v>
      </c>
      <c r="C298" s="99" t="str" cm="1">
        <f t="array" ref="C298">IFERROR(INDEX(#REF!, MATCH(1, (#REF! = B298) * (#REF! &lt;&gt; "Rejected") * (#REF! &lt;&gt; "Offboarded"), 0)), "")</f>
        <v/>
      </c>
      <c r="D298" s="99" t="s">
        <v>2462</v>
      </c>
      <c r="E298" s="99" t="s">
        <v>2463</v>
      </c>
      <c r="F298" s="99" t="s">
        <v>2464</v>
      </c>
      <c r="G298" s="121" t="s">
        <v>2207</v>
      </c>
    </row>
    <row r="299" spans="1:7" x14ac:dyDescent="0.35">
      <c r="A299" s="99" t="s">
        <v>1479</v>
      </c>
      <c r="B299" s="99">
        <v>90719514</v>
      </c>
      <c r="C299" s="99" t="str" cm="1">
        <f t="array" ref="C299">IFERROR(INDEX(#REF!, MATCH(1, (#REF! = B299) * (#REF! &lt;&gt; "Rejected") * (#REF! &lt;&gt; "Offboarded"), 0)), "")</f>
        <v/>
      </c>
      <c r="D299" s="99" t="s">
        <v>2465</v>
      </c>
      <c r="E299" s="99" t="s">
        <v>2466</v>
      </c>
      <c r="F299" s="99" t="s">
        <v>1790</v>
      </c>
      <c r="G299" s="121" t="s">
        <v>2207</v>
      </c>
    </row>
    <row r="300" spans="1:7" x14ac:dyDescent="0.35">
      <c r="A300" s="99" t="s">
        <v>1480</v>
      </c>
      <c r="B300" s="99">
        <v>90719633</v>
      </c>
      <c r="C300" s="99" t="str" cm="1">
        <f t="array" ref="C300">IFERROR(INDEX(#REF!, MATCH(1, (#REF! = B300) * (#REF! &lt;&gt; "Rejected") * (#REF! &lt;&gt; "Offboarded"), 0)), "")</f>
        <v/>
      </c>
      <c r="D300" s="99" t="s">
        <v>2467</v>
      </c>
      <c r="E300" s="99" t="s">
        <v>2468</v>
      </c>
      <c r="F300" s="99" t="s">
        <v>2469</v>
      </c>
      <c r="G300" s="121" t="s">
        <v>2207</v>
      </c>
    </row>
    <row r="301" spans="1:7" x14ac:dyDescent="0.35">
      <c r="A301" s="99" t="s">
        <v>2470</v>
      </c>
      <c r="B301" s="99">
        <v>90719372</v>
      </c>
      <c r="C301" s="99" t="str" cm="1">
        <f t="array" ref="C301">IFERROR(INDEX(#REF!, MATCH(1, (#REF! = B301) * (#REF! &lt;&gt; "Rejected") * (#REF! &lt;&gt; "Offboarded"), 0)), "")</f>
        <v/>
      </c>
      <c r="D301" s="99" t="s">
        <v>2471</v>
      </c>
      <c r="E301" s="99" t="s">
        <v>2472</v>
      </c>
      <c r="F301" s="99" t="s">
        <v>2473</v>
      </c>
      <c r="G301" s="121" t="s">
        <v>2207</v>
      </c>
    </row>
    <row r="302" spans="1:7" x14ac:dyDescent="0.35">
      <c r="A302" s="99" t="s">
        <v>1482</v>
      </c>
      <c r="B302" s="99">
        <v>90719462</v>
      </c>
      <c r="C302" s="99" t="str" cm="1">
        <f t="array" ref="C302">IFERROR(INDEX(#REF!, MATCH(1, (#REF! = B302) * (#REF! &lt;&gt; "Rejected") * (#REF! &lt;&gt; "Offboarded"), 0)), "")</f>
        <v/>
      </c>
      <c r="D302" s="99" t="s">
        <v>2474</v>
      </c>
      <c r="E302" s="99" t="s">
        <v>2475</v>
      </c>
      <c r="F302" s="99" t="s">
        <v>1639</v>
      </c>
      <c r="G302" s="121" t="s">
        <v>2207</v>
      </c>
    </row>
    <row r="303" spans="1:7" x14ac:dyDescent="0.35">
      <c r="A303" s="99" t="s">
        <v>1490</v>
      </c>
      <c r="B303" s="99">
        <v>90719469</v>
      </c>
      <c r="C303" s="99" t="str" cm="1">
        <f t="array" ref="C303">IFERROR(INDEX(#REF!, MATCH(1, (#REF! = B303) * (#REF! &lt;&gt; "Rejected") * (#REF! &lt;&gt; "Offboarded"), 0)), "")</f>
        <v/>
      </c>
      <c r="D303" s="99" t="s">
        <v>2476</v>
      </c>
      <c r="E303" s="99" t="s">
        <v>2477</v>
      </c>
      <c r="F303" s="99" t="s">
        <v>2478</v>
      </c>
      <c r="G303" s="121" t="s">
        <v>2207</v>
      </c>
    </row>
    <row r="304" spans="1:7" x14ac:dyDescent="0.35">
      <c r="A304" s="99" t="s">
        <v>1491</v>
      </c>
      <c r="B304" s="99">
        <v>90719465</v>
      </c>
      <c r="C304" s="99" t="str" cm="1">
        <f t="array" ref="C304">IFERROR(INDEX(#REF!, MATCH(1, (#REF! = B304) * (#REF! &lt;&gt; "Rejected") * (#REF! &lt;&gt; "Offboarded"), 0)), "")</f>
        <v/>
      </c>
      <c r="D304" s="99" t="s">
        <v>2479</v>
      </c>
      <c r="E304" s="99" t="s">
        <v>2480</v>
      </c>
      <c r="F304" s="99" t="s">
        <v>2481</v>
      </c>
      <c r="G304" s="121" t="s">
        <v>2207</v>
      </c>
    </row>
    <row r="305" spans="1:7" x14ac:dyDescent="0.35">
      <c r="A305" s="99" t="s">
        <v>1492</v>
      </c>
      <c r="B305" s="99">
        <v>90719457</v>
      </c>
      <c r="C305" s="99" t="str" cm="1">
        <f t="array" ref="C305">IFERROR(INDEX(#REF!, MATCH(1, (#REF! = B305) * (#REF! &lt;&gt; "Rejected") * (#REF! &lt;&gt; "Offboarded"), 0)), "")</f>
        <v/>
      </c>
      <c r="D305" s="99" t="s">
        <v>2482</v>
      </c>
      <c r="E305" s="99" t="s">
        <v>2483</v>
      </c>
      <c r="F305" s="99" t="s">
        <v>2153</v>
      </c>
      <c r="G305" s="121" t="s">
        <v>2207</v>
      </c>
    </row>
    <row r="306" spans="1:7" x14ac:dyDescent="0.35">
      <c r="A306" s="99" t="s">
        <v>1493</v>
      </c>
      <c r="B306" s="99">
        <v>90719426</v>
      </c>
      <c r="C306" s="99" t="str" cm="1">
        <f t="array" ref="C306">IFERROR(INDEX(#REF!, MATCH(1, (#REF! = B306) * (#REF! &lt;&gt; "Rejected") * (#REF! &lt;&gt; "Offboarded"), 0)), "")</f>
        <v/>
      </c>
      <c r="D306" s="99" t="s">
        <v>2484</v>
      </c>
      <c r="E306" s="99" t="s">
        <v>2485</v>
      </c>
      <c r="F306" s="99" t="s">
        <v>2486</v>
      </c>
      <c r="G306" s="121" t="s">
        <v>2207</v>
      </c>
    </row>
    <row r="307" spans="1:7" x14ac:dyDescent="0.35">
      <c r="A307" s="99" t="s">
        <v>1494</v>
      </c>
      <c r="B307" s="99">
        <v>90719713</v>
      </c>
      <c r="C307" s="99" t="str" cm="1">
        <f t="array" ref="C307">IFERROR(INDEX(#REF!, MATCH(1, (#REF! = B307) * (#REF! &lt;&gt; "Rejected") * (#REF! &lt;&gt; "Offboarded"), 0)), "")</f>
        <v/>
      </c>
      <c r="D307" s="99" t="s">
        <v>2487</v>
      </c>
      <c r="E307" s="99" t="s">
        <v>2488</v>
      </c>
      <c r="F307" s="99" t="s">
        <v>2489</v>
      </c>
      <c r="G307" s="121" t="s">
        <v>2207</v>
      </c>
    </row>
    <row r="308" spans="1:7" x14ac:dyDescent="0.35">
      <c r="A308" s="99" t="s">
        <v>2490</v>
      </c>
      <c r="B308" s="99">
        <v>90719574</v>
      </c>
      <c r="C308" s="99" t="str" cm="1">
        <f t="array" ref="C308">IFERROR(INDEX(#REF!, MATCH(1, (#REF! = B308) * (#REF! &lt;&gt; "Rejected") * (#REF! &lt;&gt; "Offboarded"), 0)), "")</f>
        <v/>
      </c>
      <c r="D308" s="99" t="s">
        <v>2491</v>
      </c>
      <c r="E308" s="99" t="s">
        <v>2157</v>
      </c>
      <c r="F308" s="99" t="s">
        <v>2492</v>
      </c>
      <c r="G308" s="121" t="s">
        <v>2207</v>
      </c>
    </row>
    <row r="309" spans="1:7" x14ac:dyDescent="0.35">
      <c r="A309" s="99" t="s">
        <v>1501</v>
      </c>
      <c r="B309" s="99">
        <v>90719610</v>
      </c>
      <c r="C309" s="99" t="str" cm="1">
        <f t="array" ref="C309">IFERROR(INDEX(#REF!, MATCH(1, (#REF! = B309) * (#REF! &lt;&gt; "Rejected") * (#REF! &lt;&gt; "Offboarded"), 0)), "")</f>
        <v/>
      </c>
      <c r="D309" s="99" t="s">
        <v>2493</v>
      </c>
      <c r="E309" s="99" t="s">
        <v>2494</v>
      </c>
      <c r="F309" s="99" t="s">
        <v>2495</v>
      </c>
      <c r="G309" s="121" t="s">
        <v>2207</v>
      </c>
    </row>
    <row r="310" spans="1:7" x14ac:dyDescent="0.35">
      <c r="A310" s="99" t="s">
        <v>1503</v>
      </c>
      <c r="B310" s="99">
        <v>90719236</v>
      </c>
      <c r="C310" s="99" t="str" cm="1">
        <f t="array" ref="C310">IFERROR(INDEX(#REF!, MATCH(1, (#REF! = B310) * (#REF! &lt;&gt; "Rejected") * (#REF! &lt;&gt; "Offboarded"), 0)), "")</f>
        <v/>
      </c>
      <c r="D310" s="99" t="s">
        <v>2496</v>
      </c>
      <c r="E310" s="99" t="s">
        <v>2497</v>
      </c>
      <c r="F310" s="99" t="s">
        <v>2498</v>
      </c>
      <c r="G310" s="121" t="s">
        <v>2207</v>
      </c>
    </row>
    <row r="311" spans="1:7" x14ac:dyDescent="0.35">
      <c r="A311" s="99" t="s">
        <v>1506</v>
      </c>
      <c r="B311" s="99">
        <v>90719628</v>
      </c>
      <c r="C311" s="99" t="str" cm="1">
        <f t="array" ref="C311">IFERROR(INDEX(#REF!, MATCH(1, (#REF! = B311) * (#REF! &lt;&gt; "Rejected") * (#REF! &lt;&gt; "Offboarded"), 0)), "")</f>
        <v/>
      </c>
      <c r="D311" s="99" t="s">
        <v>2499</v>
      </c>
      <c r="E311" s="99" t="s">
        <v>2500</v>
      </c>
      <c r="F311" s="99" t="s">
        <v>1758</v>
      </c>
      <c r="G311" s="121" t="s">
        <v>2207</v>
      </c>
    </row>
    <row r="312" spans="1:7" x14ac:dyDescent="0.35">
      <c r="A312" s="99" t="s">
        <v>1507</v>
      </c>
      <c r="B312" s="99">
        <v>90727246</v>
      </c>
      <c r="C312" s="99" t="str" cm="1">
        <f t="array" ref="C312">IFERROR(INDEX(#REF!, MATCH(1, (#REF! = B312) * (#REF! &lt;&gt; "Rejected") * (#REF! &lt;&gt; "Offboarded"), 0)), "")</f>
        <v/>
      </c>
      <c r="D312" s="99" t="s">
        <v>2501</v>
      </c>
      <c r="E312" s="99" t="s">
        <v>2502</v>
      </c>
      <c r="F312" s="99" t="s">
        <v>1672</v>
      </c>
      <c r="G312" s="121" t="s">
        <v>2207</v>
      </c>
    </row>
    <row r="313" spans="1:7" x14ac:dyDescent="0.35">
      <c r="A313" s="99" t="s">
        <v>1510</v>
      </c>
      <c r="B313" s="99">
        <v>90719381</v>
      </c>
      <c r="C313" s="99" t="str" cm="1">
        <f t="array" ref="C313">IFERROR(INDEX(#REF!, MATCH(1, (#REF! = B313) * (#REF! &lt;&gt; "Rejected") * (#REF! &lt;&gt; "Offboarded"), 0)), "")</f>
        <v/>
      </c>
      <c r="D313" s="99" t="s">
        <v>2503</v>
      </c>
      <c r="E313" s="99" t="s">
        <v>2504</v>
      </c>
      <c r="F313" s="99" t="s">
        <v>2505</v>
      </c>
      <c r="G313" s="121" t="s">
        <v>2207</v>
      </c>
    </row>
    <row r="314" spans="1:7" x14ac:dyDescent="0.35">
      <c r="A314" s="99" t="s">
        <v>1511</v>
      </c>
      <c r="B314" s="99">
        <v>90719534</v>
      </c>
      <c r="C314" s="99" t="str" cm="1">
        <f t="array" ref="C314">IFERROR(INDEX(#REF!, MATCH(1, (#REF! = B314) * (#REF! &lt;&gt; "Rejected") * (#REF! &lt;&gt; "Offboarded"), 0)), "")</f>
        <v/>
      </c>
      <c r="D314" s="99" t="s">
        <v>2506</v>
      </c>
      <c r="E314" s="99" t="s">
        <v>2507</v>
      </c>
      <c r="F314" s="99" t="s">
        <v>2508</v>
      </c>
      <c r="G314" s="121" t="s">
        <v>2207</v>
      </c>
    </row>
    <row r="315" spans="1:7" x14ac:dyDescent="0.35">
      <c r="A315" s="99" t="s">
        <v>1519</v>
      </c>
      <c r="B315" s="99">
        <v>90718836</v>
      </c>
      <c r="C315" s="99" t="str" cm="1">
        <f t="array" ref="C315">IFERROR(INDEX(#REF!, MATCH(1, (#REF! = B315) * (#REF! &lt;&gt; "Rejected") * (#REF! &lt;&gt; "Offboarded"), 0)), "")</f>
        <v/>
      </c>
      <c r="D315" s="99" t="s">
        <v>2509</v>
      </c>
      <c r="E315" s="99" t="s">
        <v>2510</v>
      </c>
      <c r="F315" s="99" t="s">
        <v>2511</v>
      </c>
      <c r="G315" s="121" t="s">
        <v>2207</v>
      </c>
    </row>
    <row r="316" spans="1:7" x14ac:dyDescent="0.35">
      <c r="A316" s="99" t="s">
        <v>1520</v>
      </c>
      <c r="B316" s="99">
        <v>90719316</v>
      </c>
      <c r="C316" s="99" t="str" cm="1">
        <f t="array" ref="C316">IFERROR(INDEX(#REF!, MATCH(1, (#REF! = B316) * (#REF! &lt;&gt; "Rejected") * (#REF! &lt;&gt; "Offboarded"), 0)), "")</f>
        <v/>
      </c>
      <c r="D316" s="99" t="s">
        <v>2512</v>
      </c>
      <c r="E316" s="99" t="s">
        <v>2510</v>
      </c>
      <c r="F316" s="99" t="s">
        <v>1652</v>
      </c>
      <c r="G316" s="121" t="s">
        <v>2207</v>
      </c>
    </row>
    <row r="317" spans="1:7" x14ac:dyDescent="0.35">
      <c r="A317" s="99" t="s">
        <v>2513</v>
      </c>
      <c r="B317" s="99">
        <v>90719626</v>
      </c>
      <c r="C317" s="99" t="str" cm="1">
        <f t="array" ref="C317">IFERROR(INDEX(#REF!, MATCH(1, (#REF! = B317) * (#REF! &lt;&gt; "Rejected") * (#REF! &lt;&gt; "Offboarded"), 0)), "")</f>
        <v/>
      </c>
      <c r="D317" s="99" t="s">
        <v>2514</v>
      </c>
      <c r="E317" s="99" t="s">
        <v>2515</v>
      </c>
      <c r="F317" s="99" t="s">
        <v>2516</v>
      </c>
      <c r="G317" s="121" t="s">
        <v>2207</v>
      </c>
    </row>
    <row r="318" spans="1:7" x14ac:dyDescent="0.35">
      <c r="A318" s="99" t="s">
        <v>1522</v>
      </c>
      <c r="B318" s="99">
        <v>90719884</v>
      </c>
      <c r="C318" s="99" t="str" cm="1">
        <f t="array" ref="C318">IFERROR(INDEX(#REF!, MATCH(1, (#REF! = B318) * (#REF! &lt;&gt; "Rejected") * (#REF! &lt;&gt; "Offboarded"), 0)), "")</f>
        <v/>
      </c>
      <c r="D318" s="99" t="s">
        <v>2517</v>
      </c>
      <c r="E318" s="99" t="s">
        <v>2518</v>
      </c>
      <c r="F318" s="99" t="s">
        <v>2299</v>
      </c>
      <c r="G318" s="121" t="s">
        <v>2207</v>
      </c>
    </row>
    <row r="319" spans="1:7" x14ac:dyDescent="0.35">
      <c r="A319" s="99" t="s">
        <v>1523</v>
      </c>
      <c r="B319" s="99">
        <v>90719517</v>
      </c>
      <c r="C319" s="99" t="str" cm="1">
        <f t="array" ref="C319">IFERROR(INDEX(#REF!, MATCH(1, (#REF! = B319) * (#REF! &lt;&gt; "Rejected") * (#REF! &lt;&gt; "Offboarded"), 0)), "")</f>
        <v/>
      </c>
      <c r="D319" s="99" t="s">
        <v>2519</v>
      </c>
      <c r="E319" s="99" t="s">
        <v>2520</v>
      </c>
      <c r="F319" s="99" t="s">
        <v>2406</v>
      </c>
      <c r="G319" s="121" t="s">
        <v>2207</v>
      </c>
    </row>
    <row r="320" spans="1:7" x14ac:dyDescent="0.35">
      <c r="A320" s="99" t="s">
        <v>1525</v>
      </c>
      <c r="B320" s="99">
        <v>90719454</v>
      </c>
      <c r="C320" s="99" t="str" cm="1">
        <f t="array" ref="C320">IFERROR(INDEX(#REF!, MATCH(1, (#REF! = B320) * (#REF! &lt;&gt; "Rejected") * (#REF! &lt;&gt; "Offboarded"), 0)), "")</f>
        <v/>
      </c>
      <c r="D320" s="99" t="s">
        <v>2521</v>
      </c>
      <c r="E320" s="99" t="s">
        <v>1612</v>
      </c>
      <c r="F320" s="99" t="s">
        <v>1866</v>
      </c>
      <c r="G320" s="121" t="s">
        <v>2207</v>
      </c>
    </row>
    <row r="321" spans="1:7" x14ac:dyDescent="0.35">
      <c r="A321" s="99" t="s">
        <v>1526</v>
      </c>
      <c r="B321" s="99">
        <v>90719484</v>
      </c>
      <c r="C321" s="99" t="str" cm="1">
        <f t="array" ref="C321">IFERROR(INDEX(#REF!, MATCH(1, (#REF! = B321) * (#REF! &lt;&gt; "Rejected") * (#REF! &lt;&gt; "Offboarded"), 0)), "")</f>
        <v/>
      </c>
      <c r="D321" s="99" t="s">
        <v>2522</v>
      </c>
      <c r="E321" s="99" t="s">
        <v>2523</v>
      </c>
      <c r="F321" s="99" t="s">
        <v>2524</v>
      </c>
      <c r="G321" s="121" t="s">
        <v>2207</v>
      </c>
    </row>
    <row r="322" spans="1:7" x14ac:dyDescent="0.35">
      <c r="A322" s="99" t="s">
        <v>1531</v>
      </c>
      <c r="B322" s="99">
        <v>90719569</v>
      </c>
      <c r="C322" s="99" t="str" cm="1">
        <f t="array" ref="C322">IFERROR(INDEX(#REF!, MATCH(1, (#REF! = B322) * (#REF! &lt;&gt; "Rejected") * (#REF! &lt;&gt; "Offboarded"), 0)), "")</f>
        <v/>
      </c>
      <c r="D322" s="99" t="s">
        <v>2525</v>
      </c>
      <c r="E322" s="99" t="s">
        <v>2526</v>
      </c>
      <c r="F322" s="99" t="s">
        <v>2527</v>
      </c>
      <c r="G322" s="121" t="s">
        <v>2207</v>
      </c>
    </row>
    <row r="323" spans="1:7" x14ac:dyDescent="0.35">
      <c r="A323" s="99" t="s">
        <v>1532</v>
      </c>
      <c r="B323" s="99">
        <v>90719511</v>
      </c>
      <c r="C323" s="99" t="str" cm="1">
        <f t="array" ref="C323">IFERROR(INDEX(#REF!, MATCH(1, (#REF! = B323) * (#REF! &lt;&gt; "Rejected") * (#REF! &lt;&gt; "Offboarded"), 0)), "")</f>
        <v/>
      </c>
      <c r="D323" s="99" t="s">
        <v>2528</v>
      </c>
      <c r="E323" s="99" t="s">
        <v>2529</v>
      </c>
      <c r="F323" s="99" t="s">
        <v>2530</v>
      </c>
      <c r="G323" s="121" t="s">
        <v>2207</v>
      </c>
    </row>
    <row r="324" spans="1:7" x14ac:dyDescent="0.35">
      <c r="A324" s="99" t="s">
        <v>1190</v>
      </c>
      <c r="B324" s="99">
        <v>90718839</v>
      </c>
      <c r="C324" s="99" t="str" cm="1">
        <f t="array" ref="C324">IFERROR(INDEX(#REF!, MATCH(1, (#REF! = B324) * (#REF! &lt;&gt; "Rejected") * (#REF! &lt;&gt; "Offboarded"), 0)), "")</f>
        <v/>
      </c>
      <c r="D324" s="99" t="s">
        <v>2531</v>
      </c>
      <c r="E324" s="99" t="s">
        <v>2532</v>
      </c>
      <c r="F324" s="99" t="s">
        <v>2365</v>
      </c>
      <c r="G324" s="121" t="s">
        <v>2533</v>
      </c>
    </row>
    <row r="325" spans="1:7" x14ac:dyDescent="0.35">
      <c r="A325" s="99" t="s">
        <v>2534</v>
      </c>
      <c r="B325" s="99">
        <v>90718957</v>
      </c>
      <c r="C325" s="99" t="str" cm="1">
        <f t="array" ref="C325">IFERROR(INDEX(#REF!, MATCH(1, (#REF! = B325) * (#REF! &lt;&gt; "Rejected") * (#REF! &lt;&gt; "Offboarded"), 0)), "")</f>
        <v/>
      </c>
      <c r="D325" s="99" t="s">
        <v>2535</v>
      </c>
      <c r="E325" s="99" t="s">
        <v>1665</v>
      </c>
      <c r="F325" s="99" t="s">
        <v>2530</v>
      </c>
      <c r="G325" s="121" t="s">
        <v>2533</v>
      </c>
    </row>
    <row r="326" spans="1:7" x14ac:dyDescent="0.35">
      <c r="A326" s="99" t="s">
        <v>1219</v>
      </c>
      <c r="B326" s="99">
        <v>90719376</v>
      </c>
      <c r="C326" s="99" t="str" cm="1">
        <f t="array" ref="C326">IFERROR(INDEX(#REF!, MATCH(1, (#REF! = B326) * (#REF! &lt;&gt; "Rejected") * (#REF! &lt;&gt; "Offboarded"), 0)), "")</f>
        <v/>
      </c>
      <c r="D326" s="99" t="s">
        <v>2536</v>
      </c>
      <c r="E326" s="99" t="s">
        <v>2537</v>
      </c>
      <c r="F326" s="99" t="s">
        <v>2530</v>
      </c>
      <c r="G326" s="121" t="s">
        <v>2533</v>
      </c>
    </row>
    <row r="327" spans="1:7" x14ac:dyDescent="0.35">
      <c r="A327" s="99" t="s">
        <v>1224</v>
      </c>
      <c r="B327" s="99">
        <v>90719778</v>
      </c>
      <c r="C327" s="99" t="str" cm="1">
        <f t="array" ref="C327">IFERROR(INDEX(#REF!, MATCH(1, (#REF! = B327) * (#REF! &lt;&gt; "Rejected") * (#REF! &lt;&gt; "Offboarded"), 0)), "")</f>
        <v/>
      </c>
      <c r="D327" s="99" t="s">
        <v>2538</v>
      </c>
      <c r="E327" s="99" t="s">
        <v>2539</v>
      </c>
      <c r="F327" s="99" t="s">
        <v>2540</v>
      </c>
      <c r="G327" s="121" t="s">
        <v>2533</v>
      </c>
    </row>
    <row r="328" spans="1:7" x14ac:dyDescent="0.35">
      <c r="A328" s="99" t="s">
        <v>1225</v>
      </c>
      <c r="B328" s="99">
        <v>80116859</v>
      </c>
      <c r="C328" s="99" t="str" cm="1">
        <f t="array" ref="C328">IFERROR(INDEX(#REF!, MATCH(1, (#REF! = B328) * (#REF! &lt;&gt; "Rejected") * (#REF! &lt;&gt; "Offboarded"), 0)), "")</f>
        <v/>
      </c>
      <c r="D328" s="99" t="s">
        <v>2541</v>
      </c>
      <c r="E328" s="99" t="s">
        <v>2542</v>
      </c>
      <c r="F328" s="99" t="s">
        <v>1767</v>
      </c>
      <c r="G328" s="121" t="s">
        <v>2533</v>
      </c>
    </row>
    <row r="329" spans="1:7" x14ac:dyDescent="0.35">
      <c r="A329" s="99" t="s">
        <v>1226</v>
      </c>
      <c r="B329" s="99">
        <v>90718993</v>
      </c>
      <c r="C329" s="99" t="str" cm="1">
        <f t="array" ref="C329">IFERROR(INDEX(#REF!, MATCH(1, (#REF! = B329) * (#REF! &lt;&gt; "Rejected") * (#REF! &lt;&gt; "Offboarded"), 0)), "")</f>
        <v/>
      </c>
      <c r="D329" s="99" t="s">
        <v>2543</v>
      </c>
      <c r="E329" s="99" t="s">
        <v>2544</v>
      </c>
      <c r="F329" s="99" t="s">
        <v>1639</v>
      </c>
      <c r="G329" s="121" t="s">
        <v>2533</v>
      </c>
    </row>
    <row r="330" spans="1:7" x14ac:dyDescent="0.35">
      <c r="A330" s="99" t="s">
        <v>1230</v>
      </c>
      <c r="B330" s="99">
        <v>90718856</v>
      </c>
      <c r="C330" s="99" t="str" cm="1">
        <f t="array" ref="C330">IFERROR(INDEX(#REF!, MATCH(1, (#REF! = B330) * (#REF! &lt;&gt; "Rejected") * (#REF! &lt;&gt; "Offboarded"), 0)), "")</f>
        <v/>
      </c>
      <c r="D330" s="99" t="s">
        <v>2545</v>
      </c>
      <c r="E330" s="99" t="s">
        <v>1679</v>
      </c>
      <c r="F330" s="99" t="s">
        <v>1652</v>
      </c>
      <c r="G330" s="121" t="s">
        <v>2533</v>
      </c>
    </row>
    <row r="331" spans="1:7" x14ac:dyDescent="0.35">
      <c r="A331" s="99" t="s">
        <v>1237</v>
      </c>
      <c r="B331" s="99">
        <v>90718946</v>
      </c>
      <c r="C331" s="99" t="str" cm="1">
        <f t="array" ref="C331">IFERROR(INDEX(#REF!, MATCH(1, (#REF! = B331) * (#REF! &lt;&gt; "Rejected") * (#REF! &lt;&gt; "Offboarded"), 0)), "")</f>
        <v/>
      </c>
      <c r="D331" s="99" t="s">
        <v>2546</v>
      </c>
      <c r="E331" s="99" t="s">
        <v>2547</v>
      </c>
      <c r="F331" s="99" t="s">
        <v>2548</v>
      </c>
      <c r="G331" s="121" t="s">
        <v>2533</v>
      </c>
    </row>
    <row r="332" spans="1:7" x14ac:dyDescent="0.35">
      <c r="A332" s="99" t="s">
        <v>1245</v>
      </c>
      <c r="B332" s="99">
        <v>90719452</v>
      </c>
      <c r="C332" s="99" t="str" cm="1">
        <f t="array" ref="C332">IFERROR(INDEX(#REF!, MATCH(1, (#REF! = B332) * (#REF! &lt;&gt; "Rejected") * (#REF! &lt;&gt; "Offboarded"), 0)), "")</f>
        <v/>
      </c>
      <c r="D332" s="99" t="s">
        <v>2549</v>
      </c>
      <c r="E332" s="99" t="s">
        <v>2550</v>
      </c>
      <c r="F332" s="99" t="s">
        <v>2551</v>
      </c>
      <c r="G332" s="121" t="s">
        <v>2533</v>
      </c>
    </row>
    <row r="333" spans="1:7" x14ac:dyDescent="0.35">
      <c r="A333" s="99" t="s">
        <v>1247</v>
      </c>
      <c r="B333" s="99">
        <v>90719525</v>
      </c>
      <c r="C333" s="99" t="str" cm="1">
        <f t="array" ref="C333">IFERROR(INDEX(#REF!, MATCH(1, (#REF! = B333) * (#REF! &lt;&gt; "Rejected") * (#REF! &lt;&gt; "Offboarded"), 0)), "")</f>
        <v/>
      </c>
      <c r="D333" s="99" t="s">
        <v>2552</v>
      </c>
      <c r="E333" s="99" t="s">
        <v>2262</v>
      </c>
      <c r="F333" s="99" t="s">
        <v>1719</v>
      </c>
      <c r="G333" s="121" t="s">
        <v>2533</v>
      </c>
    </row>
    <row r="334" spans="1:7" x14ac:dyDescent="0.35">
      <c r="A334" s="99" t="s">
        <v>1249</v>
      </c>
      <c r="B334" s="99">
        <v>90718833</v>
      </c>
      <c r="C334" s="99" t="str" cm="1">
        <f t="array" ref="C334">IFERROR(INDEX(#REF!, MATCH(1, (#REF! = B334) * (#REF! &lt;&gt; "Rejected") * (#REF! &lt;&gt; "Offboarded"), 0)), "")</f>
        <v/>
      </c>
      <c r="D334" s="99" t="s">
        <v>2553</v>
      </c>
      <c r="E334" s="99" t="s">
        <v>2554</v>
      </c>
      <c r="F334" s="99" t="s">
        <v>1758</v>
      </c>
      <c r="G334" s="121" t="s">
        <v>2533</v>
      </c>
    </row>
    <row r="335" spans="1:7" x14ac:dyDescent="0.35">
      <c r="A335" s="99" t="s">
        <v>1250</v>
      </c>
      <c r="B335" s="99">
        <v>90718996</v>
      </c>
      <c r="C335" s="99" t="str" cm="1">
        <f t="array" ref="C335">IFERROR(INDEX(#REF!, MATCH(1, (#REF! = B335) * (#REF! &lt;&gt; "Rejected") * (#REF! &lt;&gt; "Offboarded"), 0)), "")</f>
        <v/>
      </c>
      <c r="D335" s="99" t="s">
        <v>2555</v>
      </c>
      <c r="E335" s="99" t="s">
        <v>2556</v>
      </c>
      <c r="F335" s="99" t="s">
        <v>2557</v>
      </c>
      <c r="G335" s="121" t="s">
        <v>2533</v>
      </c>
    </row>
    <row r="336" spans="1:7" x14ac:dyDescent="0.35">
      <c r="A336" s="99" t="s">
        <v>1251</v>
      </c>
      <c r="B336" s="99">
        <v>90718847</v>
      </c>
      <c r="C336" s="99" t="str" cm="1">
        <f t="array" ref="C336">IFERROR(INDEX(#REF!, MATCH(1, (#REF! = B336) * (#REF! &lt;&gt; "Rejected") * (#REF! &lt;&gt; "Offboarded"), 0)), "")</f>
        <v/>
      </c>
      <c r="D336" s="99" t="s">
        <v>2558</v>
      </c>
      <c r="E336" s="99" t="s">
        <v>2559</v>
      </c>
      <c r="F336" s="99" t="s">
        <v>2560</v>
      </c>
      <c r="G336" s="121" t="s">
        <v>2533</v>
      </c>
    </row>
    <row r="337" spans="1:7" x14ac:dyDescent="0.35">
      <c r="A337" s="99" t="s">
        <v>2561</v>
      </c>
      <c r="B337" s="99">
        <v>90718830</v>
      </c>
      <c r="C337" s="99" t="str" cm="1">
        <f t="array" ref="C337">IFERROR(INDEX(#REF!, MATCH(1, (#REF! = B337) * (#REF! &lt;&gt; "Rejected") * (#REF! &lt;&gt; "Offboarded"), 0)), "")</f>
        <v/>
      </c>
      <c r="D337" s="99" t="s">
        <v>2562</v>
      </c>
      <c r="E337" s="99" t="s">
        <v>2563</v>
      </c>
      <c r="F337" s="99" t="s">
        <v>2117</v>
      </c>
      <c r="G337" s="121" t="s">
        <v>2533</v>
      </c>
    </row>
    <row r="338" spans="1:7" x14ac:dyDescent="0.35">
      <c r="A338" s="99" t="s">
        <v>1256</v>
      </c>
      <c r="B338" s="99">
        <v>90719967</v>
      </c>
      <c r="C338" s="99" t="str" cm="1">
        <f t="array" ref="C338">IFERROR(INDEX(#REF!, MATCH(1, (#REF! = B338) * (#REF! &lt;&gt; "Rejected") * (#REF! &lt;&gt; "Offboarded"), 0)), "")</f>
        <v/>
      </c>
      <c r="D338" s="99" t="s">
        <v>2564</v>
      </c>
      <c r="E338" s="99" t="s">
        <v>2565</v>
      </c>
      <c r="F338" s="99" t="s">
        <v>2566</v>
      </c>
      <c r="G338" s="121" t="s">
        <v>2533</v>
      </c>
    </row>
    <row r="339" spans="1:7" x14ac:dyDescent="0.35">
      <c r="A339" s="99" t="s">
        <v>1273</v>
      </c>
      <c r="B339" s="99">
        <v>90719396</v>
      </c>
      <c r="C339" s="99" t="str" cm="1">
        <f t="array" ref="C339">IFERROR(INDEX(#REF!, MATCH(1, (#REF! = B339) * (#REF! &lt;&gt; "Rejected") * (#REF! &lt;&gt; "Offboarded"), 0)), "")</f>
        <v/>
      </c>
      <c r="D339" s="99" t="s">
        <v>2567</v>
      </c>
      <c r="E339" s="99" t="s">
        <v>2568</v>
      </c>
      <c r="F339" s="99" t="s">
        <v>1933</v>
      </c>
      <c r="G339" s="121" t="s">
        <v>249</v>
      </c>
    </row>
    <row r="340" spans="1:7" x14ac:dyDescent="0.35">
      <c r="A340" s="99" t="s">
        <v>1281</v>
      </c>
      <c r="B340" s="99">
        <v>20104555</v>
      </c>
      <c r="C340" s="99" t="str" cm="1">
        <f t="array" ref="C340">IFERROR(INDEX(#REF!, MATCH(1, (#REF! = B340) * (#REF! &lt;&gt; "Rejected") * (#REF! &lt;&gt; "Offboarded"), 0)), "")</f>
        <v/>
      </c>
      <c r="D340" s="99" t="s">
        <v>2569</v>
      </c>
      <c r="E340" s="99" t="s">
        <v>2570</v>
      </c>
      <c r="F340" s="99" t="s">
        <v>2571</v>
      </c>
      <c r="G340" s="121" t="s">
        <v>2533</v>
      </c>
    </row>
    <row r="341" spans="1:7" x14ac:dyDescent="0.35">
      <c r="A341" s="99" t="s">
        <v>1284</v>
      </c>
      <c r="B341" s="99">
        <v>90719238</v>
      </c>
      <c r="C341" s="99" t="str" cm="1">
        <f t="array" ref="C341">IFERROR(INDEX(#REF!, MATCH(1, (#REF! = B341) * (#REF! &lt;&gt; "Rejected") * (#REF! &lt;&gt; "Offboarded"), 0)), "")</f>
        <v/>
      </c>
      <c r="D341" s="99" t="s">
        <v>2572</v>
      </c>
      <c r="E341" s="99" t="s">
        <v>2573</v>
      </c>
      <c r="F341" s="99" t="s">
        <v>1758</v>
      </c>
      <c r="G341" s="121" t="s">
        <v>2533</v>
      </c>
    </row>
    <row r="342" spans="1:7" x14ac:dyDescent="0.35">
      <c r="A342" s="99" t="s">
        <v>1298</v>
      </c>
      <c r="B342" s="99">
        <v>90718853</v>
      </c>
      <c r="C342" s="99" t="str" cm="1">
        <f t="array" ref="C342">IFERROR(INDEX(#REF!, MATCH(1, (#REF! = B342) * (#REF! &lt;&gt; "Rejected") * (#REF! &lt;&gt; "Offboarded"), 0)), "")</f>
        <v/>
      </c>
      <c r="D342" s="99" t="s">
        <v>2574</v>
      </c>
      <c r="E342" s="99" t="s">
        <v>2575</v>
      </c>
      <c r="F342" s="99" t="s">
        <v>2576</v>
      </c>
      <c r="G342" s="121" t="s">
        <v>2533</v>
      </c>
    </row>
    <row r="343" spans="1:7" x14ac:dyDescent="0.35">
      <c r="A343" s="99" t="s">
        <v>1300</v>
      </c>
      <c r="B343" s="99">
        <v>90718960</v>
      </c>
      <c r="C343" s="99" t="str" cm="1">
        <f t="array" ref="C343">IFERROR(INDEX(#REF!, MATCH(1, (#REF! = B343) * (#REF! &lt;&gt; "Rejected") * (#REF! &lt;&gt; "Offboarded"), 0)), "")</f>
        <v/>
      </c>
      <c r="D343" s="99" t="s">
        <v>2577</v>
      </c>
      <c r="E343" s="99" t="s">
        <v>2309</v>
      </c>
      <c r="F343" s="99" t="s">
        <v>2578</v>
      </c>
      <c r="G343" s="121" t="s">
        <v>2533</v>
      </c>
    </row>
    <row r="344" spans="1:7" x14ac:dyDescent="0.35">
      <c r="A344" s="99" t="s">
        <v>1302</v>
      </c>
      <c r="B344" s="99">
        <v>90718971</v>
      </c>
      <c r="C344" s="99" t="str" cm="1">
        <f t="array" ref="C344">IFERROR(INDEX(#REF!, MATCH(1, (#REF! = B344) * (#REF! &lt;&gt; "Rejected") * (#REF! &lt;&gt; "Offboarded"), 0)), "")</f>
        <v/>
      </c>
      <c r="D344" s="99" t="s">
        <v>2579</v>
      </c>
      <c r="E344" s="99" t="s">
        <v>2580</v>
      </c>
      <c r="F344" s="99" t="s">
        <v>1832</v>
      </c>
      <c r="G344" s="121" t="s">
        <v>249</v>
      </c>
    </row>
    <row r="345" spans="1:7" x14ac:dyDescent="0.35">
      <c r="A345" s="99" t="s">
        <v>1309</v>
      </c>
      <c r="B345" s="99">
        <v>20111413</v>
      </c>
      <c r="C345" s="99" t="str" cm="1">
        <f t="array" ref="C345">IFERROR(INDEX(#REF!, MATCH(1, (#REF! = B345) * (#REF! &lt;&gt; "Rejected") * (#REF! &lt;&gt; "Offboarded"), 0)), "")</f>
        <v/>
      </c>
      <c r="D345" s="99" t="s">
        <v>2581</v>
      </c>
      <c r="E345" s="99" t="s">
        <v>2582</v>
      </c>
      <c r="F345" s="99" t="s">
        <v>2236</v>
      </c>
      <c r="G345" s="121" t="s">
        <v>2533</v>
      </c>
    </row>
    <row r="346" spans="1:7" x14ac:dyDescent="0.35">
      <c r="A346" s="99" t="s">
        <v>1337</v>
      </c>
      <c r="B346" s="99">
        <v>90719496</v>
      </c>
      <c r="C346" s="99" t="str" cm="1">
        <f t="array" ref="C346">IFERROR(INDEX(#REF!, MATCH(1, (#REF! = B346) * (#REF! &lt;&gt; "Rejected") * (#REF! &lt;&gt; "Offboarded"), 0)), "")</f>
        <v/>
      </c>
      <c r="D346" s="99" t="s">
        <v>2583</v>
      </c>
      <c r="E346" s="99" t="s">
        <v>2584</v>
      </c>
      <c r="F346" s="99" t="s">
        <v>2585</v>
      </c>
      <c r="G346" s="121" t="s">
        <v>2533</v>
      </c>
    </row>
    <row r="347" spans="1:7" x14ac:dyDescent="0.35">
      <c r="A347" s="99" t="s">
        <v>2586</v>
      </c>
      <c r="B347" s="99">
        <v>90718843</v>
      </c>
      <c r="C347" s="99" t="str" cm="1">
        <f t="array" ref="C347">IFERROR(INDEX(#REF!, MATCH(1, (#REF! = B347) * (#REF! &lt;&gt; "Rejected") * (#REF! &lt;&gt; "Offboarded"), 0)), "")</f>
        <v/>
      </c>
      <c r="D347" s="99" t="s">
        <v>2587</v>
      </c>
      <c r="E347" s="99" t="s">
        <v>2588</v>
      </c>
      <c r="F347" s="99" t="s">
        <v>2589</v>
      </c>
      <c r="G347" s="121" t="s">
        <v>2533</v>
      </c>
    </row>
    <row r="348" spans="1:7" x14ac:dyDescent="0.35">
      <c r="A348" s="99" t="s">
        <v>1351</v>
      </c>
      <c r="B348" s="99">
        <v>20104603</v>
      </c>
      <c r="C348" s="99" t="str" cm="1">
        <f t="array" ref="C348">IFERROR(INDEX(#REF!, MATCH(1, (#REF! = B348) * (#REF! &lt;&gt; "Rejected") * (#REF! &lt;&gt; "Offboarded"), 0)), "")</f>
        <v/>
      </c>
      <c r="D348" s="99" t="s">
        <v>2590</v>
      </c>
      <c r="E348" s="99" t="s">
        <v>2591</v>
      </c>
      <c r="F348" s="99" t="s">
        <v>2592</v>
      </c>
      <c r="G348" s="121" t="s">
        <v>2533</v>
      </c>
    </row>
    <row r="349" spans="1:7" x14ac:dyDescent="0.35">
      <c r="A349" s="99" t="s">
        <v>2593</v>
      </c>
      <c r="B349" s="99">
        <v>90719226</v>
      </c>
      <c r="C349" s="99" t="str" cm="1">
        <f t="array" ref="C349">IFERROR(INDEX(#REF!, MATCH(1, (#REF! = B349) * (#REF! &lt;&gt; "Rejected") * (#REF! &lt;&gt; "Offboarded"), 0)), "")</f>
        <v/>
      </c>
      <c r="D349" s="99" t="s">
        <v>2594</v>
      </c>
      <c r="E349" s="99" t="s">
        <v>2359</v>
      </c>
      <c r="F349" s="99" t="s">
        <v>2595</v>
      </c>
      <c r="G349" s="121" t="s">
        <v>2533</v>
      </c>
    </row>
    <row r="350" spans="1:7" x14ac:dyDescent="0.35">
      <c r="A350" s="99" t="s">
        <v>1368</v>
      </c>
      <c r="B350" s="99">
        <v>90727255</v>
      </c>
      <c r="C350" s="99" t="str" cm="1">
        <f t="array" ref="C350">IFERROR(INDEX(#REF!, MATCH(1, (#REF! = B350) * (#REF! &lt;&gt; "Rejected") * (#REF! &lt;&gt; "Offboarded"), 0)), "")</f>
        <v/>
      </c>
      <c r="D350" s="99" t="s">
        <v>2596</v>
      </c>
      <c r="E350" s="99" t="s">
        <v>604</v>
      </c>
      <c r="F350" s="99" t="s">
        <v>604</v>
      </c>
      <c r="G350" s="121" t="s">
        <v>2207</v>
      </c>
    </row>
    <row r="351" spans="1:7" x14ac:dyDescent="0.35">
      <c r="A351" s="99" t="s">
        <v>1371</v>
      </c>
      <c r="B351" s="99">
        <v>90718990</v>
      </c>
      <c r="C351" s="99" t="str" cm="1">
        <f t="array" ref="C351">IFERROR(INDEX(#REF!, MATCH(1, (#REF! = B351) * (#REF! &lt;&gt; "Rejected") * (#REF! &lt;&gt; "Offboarded"), 0)), "")</f>
        <v/>
      </c>
      <c r="D351" s="99" t="s">
        <v>2597</v>
      </c>
      <c r="E351" s="99" t="s">
        <v>1945</v>
      </c>
      <c r="F351" s="99" t="s">
        <v>2598</v>
      </c>
      <c r="G351" s="121" t="s">
        <v>2533</v>
      </c>
    </row>
    <row r="352" spans="1:7" x14ac:dyDescent="0.35">
      <c r="A352" s="99" t="s">
        <v>1376</v>
      </c>
      <c r="B352" s="99">
        <v>90719211</v>
      </c>
      <c r="C352" s="99" t="str" cm="1">
        <f t="array" ref="C352">IFERROR(INDEX(#REF!, MATCH(1, (#REF! = B352) * (#REF! &lt;&gt; "Rejected") * (#REF! &lt;&gt; "Offboarded"), 0)), "")</f>
        <v/>
      </c>
      <c r="D352" s="99" t="s">
        <v>2599</v>
      </c>
      <c r="E352" s="99" t="s">
        <v>2600</v>
      </c>
      <c r="F352" s="99" t="s">
        <v>2601</v>
      </c>
      <c r="G352" s="121" t="s">
        <v>308</v>
      </c>
    </row>
    <row r="353" spans="1:7" x14ac:dyDescent="0.35">
      <c r="A353" s="99" t="s">
        <v>1383</v>
      </c>
      <c r="B353" s="99">
        <v>90719008</v>
      </c>
      <c r="C353" s="99" t="str" cm="1">
        <f t="array" ref="C353">IFERROR(INDEX(#REF!, MATCH(1, (#REF! = B353) * (#REF! &lt;&gt; "Rejected") * (#REF! &lt;&gt; "Offboarded"), 0)), "")</f>
        <v/>
      </c>
      <c r="D353" s="99" t="s">
        <v>2602</v>
      </c>
      <c r="E353" s="99" t="s">
        <v>2603</v>
      </c>
      <c r="F353" s="99" t="s">
        <v>2604</v>
      </c>
      <c r="G353" s="121" t="s">
        <v>2533</v>
      </c>
    </row>
    <row r="354" spans="1:7" x14ac:dyDescent="0.35">
      <c r="A354" s="99" t="s">
        <v>1400</v>
      </c>
      <c r="B354" s="99">
        <v>90718947</v>
      </c>
      <c r="C354" s="99" t="str" cm="1">
        <f t="array" ref="C354">IFERROR(INDEX(#REF!, MATCH(1, (#REF! = B354) * (#REF! &lt;&gt; "Rejected") * (#REF! &lt;&gt; "Offboarded"), 0)), "")</f>
        <v/>
      </c>
      <c r="D354" s="99" t="s">
        <v>2605</v>
      </c>
      <c r="E354" s="99" t="s">
        <v>2606</v>
      </c>
      <c r="F354" s="99" t="s">
        <v>2607</v>
      </c>
      <c r="G354" s="121" t="s">
        <v>2533</v>
      </c>
    </row>
    <row r="355" spans="1:7" x14ac:dyDescent="0.35">
      <c r="A355" s="99" t="s">
        <v>1414</v>
      </c>
      <c r="B355" s="99">
        <v>90719301</v>
      </c>
      <c r="C355" s="99" t="str" cm="1">
        <f t="array" ref="C355">IFERROR(INDEX(#REF!, MATCH(1, (#REF! = B355) * (#REF! &lt;&gt; "Rejected") * (#REF! &lt;&gt; "Offboarded"), 0)), "")</f>
        <v/>
      </c>
      <c r="D355" s="99" t="s">
        <v>2608</v>
      </c>
      <c r="E355" s="99" t="s">
        <v>2414</v>
      </c>
      <c r="F355" s="99" t="s">
        <v>2609</v>
      </c>
      <c r="G355" s="121" t="s">
        <v>2533</v>
      </c>
    </row>
    <row r="356" spans="1:7" x14ac:dyDescent="0.35">
      <c r="A356" s="99" t="s">
        <v>1434</v>
      </c>
      <c r="B356" s="99">
        <v>80114708</v>
      </c>
      <c r="C356" s="99" t="str" cm="1">
        <f t="array" ref="C356">IFERROR(INDEX(#REF!, MATCH(1, (#REF! = B356) * (#REF! &lt;&gt; "Rejected") * (#REF! &lt;&gt; "Offboarded"), 0)), "")</f>
        <v/>
      </c>
      <c r="D356" s="99" t="s">
        <v>2610</v>
      </c>
      <c r="E356" s="99" t="s">
        <v>2063</v>
      </c>
      <c r="F356" s="99" t="s">
        <v>2611</v>
      </c>
      <c r="G356" s="121" t="s">
        <v>2533</v>
      </c>
    </row>
    <row r="357" spans="1:7" x14ac:dyDescent="0.35">
      <c r="A357" s="99" t="s">
        <v>2612</v>
      </c>
      <c r="B357" s="99">
        <v>90719394</v>
      </c>
      <c r="C357" s="99" t="str" cm="1">
        <f t="array" ref="C357">IFERROR(INDEX(#REF!, MATCH(1, (#REF! = B357) * (#REF! &lt;&gt; "Rejected") * (#REF! &lt;&gt; "Offboarded"), 0)), "")</f>
        <v/>
      </c>
      <c r="D357" s="99" t="s">
        <v>2613</v>
      </c>
      <c r="E357" s="99" t="s">
        <v>2063</v>
      </c>
      <c r="F357" s="99" t="s">
        <v>2614</v>
      </c>
      <c r="G357" s="121" t="s">
        <v>2533</v>
      </c>
    </row>
    <row r="358" spans="1:7" x14ac:dyDescent="0.35">
      <c r="A358" s="99" t="s">
        <v>1443</v>
      </c>
      <c r="B358" s="99">
        <v>90718943</v>
      </c>
      <c r="C358" s="99" t="str" cm="1">
        <f t="array" ref="C358">IFERROR(INDEX(#REF!, MATCH(1, (#REF! = B358) * (#REF! &lt;&gt; "Rejected") * (#REF! &lt;&gt; "Offboarded"), 0)), "")</f>
        <v/>
      </c>
      <c r="D358" s="99" t="s">
        <v>2615</v>
      </c>
      <c r="E358" s="99" t="s">
        <v>2616</v>
      </c>
      <c r="F358" s="99" t="s">
        <v>2617</v>
      </c>
      <c r="G358" s="121" t="s">
        <v>308</v>
      </c>
    </row>
    <row r="359" spans="1:7" x14ac:dyDescent="0.35">
      <c r="A359" s="99" t="s">
        <v>2618</v>
      </c>
      <c r="B359" s="99">
        <v>90719412</v>
      </c>
      <c r="C359" s="99" t="str" cm="1">
        <f t="array" ref="C359">IFERROR(INDEX(#REF!, MATCH(1, (#REF! = B359) * (#REF! &lt;&gt; "Rejected") * (#REF! &lt;&gt; "Offboarded"), 0)), "")</f>
        <v/>
      </c>
      <c r="D359" s="99" t="s">
        <v>2619</v>
      </c>
      <c r="E359" s="99" t="s">
        <v>2620</v>
      </c>
      <c r="F359" s="99" t="s">
        <v>2621</v>
      </c>
      <c r="G359" s="121" t="s">
        <v>2533</v>
      </c>
    </row>
    <row r="360" spans="1:7" x14ac:dyDescent="0.35">
      <c r="A360" s="99" t="s">
        <v>1445</v>
      </c>
      <c r="B360" s="99">
        <v>90719011</v>
      </c>
      <c r="C360" s="99" t="str" cm="1">
        <f t="array" ref="C360">IFERROR(INDEX(#REF!, MATCH(1, (#REF! = B360) * (#REF! &lt;&gt; "Rejected") * (#REF! &lt;&gt; "Offboarded"), 0)), "")</f>
        <v/>
      </c>
      <c r="D360" s="99" t="s">
        <v>2622</v>
      </c>
      <c r="E360" s="99" t="s">
        <v>2623</v>
      </c>
      <c r="F360" s="99" t="s">
        <v>2624</v>
      </c>
      <c r="G360" s="121" t="s">
        <v>2533</v>
      </c>
    </row>
    <row r="361" spans="1:7" x14ac:dyDescent="0.35">
      <c r="A361" s="99" t="s">
        <v>1450</v>
      </c>
      <c r="B361" s="99">
        <v>90719304</v>
      </c>
      <c r="C361" s="99" t="str" cm="1">
        <f t="array" ref="C361">IFERROR(INDEX(#REF!, MATCH(1, (#REF! = B361) * (#REF! &lt;&gt; "Rejected") * (#REF! &lt;&gt; "Offboarded"), 0)), "")</f>
        <v/>
      </c>
      <c r="D361" s="99" t="s">
        <v>2625</v>
      </c>
      <c r="E361" s="99" t="s">
        <v>2626</v>
      </c>
      <c r="F361" s="99" t="s">
        <v>2627</v>
      </c>
      <c r="G361" s="121" t="s">
        <v>2533</v>
      </c>
    </row>
    <row r="362" spans="1:7" x14ac:dyDescent="0.35">
      <c r="A362" s="99" t="s">
        <v>1456</v>
      </c>
      <c r="B362" s="99">
        <v>90719003</v>
      </c>
      <c r="C362" s="99" t="str" cm="1">
        <f t="array" ref="C362">IFERROR(INDEX(#REF!, MATCH(1, (#REF! = B362) * (#REF! &lt;&gt; "Rejected") * (#REF! &lt;&gt; "Offboarded"), 0)), "")</f>
        <v/>
      </c>
      <c r="D362" s="99" t="s">
        <v>2628</v>
      </c>
      <c r="E362" s="99" t="s">
        <v>2629</v>
      </c>
      <c r="F362" s="99" t="s">
        <v>2630</v>
      </c>
      <c r="G362" s="121" t="s">
        <v>2533</v>
      </c>
    </row>
    <row r="363" spans="1:7" x14ac:dyDescent="0.35">
      <c r="A363" s="99" t="s">
        <v>1459</v>
      </c>
      <c r="B363" s="99">
        <v>90719463</v>
      </c>
      <c r="C363" s="99" t="str" cm="1">
        <f t="array" ref="C363">IFERROR(INDEX(#REF!, MATCH(1, (#REF! = B363) * (#REF! &lt;&gt; "Rejected") * (#REF! &lt;&gt; "Offboarded"), 0)), "")</f>
        <v/>
      </c>
      <c r="D363" s="99" t="s">
        <v>2631</v>
      </c>
      <c r="E363" s="99" t="s">
        <v>2098</v>
      </c>
      <c r="F363" s="99" t="s">
        <v>2632</v>
      </c>
      <c r="G363" s="121" t="s">
        <v>2533</v>
      </c>
    </row>
    <row r="364" spans="1:7" x14ac:dyDescent="0.35">
      <c r="A364" s="99" t="s">
        <v>1465</v>
      </c>
      <c r="B364" s="99">
        <v>20111306</v>
      </c>
      <c r="C364" s="99" t="str" cm="1">
        <f t="array" ref="C364">IFERROR(INDEX(#REF!, MATCH(1, (#REF! = B364) * (#REF! &lt;&gt; "Rejected") * (#REF! &lt;&gt; "Offboarded"), 0)), "")</f>
        <v/>
      </c>
      <c r="D364" s="99" t="s">
        <v>2633</v>
      </c>
      <c r="E364" s="99" t="s">
        <v>2634</v>
      </c>
      <c r="F364" s="99" t="s">
        <v>2635</v>
      </c>
      <c r="G364" s="121" t="s">
        <v>2533</v>
      </c>
    </row>
    <row r="365" spans="1:7" x14ac:dyDescent="0.35">
      <c r="A365" s="99" t="s">
        <v>1470</v>
      </c>
      <c r="B365" s="99">
        <v>90719331</v>
      </c>
      <c r="C365" s="99" t="str" cm="1">
        <f t="array" ref="C365">IFERROR(INDEX(#REF!, MATCH(1, (#REF! = B365) * (#REF! &lt;&gt; "Rejected") * (#REF! &lt;&gt; "Offboarded"), 0)), "")</f>
        <v/>
      </c>
      <c r="D365" s="99" t="s">
        <v>2636</v>
      </c>
      <c r="E365" s="99" t="s">
        <v>2637</v>
      </c>
      <c r="F365" s="99" t="s">
        <v>1652</v>
      </c>
      <c r="G365" s="121" t="s">
        <v>2533</v>
      </c>
    </row>
    <row r="366" spans="1:7" x14ac:dyDescent="0.35">
      <c r="A366" s="99" t="s">
        <v>1478</v>
      </c>
      <c r="B366" s="99">
        <v>90719440</v>
      </c>
      <c r="C366" s="99" t="str" cm="1">
        <f t="array" ref="C366">IFERROR(INDEX(#REF!, MATCH(1, (#REF! = B366) * (#REF! &lt;&gt; "Rejected") * (#REF! &lt;&gt; "Offboarded"), 0)), "")</f>
        <v/>
      </c>
      <c r="D366" s="99" t="s">
        <v>2638</v>
      </c>
      <c r="E366" s="99" t="s">
        <v>2639</v>
      </c>
      <c r="F366" s="99" t="s">
        <v>2640</v>
      </c>
      <c r="G366" s="121" t="s">
        <v>2533</v>
      </c>
    </row>
    <row r="367" spans="1:7" x14ac:dyDescent="0.35">
      <c r="A367" s="99" t="s">
        <v>1488</v>
      </c>
      <c r="B367" s="99">
        <v>90719416</v>
      </c>
      <c r="C367" s="99" t="str" cm="1">
        <f t="array" ref="C367">IFERROR(INDEX(#REF!, MATCH(1, (#REF! = B367) * (#REF! &lt;&gt; "Rejected") * (#REF! &lt;&gt; "Offboarded"), 0)), "")</f>
        <v/>
      </c>
      <c r="D367" s="99" t="s">
        <v>2641</v>
      </c>
      <c r="E367" s="99" t="s">
        <v>2642</v>
      </c>
      <c r="F367" s="99" t="s">
        <v>2643</v>
      </c>
      <c r="G367" s="121" t="s">
        <v>2533</v>
      </c>
    </row>
    <row r="368" spans="1:7" x14ac:dyDescent="0.35">
      <c r="A368" s="99" t="s">
        <v>1489</v>
      </c>
      <c r="B368" s="99">
        <v>90718956</v>
      </c>
      <c r="C368" s="99" t="str" cm="1">
        <f t="array" ref="C368">IFERROR(INDEX(#REF!, MATCH(1, (#REF! = B368) * (#REF! &lt;&gt; "Rejected") * (#REF! &lt;&gt; "Offboarded"), 0)), "")</f>
        <v/>
      </c>
      <c r="D368" s="99" t="s">
        <v>2644</v>
      </c>
      <c r="E368" s="99" t="s">
        <v>2642</v>
      </c>
      <c r="F368" s="99" t="s">
        <v>2645</v>
      </c>
      <c r="G368" s="121" t="s">
        <v>2533</v>
      </c>
    </row>
    <row r="369" spans="1:12" x14ac:dyDescent="0.35">
      <c r="A369" s="99" t="s">
        <v>2646</v>
      </c>
      <c r="B369" s="99">
        <v>90719570</v>
      </c>
      <c r="C369" s="99" t="str" cm="1">
        <f t="array" ref="C369">IFERROR(INDEX(#REF!, MATCH(1, (#REF! = B369) * (#REF! &lt;&gt; "Rejected") * (#REF! &lt;&gt; "Offboarded"), 0)), "")</f>
        <v/>
      </c>
      <c r="D369" s="99" t="s">
        <v>2647</v>
      </c>
      <c r="E369" s="99" t="s">
        <v>2648</v>
      </c>
      <c r="F369" s="99" t="s">
        <v>2649</v>
      </c>
      <c r="G369" s="121" t="s">
        <v>2533</v>
      </c>
    </row>
    <row r="370" spans="1:12" x14ac:dyDescent="0.35">
      <c r="A370" s="99" t="s">
        <v>1502</v>
      </c>
      <c r="B370" s="99">
        <v>90719229</v>
      </c>
      <c r="C370" s="99" t="str" cm="1">
        <f t="array" ref="C370">IFERROR(INDEX(#REF!, MATCH(1, (#REF! = B370) * (#REF! &lt;&gt; "Rejected") * (#REF! &lt;&gt; "Offboarded"), 0)), "")</f>
        <v/>
      </c>
      <c r="D370" s="99" t="s">
        <v>2650</v>
      </c>
      <c r="E370" s="99" t="s">
        <v>2648</v>
      </c>
      <c r="F370" s="99" t="s">
        <v>2651</v>
      </c>
      <c r="G370" s="121" t="s">
        <v>2533</v>
      </c>
    </row>
    <row r="371" spans="1:12" x14ac:dyDescent="0.35">
      <c r="A371" s="99" t="s">
        <v>2652</v>
      </c>
      <c r="B371" s="99">
        <v>90719369</v>
      </c>
      <c r="C371" s="99" t="str" cm="1">
        <f t="array" ref="C371">IFERROR(INDEX(#REF!, MATCH(1, (#REF! = B371) * (#REF! &lt;&gt; "Rejected") * (#REF! &lt;&gt; "Offboarded"), 0)), "")</f>
        <v/>
      </c>
      <c r="D371" s="99" t="s">
        <v>2653</v>
      </c>
      <c r="E371" s="99" t="s">
        <v>2654</v>
      </c>
      <c r="F371" s="99" t="s">
        <v>2655</v>
      </c>
      <c r="G371" s="121" t="s">
        <v>2533</v>
      </c>
    </row>
    <row r="372" spans="1:12" x14ac:dyDescent="0.35">
      <c r="A372" s="99" t="s">
        <v>1515</v>
      </c>
      <c r="B372" s="99">
        <v>90719006</v>
      </c>
      <c r="C372" s="99" t="str" cm="1">
        <f t="array" ref="C372">IFERROR(INDEX(#REF!, MATCH(1, (#REF! = B372) * (#REF! &lt;&gt; "Rejected") * (#REF! &lt;&gt; "Offboarded"), 0)), "")</f>
        <v/>
      </c>
      <c r="D372" s="99" t="s">
        <v>2656</v>
      </c>
      <c r="E372" s="99" t="s">
        <v>2657</v>
      </c>
      <c r="F372" s="99" t="s">
        <v>2658</v>
      </c>
      <c r="G372" s="121" t="s">
        <v>2533</v>
      </c>
    </row>
    <row r="373" spans="1:12" x14ac:dyDescent="0.35">
      <c r="A373" s="99" t="s">
        <v>1521</v>
      </c>
      <c r="B373" s="99">
        <v>90727541</v>
      </c>
      <c r="C373" s="99" t="str" cm="1">
        <f t="array" ref="C373">IFERROR(INDEX(#REF!, MATCH(1, (#REF! = B373) * (#REF! &lt;&gt; "Rejected") * (#REF! &lt;&gt; "Offboarded"), 0)), "")</f>
        <v/>
      </c>
      <c r="D373" s="99" t="s">
        <v>2659</v>
      </c>
      <c r="E373" s="99" t="s">
        <v>2510</v>
      </c>
      <c r="F373" s="99" t="s">
        <v>2660</v>
      </c>
      <c r="G373" s="121" t="s">
        <v>2207</v>
      </c>
    </row>
    <row r="374" spans="1:12" x14ac:dyDescent="0.35">
      <c r="A374" s="99" t="s">
        <v>1524</v>
      </c>
      <c r="B374" s="99">
        <v>90718940</v>
      </c>
      <c r="C374" s="99" t="str" cm="1">
        <f t="array" ref="C374">IFERROR(INDEX(#REF!, MATCH(1, (#REF! = B374) * (#REF! &lt;&gt; "Rejected") * (#REF! &lt;&gt; "Offboarded"), 0)), "")</f>
        <v/>
      </c>
      <c r="D374" s="99" t="s">
        <v>2661</v>
      </c>
      <c r="E374" s="99" t="s">
        <v>1612</v>
      </c>
      <c r="F374" s="99" t="s">
        <v>2617</v>
      </c>
      <c r="G374" s="121" t="s">
        <v>2533</v>
      </c>
    </row>
    <row r="375" spans="1:12" x14ac:dyDescent="0.35">
      <c r="A375" s="99" t="s">
        <v>1296</v>
      </c>
      <c r="B375" s="99">
        <v>90719224</v>
      </c>
      <c r="C375" s="99" t="str" cm="1">
        <f t="array" ref="C375">IFERROR(INDEX(#REF!, MATCH(1, (#REF! = B375) * (#REF! &lt;&gt; "Rejected") * (#REF! &lt;&gt; "Offboarded"), 0)), "")</f>
        <v/>
      </c>
      <c r="D375" s="99" t="s">
        <v>2662</v>
      </c>
      <c r="E375" s="99" t="s">
        <v>2663</v>
      </c>
      <c r="F375" s="99" t="s">
        <v>2664</v>
      </c>
      <c r="G375" s="121" t="s">
        <v>2665</v>
      </c>
    </row>
    <row r="376" spans="1:12" x14ac:dyDescent="0.35">
      <c r="A376" s="99" t="s">
        <v>1199</v>
      </c>
      <c r="B376" s="99">
        <v>90722537</v>
      </c>
      <c r="C376" s="99" t="str" cm="1">
        <f t="array" ref="C376">IFERROR(INDEX(#REF!, MATCH(1, (#REF! = B376) * (#REF! &lt;&gt; "Rejected") * (#REF! &lt;&gt; "Offboarded"), 0)), "")</f>
        <v/>
      </c>
      <c r="D376" s="99" t="s">
        <v>2666</v>
      </c>
      <c r="E376" s="99" t="s">
        <v>1687</v>
      </c>
      <c r="F376" s="99" t="s">
        <v>2236</v>
      </c>
      <c r="G376" s="121" t="s">
        <v>2667</v>
      </c>
    </row>
    <row r="377" spans="1:12" x14ac:dyDescent="0.35">
      <c r="A377" s="99" t="s">
        <v>1288</v>
      </c>
      <c r="B377" s="99">
        <v>90718196</v>
      </c>
      <c r="C377" s="99" t="str" cm="1">
        <f t="array" ref="C377">IFERROR(INDEX(#REF!, MATCH(1, (#REF! = B377) * (#REF! &lt;&gt; "Rejected") * (#REF! &lt;&gt; "Offboarded"), 0)), "")</f>
        <v/>
      </c>
      <c r="D377" s="99" t="s">
        <v>2668</v>
      </c>
      <c r="E377" s="99" t="s">
        <v>2669</v>
      </c>
      <c r="F377" s="99" t="s">
        <v>1639</v>
      </c>
      <c r="G377" s="121" t="s">
        <v>2670</v>
      </c>
    </row>
    <row r="378" spans="1:12" x14ac:dyDescent="0.35">
      <c r="A378" s="99" t="s">
        <v>1314</v>
      </c>
      <c r="B378" s="99">
        <v>90718192</v>
      </c>
      <c r="C378" s="99" t="str" cm="1">
        <f t="array" ref="C378">IFERROR(INDEX(#REF!, MATCH(1, (#REF! = B378) * (#REF! &lt;&gt; "Rejected") * (#REF! &lt;&gt; "Offboarded"), 0)), "")</f>
        <v/>
      </c>
      <c r="D378" s="99" t="s">
        <v>2671</v>
      </c>
      <c r="E378" s="99" t="s">
        <v>2672</v>
      </c>
      <c r="F378" s="99" t="s">
        <v>2673</v>
      </c>
      <c r="G378" s="121" t="s">
        <v>2670</v>
      </c>
    </row>
    <row r="379" spans="1:12" x14ac:dyDescent="0.35">
      <c r="A379" s="99" t="s">
        <v>1405</v>
      </c>
      <c r="B379" s="99">
        <v>90718194</v>
      </c>
      <c r="C379" s="99" t="str" cm="1">
        <f t="array" ref="C379">IFERROR(INDEX(#REF!, MATCH(1, (#REF! = B379) * (#REF! &lt;&gt; "Rejected") * (#REF! &lt;&gt; "Offboarded"), 0)), "")</f>
        <v/>
      </c>
      <c r="D379" s="99" t="s">
        <v>2674</v>
      </c>
      <c r="E379" s="99" t="s">
        <v>2003</v>
      </c>
      <c r="F379" s="99" t="s">
        <v>2675</v>
      </c>
      <c r="G379" s="121" t="s">
        <v>2670</v>
      </c>
    </row>
    <row r="380" spans="1:12" x14ac:dyDescent="0.35">
      <c r="A380" s="99" t="s">
        <v>1446</v>
      </c>
      <c r="B380" s="99">
        <v>90718191</v>
      </c>
      <c r="C380" s="99" t="str" cm="1">
        <f t="array" ref="C380">IFERROR(INDEX(#REF!, MATCH(1, (#REF! = B380) * (#REF! &lt;&gt; "Rejected") * (#REF! &lt;&gt; "Offboarded"), 0)), "")</f>
        <v/>
      </c>
      <c r="D380" s="99" t="s">
        <v>2676</v>
      </c>
      <c r="E380" s="99" t="s">
        <v>2677</v>
      </c>
      <c r="F380" s="99" t="s">
        <v>2678</v>
      </c>
      <c r="G380" s="121" t="s">
        <v>2670</v>
      </c>
    </row>
    <row r="382" spans="1:12" ht="26" x14ac:dyDescent="0.35">
      <c r="A382" s="127" t="s">
        <v>2679</v>
      </c>
      <c r="B382" s="127" t="s">
        <v>2680</v>
      </c>
      <c r="C382" s="127"/>
      <c r="D382" s="128" t="s">
        <v>2681</v>
      </c>
      <c r="E382" s="127" t="s">
        <v>2682</v>
      </c>
      <c r="F382" s="127" t="s">
        <v>2683</v>
      </c>
      <c r="G382" s="137" t="s">
        <v>2684</v>
      </c>
      <c r="H382" s="137"/>
      <c r="I382" s="129" t="s">
        <v>2685</v>
      </c>
      <c r="J382" s="127" t="s">
        <v>2686</v>
      </c>
      <c r="K382" s="129" t="s">
        <v>2687</v>
      </c>
      <c r="L382" s="130" t="s">
        <v>2688</v>
      </c>
    </row>
    <row r="383" spans="1:12" x14ac:dyDescent="0.35">
      <c r="A383" s="131" t="s">
        <v>2689</v>
      </c>
      <c r="B383" s="135" t="s">
        <v>2690</v>
      </c>
      <c r="C383" s="135"/>
      <c r="D383" s="99" t="s">
        <v>2691</v>
      </c>
      <c r="E383" s="99" t="s">
        <v>2692</v>
      </c>
      <c r="F383" s="99" t="s">
        <v>2693</v>
      </c>
      <c r="G383" s="121" t="s">
        <v>2694</v>
      </c>
      <c r="I383" s="132" t="s">
        <v>2207</v>
      </c>
      <c r="J383" s="120">
        <v>24</v>
      </c>
      <c r="K383" s="133" t="s">
        <v>2695</v>
      </c>
      <c r="L383" s="134">
        <v>45931</v>
      </c>
    </row>
    <row r="384" spans="1:12" x14ac:dyDescent="0.35">
      <c r="A384" s="131" t="s">
        <v>2696</v>
      </c>
      <c r="B384" s="131" t="s">
        <v>2697</v>
      </c>
      <c r="C384" s="131"/>
      <c r="D384" s="99" t="s">
        <v>2691</v>
      </c>
      <c r="E384" s="99" t="s">
        <v>2692</v>
      </c>
      <c r="F384" s="99" t="s">
        <v>2698</v>
      </c>
      <c r="G384" s="121" t="s">
        <v>2694</v>
      </c>
      <c r="I384" s="132" t="s">
        <v>2207</v>
      </c>
      <c r="J384" s="120">
        <v>24</v>
      </c>
      <c r="K384" s="133" t="s">
        <v>2695</v>
      </c>
      <c r="L384" s="134">
        <v>45931</v>
      </c>
    </row>
    <row r="385" spans="1:12" x14ac:dyDescent="0.35">
      <c r="A385" s="131" t="s">
        <v>2699</v>
      </c>
      <c r="B385" s="131" t="s">
        <v>2700</v>
      </c>
      <c r="C385" s="131"/>
      <c r="D385" s="99" t="s">
        <v>2691</v>
      </c>
      <c r="E385" s="99" t="s">
        <v>2692</v>
      </c>
      <c r="F385" s="99" t="s">
        <v>2701</v>
      </c>
      <c r="G385" s="121" t="s">
        <v>2694</v>
      </c>
      <c r="I385" s="132" t="s">
        <v>1632</v>
      </c>
      <c r="J385" s="120" t="s">
        <v>2695</v>
      </c>
      <c r="K385" s="133">
        <v>4</v>
      </c>
      <c r="L385" s="134">
        <v>45931</v>
      </c>
    </row>
    <row r="386" spans="1:12" x14ac:dyDescent="0.35">
      <c r="A386" s="131" t="s">
        <v>2702</v>
      </c>
      <c r="B386" s="131" t="s">
        <v>430</v>
      </c>
      <c r="C386" s="131"/>
      <c r="D386" s="99" t="s">
        <v>2691</v>
      </c>
      <c r="E386" s="99" t="s">
        <v>2692</v>
      </c>
      <c r="F386" s="99" t="s">
        <v>2703</v>
      </c>
      <c r="G386" s="121" t="s">
        <v>2694</v>
      </c>
      <c r="I386" s="132" t="s">
        <v>1632</v>
      </c>
      <c r="J386" s="120" t="s">
        <v>2695</v>
      </c>
      <c r="K386" s="133">
        <v>4</v>
      </c>
      <c r="L386" s="134">
        <v>45931</v>
      </c>
    </row>
    <row r="387" spans="1:12" x14ac:dyDescent="0.35">
      <c r="A387" s="131" t="s">
        <v>2704</v>
      </c>
      <c r="B387" s="131" t="s">
        <v>2705</v>
      </c>
      <c r="C387" s="131"/>
      <c r="D387" s="99" t="s">
        <v>2691</v>
      </c>
      <c r="E387" s="99" t="s">
        <v>2692</v>
      </c>
      <c r="F387" s="99" t="s">
        <v>2706</v>
      </c>
      <c r="G387" s="121" t="s">
        <v>2694</v>
      </c>
      <c r="I387" s="132" t="s">
        <v>1632</v>
      </c>
      <c r="J387" s="120" t="s">
        <v>2695</v>
      </c>
      <c r="K387" s="133">
        <v>4</v>
      </c>
      <c r="L387" s="134">
        <v>45931</v>
      </c>
    </row>
    <row r="388" spans="1:12" x14ac:dyDescent="0.35">
      <c r="A388" s="131" t="s">
        <v>2707</v>
      </c>
      <c r="B388" s="131" t="s">
        <v>858</v>
      </c>
      <c r="C388" s="131"/>
      <c r="D388" s="99" t="s">
        <v>2691</v>
      </c>
      <c r="E388" s="99" t="s">
        <v>2692</v>
      </c>
      <c r="F388" s="99" t="s">
        <v>2698</v>
      </c>
      <c r="G388" s="121" t="s">
        <v>2694</v>
      </c>
      <c r="I388" s="132" t="s">
        <v>2207</v>
      </c>
      <c r="J388" s="120">
        <v>24</v>
      </c>
      <c r="K388" s="133" t="s">
        <v>2695</v>
      </c>
      <c r="L388" s="134">
        <v>45931</v>
      </c>
    </row>
  </sheetData>
  <sheetProtection algorithmName="SHA-512" hashValue="PmuyNsoy7LfPnkIE1gkn7Hsd1punkGaU0gkDHRAtMNT/nxHkD8J98tvI1hmPau8fSwZhNCiS/+7RLxRyZMRWbA==" saltValue="YuYeXkIm+3ssr8rAdh3Phg==" spinCount="100000" sheet="1" objects="1" scenarios="1" formatCells="0" formatColumns="0" formatRows="0" insertColumns="0" insertRows="0" sort="0" autoFilter="0" pivotTables="0"/>
  <autoFilter ref="A1:G380" xr:uid="{F43A2E1C-901D-4BF1-8E27-690C859FB6DF}"/>
  <conditionalFormatting sqref="A382:A388">
    <cfRule type="duplicateValues" dxfId="0" priority="1"/>
  </conditionalFormatting>
  <dataValidations count="1">
    <dataValidation type="list" allowBlank="1" showInputMessage="1" showErrorMessage="1" sqref="G2:G1048576" xr:uid="{ED8E910A-42C5-4430-AE3C-88B8482A1B69}">
      <formula1>#REF!</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62504168DD55845932BC2E505299595" ma:contentTypeVersion="7" ma:contentTypeDescription="Create a new document." ma:contentTypeScope="" ma:versionID="581a1c8a44a2e1a6259f3b323bc21a26">
  <xsd:schema xmlns:xsd="http://www.w3.org/2001/XMLSchema" xmlns:xs="http://www.w3.org/2001/XMLSchema" xmlns:p="http://schemas.microsoft.com/office/2006/metadata/properties" xmlns:ns2="64dccf47-912d-4673-88f0-bf4752349a47" targetNamespace="http://schemas.microsoft.com/office/2006/metadata/properties" ma:root="true" ma:fieldsID="f8b426282f98436f2c43600c004dcd68" ns2:_="">
    <xsd:import namespace="64dccf47-912d-4673-88f0-bf4752349a4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dccf47-912d-4673-88f0-bf4752349a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447A33-CB49-4076-9209-57D7835DFCC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9CA6A52-714B-4D87-8622-C6BD7AF3EF93}">
  <ds:schemaRefs>
    <ds:schemaRef ds:uri="http://schemas.microsoft.com/sharepoint/v3/contenttype/forms"/>
  </ds:schemaRefs>
</ds:datastoreItem>
</file>

<file path=customXml/itemProps3.xml><?xml version="1.0" encoding="utf-8"?>
<ds:datastoreItem xmlns:ds="http://schemas.openxmlformats.org/officeDocument/2006/customXml" ds:itemID="{93131E27-7F0C-43A2-B5FF-DA10143582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dccf47-912d-4673-88f0-bf4752349a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ffb99db-04b0-4879-8e73-d3174e57b086}" enabled="1" method="Standard" siteId="{ec3c7dee-d552-494b-a393-7f941a90b985}"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Request Details</vt:lpstr>
      <vt:lpstr>Attendance</vt:lpstr>
      <vt:lpstr>Resource Details</vt:lpstr>
      <vt:lpstr>Sheet1</vt:lpstr>
      <vt:lpstr>Sheet2</vt:lpstr>
      <vt:lpstr>ResourceUtilization</vt:lpstr>
      <vt:lpstr>Tracker-old</vt:lpstr>
      <vt:lpstr>For PIW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hp</dc:creator>
  <cp:keywords/>
  <dc:description/>
  <cp:lastModifiedBy>Anjana Sharma</cp:lastModifiedBy>
  <cp:revision/>
  <dcterms:created xsi:type="dcterms:W3CDTF">2015-06-05T18:17:20Z</dcterms:created>
  <dcterms:modified xsi:type="dcterms:W3CDTF">2026-06-23T12:40:32Z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14c1950-b3a8-4278-88f1-6df69d73b9d5_Enabled">
    <vt:lpwstr>true</vt:lpwstr>
  </property>
  <property fmtid="{D5CDD505-2E9C-101B-9397-08002B2CF9AE}" pid="3" name="MSIP_Label_e14c1950-b3a8-4278-88f1-6df69d73b9d5_SetDate">
    <vt:lpwstr>2025-01-16T07:52:49Z</vt:lpwstr>
  </property>
  <property fmtid="{D5CDD505-2E9C-101B-9397-08002B2CF9AE}" pid="4" name="MSIP_Label_e14c1950-b3a8-4278-88f1-6df69d73b9d5_Method">
    <vt:lpwstr>Standard</vt:lpwstr>
  </property>
  <property fmtid="{D5CDD505-2E9C-101B-9397-08002B2CF9AE}" pid="5" name="MSIP_Label_e14c1950-b3a8-4278-88f1-6df69d73b9d5_Name">
    <vt:lpwstr>e14c1950-b3a8-4278-88f1-6df69d73b9d5</vt:lpwstr>
  </property>
  <property fmtid="{D5CDD505-2E9C-101B-9397-08002B2CF9AE}" pid="6" name="MSIP_Label_e14c1950-b3a8-4278-88f1-6df69d73b9d5_SiteId">
    <vt:lpwstr>855b093e-7340-45c7-9f0c-96150415893e</vt:lpwstr>
  </property>
  <property fmtid="{D5CDD505-2E9C-101B-9397-08002B2CF9AE}" pid="7" name="MSIP_Label_e14c1950-b3a8-4278-88f1-6df69d73b9d5_ActionId">
    <vt:lpwstr>d9d4304f-a815-4066-9a18-1997a955c8bf</vt:lpwstr>
  </property>
  <property fmtid="{D5CDD505-2E9C-101B-9397-08002B2CF9AE}" pid="8" name="MSIP_Label_e14c1950-b3a8-4278-88f1-6df69d73b9d5_ContentBits">
    <vt:lpwstr>0</vt:lpwstr>
  </property>
  <property fmtid="{D5CDD505-2E9C-101B-9397-08002B2CF9AE}" pid="9" name="ContentTypeId">
    <vt:lpwstr>0x010100262504168DD55845932BC2E505299595</vt:lpwstr>
  </property>
  <property fmtid="{D5CDD505-2E9C-101B-9397-08002B2CF9AE}" pid="10" name="ComplianceAssetId">
    <vt:lpwstr/>
  </property>
  <property fmtid="{D5CDD505-2E9C-101B-9397-08002B2CF9AE}" pid="11" name="_ExtendedDescription">
    <vt:lpwstr/>
  </property>
  <property fmtid="{D5CDD505-2E9C-101B-9397-08002B2CF9AE}" pid="12" name="TriggerFlowInfo">
    <vt:lpwstr/>
  </property>
  <property fmtid="{D5CDD505-2E9C-101B-9397-08002B2CF9AE}" pid="13" name="_activity">
    <vt:lpwstr>{"FileActivityType":"9","FileActivityTimeStamp":"2026-01-29T07:53:28.517Z","FileActivityUsersOnPage":[{"DisplayName":"Anjana Sharma","Id":"anjana.sharma@rockwellautomation.com"},{"DisplayName":"Naresh Balaraman","Id":"naresh.naresh@rockwellautomation.com"}],"FileActivityNavigationId":null}</vt:lpwstr>
  </property>
</Properties>
</file>