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jana\AM-APP\Ref docs\RA internal Process\PIWs\"/>
    </mc:Choice>
  </mc:AlternateContent>
  <xr:revisionPtr revIDLastSave="0" documentId="13_ncr:1_{8ECC0621-46D1-45F0-8FF3-ED6A8C3AF651}" xr6:coauthVersionLast="47" xr6:coauthVersionMax="47" xr10:uidLastSave="{00000000-0000-0000-0000-000000000000}"/>
  <bookViews>
    <workbookView xWindow="-110" yWindow="-110" windowWidth="19420" windowHeight="11500" activeTab="1" xr2:uid="{6F2B6E13-890F-43ED-8593-47620F7EF943}"/>
  </bookViews>
  <sheets>
    <sheet name="Use" sheetId="9" r:id="rId1"/>
    <sheet name="Surya" sheetId="10" r:id="rId2"/>
    <sheet name="new" sheetId="1" r:id="rId3"/>
    <sheet name="Sheet3" sheetId="8" r:id="rId4"/>
    <sheet name="Sheet2" sheetId="7" r:id="rId5"/>
  </sheets>
  <definedNames>
    <definedName name="_xlnm._FilterDatabase" localSheetId="2" hidden="1">new!$A$1:$E$51</definedName>
    <definedName name="_xlnm._FilterDatabase" localSheetId="3" hidden="1">Sheet3!$A$2:$F$52</definedName>
    <definedName name="_xlnm._FilterDatabase" localSheetId="0" hidden="1">Use!$A$1:$E$51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4" i="10" l="1"/>
  <c r="H24" i="10"/>
  <c r="G25" i="10"/>
  <c r="H25" i="10"/>
  <c r="G26" i="10"/>
  <c r="H26" i="10"/>
  <c r="G27" i="10"/>
  <c r="H27" i="10"/>
  <c r="G28" i="10"/>
  <c r="H28" i="10"/>
  <c r="G29" i="10"/>
  <c r="H29" i="10"/>
  <c r="G30" i="10"/>
  <c r="H30" i="10"/>
  <c r="G31" i="10"/>
  <c r="H31" i="10"/>
  <c r="G32" i="10"/>
  <c r="H32" i="10"/>
  <c r="G33" i="10"/>
  <c r="H33" i="10"/>
  <c r="G34" i="10"/>
  <c r="H34" i="10"/>
  <c r="G35" i="10"/>
  <c r="H35" i="10"/>
  <c r="G36" i="10"/>
  <c r="H36" i="10"/>
  <c r="G2" i="10"/>
  <c r="H2" i="10"/>
  <c r="I2" i="10"/>
  <c r="J2" i="10"/>
  <c r="G3" i="10"/>
  <c r="H3" i="10"/>
  <c r="I3" i="10"/>
  <c r="J3" i="10"/>
  <c r="G4" i="10"/>
  <c r="H4" i="10"/>
  <c r="I4" i="10"/>
  <c r="J4" i="10"/>
  <c r="G5" i="10"/>
  <c r="H5" i="10"/>
  <c r="I5" i="10"/>
  <c r="J5" i="10"/>
  <c r="G6" i="10"/>
  <c r="H6" i="10"/>
  <c r="I6" i="10"/>
  <c r="J6" i="10"/>
  <c r="G7" i="10"/>
  <c r="H7" i="10"/>
  <c r="I7" i="10"/>
  <c r="J7" i="10"/>
  <c r="G8" i="10"/>
  <c r="H8" i="10"/>
  <c r="I8" i="10"/>
  <c r="J8" i="10"/>
  <c r="G9" i="10"/>
  <c r="H9" i="10"/>
  <c r="I9" i="10"/>
  <c r="J9" i="10"/>
  <c r="G10" i="10"/>
  <c r="H10" i="10"/>
  <c r="I10" i="10"/>
  <c r="J10" i="10"/>
  <c r="G11" i="10"/>
  <c r="H11" i="10"/>
  <c r="I11" i="10"/>
  <c r="J11" i="10"/>
  <c r="G12" i="10"/>
  <c r="H12" i="10"/>
  <c r="I12" i="10"/>
  <c r="J12" i="10"/>
  <c r="G13" i="10"/>
  <c r="H13" i="10"/>
  <c r="I13" i="10"/>
  <c r="J13" i="10"/>
  <c r="G14" i="10"/>
  <c r="H14" i="10"/>
  <c r="I14" i="10"/>
  <c r="J14" i="10"/>
  <c r="G15" i="10"/>
  <c r="H15" i="10"/>
  <c r="I15" i="10"/>
  <c r="J15" i="10"/>
  <c r="G16" i="10"/>
  <c r="H16" i="10"/>
  <c r="I16" i="10"/>
  <c r="J16" i="10"/>
  <c r="G17" i="10"/>
  <c r="H17" i="10"/>
  <c r="I17" i="10"/>
  <c r="J17" i="10"/>
  <c r="G18" i="10"/>
  <c r="H18" i="10"/>
  <c r="I18" i="10"/>
  <c r="J18" i="10"/>
  <c r="G19" i="10"/>
  <c r="H19" i="10"/>
  <c r="I19" i="10"/>
  <c r="J19" i="10"/>
  <c r="G20" i="10"/>
  <c r="H20" i="10"/>
  <c r="I20" i="10"/>
  <c r="J20" i="10"/>
  <c r="G21" i="10"/>
  <c r="H21" i="10"/>
  <c r="I21" i="10"/>
  <c r="J21" i="10"/>
  <c r="G22" i="10"/>
  <c r="H22" i="10"/>
  <c r="I22" i="10"/>
  <c r="J22" i="10"/>
  <c r="G23" i="10"/>
  <c r="H23" i="10"/>
  <c r="I23" i="10"/>
  <c r="J23" i="10"/>
  <c r="I24" i="10"/>
  <c r="J24" i="10"/>
  <c r="I25" i="10"/>
  <c r="J25" i="10"/>
  <c r="I26" i="10"/>
  <c r="J26" i="10"/>
  <c r="I27" i="10"/>
  <c r="J27" i="10"/>
  <c r="I28" i="10"/>
  <c r="J28" i="10"/>
  <c r="I29" i="10"/>
  <c r="J29" i="10"/>
  <c r="I30" i="10"/>
  <c r="J30" i="10"/>
  <c r="I31" i="10"/>
  <c r="J31" i="10"/>
  <c r="I32" i="10"/>
  <c r="J32" i="10"/>
  <c r="I33" i="10"/>
  <c r="J33" i="10"/>
  <c r="I34" i="10"/>
  <c r="J34" i="10"/>
  <c r="I35" i="10"/>
  <c r="J35" i="10"/>
  <c r="I36" i="10"/>
  <c r="J36" i="10"/>
  <c r="G37" i="10"/>
  <c r="H37" i="10"/>
  <c r="I37" i="10"/>
  <c r="J37" i="10"/>
  <c r="G38" i="10"/>
  <c r="H38" i="10"/>
  <c r="I38" i="10"/>
  <c r="J38" i="10"/>
  <c r="G39" i="10"/>
  <c r="H39" i="10"/>
  <c r="I39" i="10"/>
  <c r="J39" i="10"/>
  <c r="G40" i="10"/>
  <c r="H40" i="10"/>
  <c r="I40" i="10"/>
  <c r="J40" i="10"/>
  <c r="G41" i="10"/>
  <c r="H41" i="10"/>
  <c r="I41" i="10"/>
  <c r="J41" i="10"/>
  <c r="G42" i="10"/>
  <c r="H42" i="10"/>
  <c r="I42" i="10"/>
  <c r="J42" i="10"/>
  <c r="G43" i="10"/>
  <c r="H43" i="10"/>
  <c r="I43" i="10"/>
  <c r="J43" i="10"/>
  <c r="G44" i="10"/>
  <c r="H44" i="10"/>
  <c r="I44" i="10"/>
  <c r="J44" i="10"/>
  <c r="G45" i="10"/>
  <c r="H45" i="10"/>
  <c r="I45" i="10"/>
  <c r="J45" i="10"/>
  <c r="G46" i="10"/>
  <c r="H46" i="10"/>
  <c r="I46" i="10"/>
  <c r="J46" i="10"/>
  <c r="G47" i="10"/>
  <c r="H47" i="10"/>
  <c r="I47" i="10"/>
  <c r="J47" i="10"/>
  <c r="G48" i="10"/>
  <c r="H48" i="10"/>
  <c r="I48" i="10"/>
  <c r="J48" i="10"/>
  <c r="G49" i="10"/>
  <c r="H49" i="10"/>
  <c r="I49" i="10"/>
  <c r="J49" i="10"/>
  <c r="G50" i="10"/>
  <c r="H50" i="10"/>
  <c r="I50" i="10"/>
  <c r="J50" i="10"/>
</calcChain>
</file>

<file path=xl/sharedStrings.xml><?xml version="1.0" encoding="utf-8"?>
<sst xmlns="http://schemas.openxmlformats.org/spreadsheetml/2006/main" count="277" uniqueCount="63">
  <si>
    <t>Contractor Name</t>
  </si>
  <si>
    <t>Start Date</t>
  </si>
  <si>
    <t xml:space="preserve">Revised Bill Rate - 
Daily (INR) </t>
  </si>
  <si>
    <t xml:space="preserve">Skill Type </t>
  </si>
  <si>
    <t>Akshay B, Jeevan</t>
  </si>
  <si>
    <t>Niche</t>
  </si>
  <si>
    <t>Ali, Niyas</t>
  </si>
  <si>
    <t>Commodity</t>
  </si>
  <si>
    <t>Anand, Abhijeet</t>
  </si>
  <si>
    <t>B Nair, Aishwarya</t>
  </si>
  <si>
    <t>Basani, Rahul</t>
  </si>
  <si>
    <t>C, Miruthula</t>
  </si>
  <si>
    <t>Chaitanya Srinivasula, Krishna</t>
  </si>
  <si>
    <t>Charitha, P</t>
  </si>
  <si>
    <t>Das, Swagato</t>
  </si>
  <si>
    <t>Deshmukh, Harshada</t>
  </si>
  <si>
    <t>Dhanasekarapandian, Prabhakaran</t>
  </si>
  <si>
    <t>Dhaware, Ashitosh</t>
  </si>
  <si>
    <t>Dora, Subramanyam</t>
  </si>
  <si>
    <t>Eshwarappa, Harsha</t>
  </si>
  <si>
    <t>Gaikwad, Sushil</t>
  </si>
  <si>
    <t>Ganie, Anzar</t>
  </si>
  <si>
    <t>Gatkal, Tushar</t>
  </si>
  <si>
    <t>J, Shangeetha</t>
  </si>
  <si>
    <t>Jiny D, Mary</t>
  </si>
  <si>
    <t>K V, Varshini</t>
  </si>
  <si>
    <t>K, Akhilkrishnan</t>
  </si>
  <si>
    <t>K, Prasanna</t>
  </si>
  <si>
    <t>K, Shanmugapriya</t>
  </si>
  <si>
    <t>Katkamwar, Shivam</t>
  </si>
  <si>
    <t>Kolte, Litesh</t>
  </si>
  <si>
    <t>Kumar Choudhary, Ayush</t>
  </si>
  <si>
    <t>Kumar, Anshul</t>
  </si>
  <si>
    <t>Kumar, Praveen</t>
  </si>
  <si>
    <t>Kurup, Abhishek</t>
  </si>
  <si>
    <t>Kushwaha, Arun Singh</t>
  </si>
  <si>
    <t>Menon, Manu</t>
  </si>
  <si>
    <t>Narasimiah, Mohan</t>
  </si>
  <si>
    <t>NN, Sanjana</t>
  </si>
  <si>
    <t>PA, Sareesh</t>
  </si>
  <si>
    <t>Patil, Vishal</t>
  </si>
  <si>
    <t>Pokharia, Rahul</t>
  </si>
  <si>
    <t>Prabhu, Vignesh</t>
  </si>
  <si>
    <t>Putta, Susmitha</t>
  </si>
  <si>
    <t>Rathod, Suneel</t>
  </si>
  <si>
    <t>Reddy, Rupesh</t>
  </si>
  <si>
    <t>RS, Venkatesh</t>
  </si>
  <si>
    <t>Samineni, Jayanth</t>
  </si>
  <si>
    <t>Savarala, Sai</t>
  </si>
  <si>
    <t>Shaikh, Sahil</t>
  </si>
  <si>
    <t>Sharma, Anjana</t>
  </si>
  <si>
    <t>Sheriff, Yusuff</t>
  </si>
  <si>
    <t>Shibili O, Mohammed</t>
  </si>
  <si>
    <t>Singh, Pranjay</t>
  </si>
  <si>
    <t>Sri S, Archana</t>
  </si>
  <si>
    <t>Suresh, Adith</t>
  </si>
  <si>
    <t xml:space="preserve">RAID </t>
  </si>
  <si>
    <t>90732268</t>
  </si>
  <si>
    <t>End Date</t>
  </si>
  <si>
    <t>RAID</t>
  </si>
  <si>
    <t>Skill Type</t>
  </si>
  <si>
    <t>Daily Rate (INR)</t>
  </si>
  <si>
    <t>Specialized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</si>
</sst>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-14009]dd/mm/yyyy;@"/>
  </numFmts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2" fillId="0" borderId="0" xfId="0" applyFont="1"/>
    <xf numFmtId="1" fontId="2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left"/>
    </xf>
    <xf numFmtId="1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64" fontId="2" fillId="4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left"/>
    </xf>
    <xf numFmtId="1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/>
    <xf numFmtId="0" fontId="0" fillId="2" borderId="0" xfId="0" applyFill="1"/>
    <xf numFmtId="0" fontId="0" fillId="2" borderId="0" xfId="0" applyFill="1" applyAlignment="1">
      <alignment horizontal="center"/>
    </xf>
    <xf numFmtId="14" fontId="0" fillId="0" borderId="0" xfId="0" applyNumberFormat="1"/>
    <xf numFmtId="14" fontId="2" fillId="0" borderId="1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5" borderId="2" xfId="0" applyFont="1" applyFill="1" applyBorder="1" applyAlignment="1">
      <alignment horizontal="center" vertical="center" readingOrder="1"/>
    </xf>
    <xf numFmtId="165" fontId="0" fillId="0" borderId="0" xfId="0" applyNumberFormat="1"/>
    <xf numFmtId="0" fontId="0" fillId="6" borderId="0" xfId="0" applyFill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47E70-B19E-486A-BF06-54188D8422B8}">
  <dimension ref="A1:I55"/>
  <sheetViews>
    <sheetView showGridLines="0" zoomScale="79" workbookViewId="0">
      <pane ySplit="1" topLeftCell="A2" activePane="bottomLeft" state="frozen"/>
      <selection pane="bottomLeft" activeCell="D2" sqref="D2:D51"/>
    </sheetView>
  </sheetViews>
  <sheetFormatPr defaultColWidth="9.1796875" defaultRowHeight="14.5" x14ac:dyDescent="0.35"/>
  <cols>
    <col min="1" max="1" width="13.36328125" style="3" customWidth="1"/>
    <col min="2" max="2" width="13.81640625" style="7" customWidth="1"/>
    <col min="3" max="3" width="13.453125" style="1" bestFit="1" customWidth="1"/>
    <col min="4" max="4" width="13.1796875" style="28" customWidth="1"/>
    <col min="5" max="5" width="14.1796875" style="28" customWidth="1"/>
    <col min="7" max="7" width="11.81640625" style="6" customWidth="1"/>
    <col min="8" max="8" width="31.54296875" style="1" customWidth="1"/>
    <col min="9" max="9" width="10.453125" style="1" bestFit="1" customWidth="1"/>
    <col min="10" max="16384" width="9.1796875" style="1"/>
  </cols>
  <sheetData>
    <row r="1" spans="1:9" customFormat="1" x14ac:dyDescent="0.35">
      <c r="A1" s="24" t="s">
        <v>59</v>
      </c>
      <c r="B1" s="25" t="s">
        <v>60</v>
      </c>
      <c r="C1" s="24" t="s">
        <v>61</v>
      </c>
      <c r="D1" s="25" t="s">
        <v>1</v>
      </c>
      <c r="E1" s="25" t="s">
        <v>58</v>
      </c>
    </row>
    <row r="2" spans="1:9" x14ac:dyDescent="0.35">
      <c r="A2" s="10">
        <v>90719937</v>
      </c>
      <c r="B2" s="16" t="s">
        <v>62</v>
      </c>
      <c r="C2" s="9">
        <v>16000</v>
      </c>
      <c r="D2" s="27">
        <v>46204</v>
      </c>
      <c r="E2" s="27">
        <v>46234</v>
      </c>
      <c r="F2" s="1"/>
      <c r="G2" s="1"/>
      <c r="H2" s="26"/>
      <c r="I2" s="26"/>
    </row>
    <row r="3" spans="1:9" ht="13" x14ac:dyDescent="0.3">
      <c r="A3" s="10">
        <v>90719482</v>
      </c>
      <c r="B3" s="16" t="s">
        <v>7</v>
      </c>
      <c r="C3" s="9">
        <v>22769</v>
      </c>
      <c r="D3" s="27">
        <v>46204</v>
      </c>
      <c r="E3" s="27">
        <v>46234</v>
      </c>
      <c r="F3" s="1"/>
      <c r="G3" s="1"/>
    </row>
    <row r="4" spans="1:9" ht="13" x14ac:dyDescent="0.3">
      <c r="A4" s="10">
        <v>90732267</v>
      </c>
      <c r="B4" s="16" t="s">
        <v>7</v>
      </c>
      <c r="C4" s="9">
        <v>14769</v>
      </c>
      <c r="D4" s="27">
        <v>46204</v>
      </c>
      <c r="E4" s="27">
        <v>46234</v>
      </c>
      <c r="F4" s="1"/>
      <c r="G4" s="1"/>
    </row>
    <row r="5" spans="1:9" ht="13" x14ac:dyDescent="0.3">
      <c r="A5" s="10" t="s">
        <v>57</v>
      </c>
      <c r="B5" s="16" t="s">
        <v>62</v>
      </c>
      <c r="C5" s="9">
        <v>16000</v>
      </c>
      <c r="D5" s="27">
        <v>46204</v>
      </c>
      <c r="E5" s="27">
        <v>46295</v>
      </c>
      <c r="F5" s="1"/>
      <c r="G5" s="1"/>
    </row>
    <row r="6" spans="1:9" ht="13" x14ac:dyDescent="0.3">
      <c r="A6" s="10">
        <v>90719323</v>
      </c>
      <c r="B6" s="16" t="s">
        <v>7</v>
      </c>
      <c r="C6" s="9">
        <v>27692</v>
      </c>
      <c r="D6" s="27">
        <v>46204</v>
      </c>
      <c r="E6" s="27">
        <v>46295</v>
      </c>
      <c r="F6" s="1"/>
      <c r="G6" s="1"/>
    </row>
    <row r="7" spans="1:9" ht="13" x14ac:dyDescent="0.3">
      <c r="A7" s="10">
        <v>90732285</v>
      </c>
      <c r="B7" s="16" t="s">
        <v>7</v>
      </c>
      <c r="C7" s="9">
        <v>18462</v>
      </c>
      <c r="D7" s="27">
        <v>46204</v>
      </c>
      <c r="E7" s="27">
        <v>46265</v>
      </c>
      <c r="F7" s="1"/>
      <c r="G7" s="1"/>
    </row>
    <row r="8" spans="1:9" ht="13" x14ac:dyDescent="0.3">
      <c r="A8" s="10">
        <v>90719847</v>
      </c>
      <c r="B8" s="16" t="s">
        <v>7</v>
      </c>
      <c r="C8" s="9">
        <v>22769</v>
      </c>
      <c r="D8" s="27">
        <v>46204</v>
      </c>
      <c r="E8" s="27">
        <v>46295</v>
      </c>
      <c r="F8" s="1"/>
      <c r="G8" s="1"/>
    </row>
    <row r="9" spans="1:9" ht="13" x14ac:dyDescent="0.3">
      <c r="A9" s="10">
        <v>90719826</v>
      </c>
      <c r="B9" s="16" t="s">
        <v>7</v>
      </c>
      <c r="C9" s="9">
        <v>18462</v>
      </c>
      <c r="D9" s="27">
        <v>46204</v>
      </c>
      <c r="E9" s="27">
        <v>46295</v>
      </c>
      <c r="F9" s="1"/>
      <c r="G9" s="1"/>
    </row>
    <row r="10" spans="1:9" ht="13" x14ac:dyDescent="0.3">
      <c r="A10" s="10">
        <v>90719457</v>
      </c>
      <c r="B10" s="16" t="s">
        <v>7</v>
      </c>
      <c r="C10" s="9">
        <v>22769</v>
      </c>
      <c r="D10" s="27">
        <v>46204</v>
      </c>
      <c r="E10" s="27">
        <v>46295</v>
      </c>
      <c r="F10" s="1"/>
      <c r="G10" s="1"/>
    </row>
    <row r="11" spans="1:9" ht="13" x14ac:dyDescent="0.3">
      <c r="A11" s="10">
        <v>90719953</v>
      </c>
      <c r="B11" s="16" t="s">
        <v>7</v>
      </c>
      <c r="C11" s="9">
        <v>14769</v>
      </c>
      <c r="D11" s="27">
        <v>46204</v>
      </c>
      <c r="E11" s="27">
        <v>46220</v>
      </c>
      <c r="F11" s="1"/>
      <c r="G11" s="1"/>
    </row>
    <row r="12" spans="1:9" ht="13" x14ac:dyDescent="0.3">
      <c r="A12" s="10">
        <v>90719629</v>
      </c>
      <c r="B12" s="16" t="s">
        <v>7</v>
      </c>
      <c r="C12" s="9">
        <v>22769</v>
      </c>
      <c r="D12" s="27">
        <v>46204</v>
      </c>
      <c r="E12" s="27">
        <v>46295</v>
      </c>
      <c r="F12" s="1"/>
      <c r="G12" s="1"/>
    </row>
    <row r="13" spans="1:9" ht="13" x14ac:dyDescent="0.3">
      <c r="A13" s="10">
        <v>90719614</v>
      </c>
      <c r="B13" s="16" t="s">
        <v>7</v>
      </c>
      <c r="C13" s="9">
        <v>22769</v>
      </c>
      <c r="D13" s="27">
        <v>46204</v>
      </c>
      <c r="E13" s="27">
        <v>46295</v>
      </c>
      <c r="F13" s="1"/>
      <c r="G13" s="1"/>
    </row>
    <row r="14" spans="1:9" ht="13" x14ac:dyDescent="0.3">
      <c r="A14" s="10">
        <v>90719514</v>
      </c>
      <c r="B14" s="16" t="s">
        <v>7</v>
      </c>
      <c r="C14" s="9">
        <v>27692</v>
      </c>
      <c r="D14" s="27">
        <v>46204</v>
      </c>
      <c r="E14" s="27">
        <v>46234</v>
      </c>
      <c r="F14" s="1"/>
      <c r="G14" s="1"/>
    </row>
    <row r="15" spans="1:9" ht="13" x14ac:dyDescent="0.3">
      <c r="A15" s="10">
        <v>90725496</v>
      </c>
      <c r="B15" s="16" t="s">
        <v>7</v>
      </c>
      <c r="C15" s="9">
        <v>14769</v>
      </c>
      <c r="D15" s="27">
        <v>46204</v>
      </c>
      <c r="E15" s="27">
        <v>46295</v>
      </c>
      <c r="F15" s="1"/>
      <c r="G15" s="1"/>
    </row>
    <row r="16" spans="1:9" ht="13" x14ac:dyDescent="0.3">
      <c r="A16" s="10">
        <v>90719465</v>
      </c>
      <c r="B16" s="16" t="s">
        <v>7</v>
      </c>
      <c r="C16" s="9">
        <v>22769</v>
      </c>
      <c r="D16" s="27">
        <v>46204</v>
      </c>
      <c r="E16" s="27">
        <v>46265</v>
      </c>
      <c r="F16" s="1"/>
      <c r="G16" s="1"/>
    </row>
    <row r="17" spans="1:7" ht="13" x14ac:dyDescent="0.3">
      <c r="A17" s="10">
        <v>90719922</v>
      </c>
      <c r="B17" s="16" t="s">
        <v>62</v>
      </c>
      <c r="C17" s="9">
        <v>16000</v>
      </c>
      <c r="D17" s="27">
        <v>46204</v>
      </c>
      <c r="E17" s="27">
        <v>46295</v>
      </c>
      <c r="F17" s="1"/>
      <c r="G17" s="1"/>
    </row>
    <row r="18" spans="1:7" ht="13" x14ac:dyDescent="0.3">
      <c r="A18" s="10">
        <v>90719229</v>
      </c>
      <c r="B18" s="16" t="s">
        <v>7</v>
      </c>
      <c r="C18" s="9">
        <v>22769</v>
      </c>
      <c r="D18" s="27">
        <v>46204</v>
      </c>
      <c r="E18" s="27">
        <v>46234</v>
      </c>
      <c r="F18" s="1"/>
      <c r="G18" s="1"/>
    </row>
    <row r="19" spans="1:7" ht="13" x14ac:dyDescent="0.3">
      <c r="A19" s="10">
        <v>90719899</v>
      </c>
      <c r="B19" s="16" t="s">
        <v>7</v>
      </c>
      <c r="C19" s="9">
        <v>14769</v>
      </c>
      <c r="D19" s="27">
        <v>46204</v>
      </c>
      <c r="E19" s="27">
        <v>46295</v>
      </c>
      <c r="F19" s="1"/>
      <c r="G19" s="1"/>
    </row>
    <row r="20" spans="1:7" ht="13" x14ac:dyDescent="0.3">
      <c r="A20" s="10">
        <v>90732332</v>
      </c>
      <c r="B20" s="16" t="s">
        <v>7</v>
      </c>
      <c r="C20" s="9">
        <v>18462</v>
      </c>
      <c r="D20" s="27">
        <v>46204</v>
      </c>
      <c r="E20" s="27">
        <v>46295</v>
      </c>
      <c r="F20" s="1"/>
      <c r="G20" s="1"/>
    </row>
    <row r="21" spans="1:7" ht="13" x14ac:dyDescent="0.3">
      <c r="A21" s="10">
        <v>90719653</v>
      </c>
      <c r="B21" s="16" t="s">
        <v>7</v>
      </c>
      <c r="C21" s="9">
        <v>18462</v>
      </c>
      <c r="D21" s="27">
        <v>46204</v>
      </c>
      <c r="E21" s="27">
        <v>46295</v>
      </c>
      <c r="F21" s="1"/>
      <c r="G21" s="1"/>
    </row>
    <row r="22" spans="1:7" ht="13" x14ac:dyDescent="0.3">
      <c r="A22" s="10">
        <v>90719753</v>
      </c>
      <c r="B22" s="16" t="s">
        <v>7</v>
      </c>
      <c r="C22" s="9">
        <v>18462</v>
      </c>
      <c r="D22" s="27">
        <v>46204</v>
      </c>
      <c r="E22" s="27">
        <v>46295</v>
      </c>
      <c r="F22" s="1"/>
      <c r="G22" s="1"/>
    </row>
    <row r="23" spans="1:7" ht="13" x14ac:dyDescent="0.3">
      <c r="A23" s="10">
        <v>80114706</v>
      </c>
      <c r="B23" s="16" t="s">
        <v>7</v>
      </c>
      <c r="C23" s="9">
        <v>22769</v>
      </c>
      <c r="D23" s="27">
        <v>46204</v>
      </c>
      <c r="E23" s="27">
        <v>46387</v>
      </c>
      <c r="F23" s="1"/>
      <c r="G23" s="1"/>
    </row>
    <row r="24" spans="1:7" ht="13" x14ac:dyDescent="0.3">
      <c r="A24" s="10">
        <v>90719470</v>
      </c>
      <c r="B24" s="16" t="s">
        <v>7</v>
      </c>
      <c r="C24" s="9">
        <v>27692</v>
      </c>
      <c r="D24" s="27">
        <v>46204</v>
      </c>
      <c r="E24" s="27">
        <v>46248</v>
      </c>
      <c r="F24" s="1"/>
      <c r="G24" s="1"/>
    </row>
    <row r="25" spans="1:7" ht="13" x14ac:dyDescent="0.3">
      <c r="A25" s="10">
        <v>90719433</v>
      </c>
      <c r="B25" s="16" t="s">
        <v>7</v>
      </c>
      <c r="C25" s="9">
        <v>22769</v>
      </c>
      <c r="D25" s="27">
        <v>46204</v>
      </c>
      <c r="E25" s="27">
        <v>46387</v>
      </c>
      <c r="F25" s="1"/>
      <c r="G25" s="1"/>
    </row>
    <row r="26" spans="1:7" ht="13" x14ac:dyDescent="0.3">
      <c r="A26" s="10">
        <v>90719444</v>
      </c>
      <c r="B26" s="16" t="s">
        <v>7</v>
      </c>
      <c r="C26" s="9">
        <v>27692</v>
      </c>
      <c r="D26" s="27">
        <v>46204</v>
      </c>
      <c r="E26" s="27">
        <v>46295</v>
      </c>
      <c r="F26" s="1"/>
      <c r="G26" s="1"/>
    </row>
    <row r="27" spans="1:7" ht="13" x14ac:dyDescent="0.3">
      <c r="A27" s="10">
        <v>90719787</v>
      </c>
      <c r="B27" s="16" t="s">
        <v>7</v>
      </c>
      <c r="C27" s="9">
        <v>18462</v>
      </c>
      <c r="D27" s="27">
        <v>46204</v>
      </c>
      <c r="E27" s="27">
        <v>46234</v>
      </c>
      <c r="F27" s="1"/>
      <c r="G27" s="1"/>
    </row>
    <row r="28" spans="1:7" ht="13" x14ac:dyDescent="0.3">
      <c r="A28" s="10">
        <v>90719617</v>
      </c>
      <c r="B28" s="16" t="s">
        <v>7</v>
      </c>
      <c r="C28" s="9">
        <v>22769</v>
      </c>
      <c r="D28" s="27">
        <v>46204</v>
      </c>
      <c r="E28" s="27">
        <v>46234</v>
      </c>
      <c r="F28" s="1"/>
      <c r="G28" s="1"/>
    </row>
    <row r="29" spans="1:7" ht="13" x14ac:dyDescent="0.3">
      <c r="A29" s="10">
        <v>90719911</v>
      </c>
      <c r="B29" s="16" t="s">
        <v>62</v>
      </c>
      <c r="C29" s="9">
        <v>16000</v>
      </c>
      <c r="D29" s="27">
        <v>46204</v>
      </c>
      <c r="E29" s="27">
        <v>46295</v>
      </c>
      <c r="F29" s="1"/>
      <c r="G29" s="1"/>
    </row>
    <row r="30" spans="1:7" ht="13" x14ac:dyDescent="0.3">
      <c r="A30" s="10">
        <v>90719409</v>
      </c>
      <c r="B30" s="16" t="s">
        <v>62</v>
      </c>
      <c r="C30" s="9">
        <v>24615</v>
      </c>
      <c r="D30" s="27">
        <v>46204</v>
      </c>
      <c r="E30" s="27">
        <v>46234</v>
      </c>
      <c r="F30" s="1"/>
      <c r="G30" s="1"/>
    </row>
    <row r="31" spans="1:7" ht="13" x14ac:dyDescent="0.3">
      <c r="A31" s="10">
        <v>90719449</v>
      </c>
      <c r="B31" s="16" t="s">
        <v>7</v>
      </c>
      <c r="C31" s="9">
        <v>22769</v>
      </c>
      <c r="D31" s="27">
        <v>46204</v>
      </c>
      <c r="E31" s="27">
        <v>46234</v>
      </c>
      <c r="F31" s="1"/>
      <c r="G31" s="1"/>
    </row>
    <row r="32" spans="1:7" ht="13" x14ac:dyDescent="0.3">
      <c r="A32" s="10">
        <v>20104603</v>
      </c>
      <c r="B32" s="16" t="s">
        <v>7</v>
      </c>
      <c r="C32" s="9">
        <v>27692</v>
      </c>
      <c r="D32" s="27">
        <v>46204</v>
      </c>
      <c r="E32" s="27">
        <v>46295</v>
      </c>
      <c r="F32" s="1"/>
      <c r="G32" s="1"/>
    </row>
    <row r="33" spans="1:7" ht="13" x14ac:dyDescent="0.3">
      <c r="A33" s="10">
        <v>90719576</v>
      </c>
      <c r="B33" s="16" t="s">
        <v>7</v>
      </c>
      <c r="C33" s="9">
        <v>22769</v>
      </c>
      <c r="D33" s="27">
        <v>46204</v>
      </c>
      <c r="E33" s="27">
        <v>46326</v>
      </c>
      <c r="F33" s="1"/>
      <c r="G33" s="1"/>
    </row>
    <row r="34" spans="1:7" ht="13" x14ac:dyDescent="0.3">
      <c r="A34" s="10">
        <v>90729815</v>
      </c>
      <c r="B34" s="16" t="s">
        <v>7</v>
      </c>
      <c r="C34" s="9">
        <v>30769</v>
      </c>
      <c r="D34" s="27">
        <v>46204</v>
      </c>
      <c r="E34" s="27">
        <v>46234</v>
      </c>
      <c r="F34" s="1"/>
      <c r="G34" s="1"/>
    </row>
    <row r="35" spans="1:7" ht="13" x14ac:dyDescent="0.3">
      <c r="A35" s="10">
        <v>90718943</v>
      </c>
      <c r="B35" s="16" t="s">
        <v>7</v>
      </c>
      <c r="C35" s="9">
        <v>30769</v>
      </c>
      <c r="D35" s="27">
        <v>46204</v>
      </c>
      <c r="E35" s="27">
        <v>46234</v>
      </c>
      <c r="F35" s="1"/>
      <c r="G35" s="1"/>
    </row>
    <row r="36" spans="1:7" ht="13" x14ac:dyDescent="0.3">
      <c r="A36" s="10">
        <v>90719584</v>
      </c>
      <c r="B36" s="16" t="s">
        <v>7</v>
      </c>
      <c r="C36" s="9">
        <v>22769</v>
      </c>
      <c r="D36" s="27">
        <v>46204</v>
      </c>
      <c r="E36" s="27">
        <v>46265</v>
      </c>
      <c r="F36" s="1"/>
      <c r="G36" s="1"/>
    </row>
    <row r="37" spans="1:7" ht="13" x14ac:dyDescent="0.3">
      <c r="A37" s="10">
        <v>90719459</v>
      </c>
      <c r="B37" s="16" t="s">
        <v>7</v>
      </c>
      <c r="C37" s="9">
        <v>22769</v>
      </c>
      <c r="D37" s="27">
        <v>46204</v>
      </c>
      <c r="E37" s="27">
        <v>46387</v>
      </c>
      <c r="F37" s="1"/>
      <c r="G37" s="1"/>
    </row>
    <row r="38" spans="1:7" ht="13" x14ac:dyDescent="0.3">
      <c r="A38" s="10">
        <v>90718836</v>
      </c>
      <c r="B38" s="16" t="s">
        <v>7</v>
      </c>
      <c r="C38" s="9">
        <v>27692</v>
      </c>
      <c r="D38" s="27">
        <v>46204</v>
      </c>
      <c r="E38" s="27">
        <v>46265</v>
      </c>
      <c r="F38" s="1"/>
      <c r="G38" s="1"/>
    </row>
    <row r="39" spans="1:7" ht="13" x14ac:dyDescent="0.3">
      <c r="A39" s="10">
        <v>90729433</v>
      </c>
      <c r="B39" s="16" t="s">
        <v>7</v>
      </c>
      <c r="C39" s="9">
        <v>18462</v>
      </c>
      <c r="D39" s="27">
        <v>46204</v>
      </c>
      <c r="E39" s="27">
        <v>46295</v>
      </c>
      <c r="F39" s="1"/>
      <c r="G39" s="1"/>
    </row>
    <row r="40" spans="1:7" ht="13" x14ac:dyDescent="0.3">
      <c r="A40" s="10">
        <v>90719920</v>
      </c>
      <c r="B40" s="16" t="s">
        <v>7</v>
      </c>
      <c r="C40" s="9">
        <v>14769</v>
      </c>
      <c r="D40" s="27">
        <v>46204</v>
      </c>
      <c r="E40" s="27">
        <v>46265</v>
      </c>
      <c r="F40" s="1"/>
      <c r="G40" s="1"/>
    </row>
    <row r="41" spans="1:7" ht="13" x14ac:dyDescent="0.3">
      <c r="A41" s="10">
        <v>90719534</v>
      </c>
      <c r="B41" s="16" t="s">
        <v>7</v>
      </c>
      <c r="C41" s="9">
        <v>22769</v>
      </c>
      <c r="D41" s="27">
        <v>46204</v>
      </c>
      <c r="E41" s="27">
        <v>46295</v>
      </c>
      <c r="F41" s="1"/>
      <c r="G41" s="1"/>
    </row>
    <row r="42" spans="1:7" ht="13" x14ac:dyDescent="0.3">
      <c r="A42" s="10">
        <v>90730605</v>
      </c>
      <c r="B42" s="16" t="s">
        <v>7</v>
      </c>
      <c r="C42" s="9">
        <v>14769</v>
      </c>
      <c r="D42" s="27">
        <v>46204</v>
      </c>
      <c r="E42" s="27">
        <v>46387</v>
      </c>
      <c r="F42" s="1"/>
      <c r="G42" s="1"/>
    </row>
    <row r="43" spans="1:7" ht="13" x14ac:dyDescent="0.3">
      <c r="A43" s="10">
        <v>90718960</v>
      </c>
      <c r="B43" s="16" t="s">
        <v>62</v>
      </c>
      <c r="C43" s="9">
        <v>30769</v>
      </c>
      <c r="D43" s="27">
        <v>46204</v>
      </c>
      <c r="E43" s="27">
        <v>46295</v>
      </c>
      <c r="F43" s="1"/>
      <c r="G43" s="1"/>
    </row>
    <row r="44" spans="1:7" ht="13" x14ac:dyDescent="0.3">
      <c r="A44" s="10">
        <v>90719475</v>
      </c>
      <c r="B44" s="16" t="s">
        <v>7</v>
      </c>
      <c r="C44" s="9">
        <v>22769</v>
      </c>
      <c r="D44" s="27">
        <v>46204</v>
      </c>
      <c r="E44" s="27">
        <v>46295</v>
      </c>
      <c r="F44" s="1"/>
      <c r="G44" s="1"/>
    </row>
    <row r="45" spans="1:7" ht="13" x14ac:dyDescent="0.3">
      <c r="A45" s="10">
        <v>90719500</v>
      </c>
      <c r="B45" s="16" t="s">
        <v>7</v>
      </c>
      <c r="C45" s="9">
        <v>22769</v>
      </c>
      <c r="D45" s="27">
        <v>46204</v>
      </c>
      <c r="E45" s="27">
        <v>46387</v>
      </c>
      <c r="F45" s="1"/>
      <c r="G45" s="1"/>
    </row>
    <row r="46" spans="1:7" ht="13" x14ac:dyDescent="0.3">
      <c r="A46" s="10">
        <v>90719376</v>
      </c>
      <c r="B46" s="16" t="s">
        <v>7</v>
      </c>
      <c r="C46" s="9">
        <v>0</v>
      </c>
      <c r="D46" s="27">
        <v>46204</v>
      </c>
      <c r="E46" s="27">
        <v>46387</v>
      </c>
      <c r="F46" s="1"/>
      <c r="G46" s="1"/>
    </row>
    <row r="47" spans="1:7" ht="13" x14ac:dyDescent="0.3">
      <c r="A47" s="10">
        <v>90720239</v>
      </c>
      <c r="B47" s="16" t="s">
        <v>62</v>
      </c>
      <c r="C47" s="9">
        <v>16000</v>
      </c>
      <c r="D47" s="27">
        <v>46204</v>
      </c>
      <c r="E47" s="27">
        <v>46265</v>
      </c>
      <c r="F47" s="1"/>
      <c r="G47" s="1"/>
    </row>
    <row r="48" spans="1:7" ht="13" x14ac:dyDescent="0.3">
      <c r="A48" s="10">
        <v>90719904</v>
      </c>
      <c r="B48" s="16" t="s">
        <v>62</v>
      </c>
      <c r="C48" s="9">
        <v>16000</v>
      </c>
      <c r="D48" s="27">
        <v>46204</v>
      </c>
      <c r="E48" s="27">
        <v>46295</v>
      </c>
      <c r="F48" s="1"/>
      <c r="G48" s="1"/>
    </row>
    <row r="49" spans="1:7" ht="13" x14ac:dyDescent="0.3">
      <c r="A49" s="10">
        <v>90719446</v>
      </c>
      <c r="B49" s="16" t="s">
        <v>7</v>
      </c>
      <c r="C49" s="9">
        <v>22769</v>
      </c>
      <c r="D49" s="27">
        <v>46204</v>
      </c>
      <c r="E49" s="27">
        <v>46387</v>
      </c>
      <c r="F49" s="1"/>
      <c r="G49" s="1"/>
    </row>
    <row r="50" spans="1:7" ht="13" x14ac:dyDescent="0.3">
      <c r="A50" s="10">
        <v>90719637</v>
      </c>
      <c r="B50" s="16" t="s">
        <v>7</v>
      </c>
      <c r="C50" s="9">
        <v>22769</v>
      </c>
      <c r="D50" s="27">
        <v>46204</v>
      </c>
      <c r="E50" s="27">
        <v>46295</v>
      </c>
      <c r="F50" s="1"/>
      <c r="G50" s="1"/>
    </row>
    <row r="51" spans="1:7" ht="13" x14ac:dyDescent="0.3">
      <c r="A51" s="10">
        <v>90719536</v>
      </c>
      <c r="B51" s="16" t="s">
        <v>7</v>
      </c>
      <c r="C51" s="9">
        <v>22769</v>
      </c>
      <c r="D51" s="27">
        <v>46204</v>
      </c>
      <c r="E51" s="27">
        <v>46295</v>
      </c>
      <c r="F51" s="1"/>
      <c r="G51" s="1"/>
    </row>
    <row r="52" spans="1:7" x14ac:dyDescent="0.35">
      <c r="A52" s="1"/>
      <c r="B52" s="3"/>
      <c r="C52" s="7"/>
    </row>
    <row r="53" spans="1:7" x14ac:dyDescent="0.35">
      <c r="A53" s="1"/>
      <c r="B53" s="3"/>
      <c r="C53" s="7"/>
    </row>
    <row r="54" spans="1:7" x14ac:dyDescent="0.35">
      <c r="A54" s="1"/>
      <c r="B54" s="3"/>
      <c r="C54" s="7"/>
    </row>
    <row r="55" spans="1:7" x14ac:dyDescent="0.35">
      <c r="A55" s="1"/>
      <c r="B55" s="3"/>
      <c r="C55" s="7"/>
    </row>
  </sheetData>
  <autoFilter ref="A1:E51" xr:uid="{669C26FA-4044-4D7F-9F08-00E53F410DA0}"/>
  <dataValidations count="2">
    <dataValidation type="list" allowBlank="1" showInputMessage="1" showErrorMessage="1" sqref="B2 B5 B17 B29:B30 B43 B47:B48" xr:uid="{37874E46-64A8-4F8F-BAFD-D1B3011CAEA8}">
      <formula1>"Commodity,Specialized"</formula1>
    </dataValidation>
    <dataValidation type="list" allowBlank="1" showInputMessage="1" showErrorMessage="1" sqref="G56:G1048576 C2:C55 B3:B4 B6:B16 B18:B28 B31:B42 B44:B46 B49:B55" xr:uid="{B283BE00-AD28-4C19-AB8D-A9F99F0AD5F6}">
      <formula1>"Commodity,Niche,NA"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B4E78-0AA1-40CD-87BB-EFAE3FD6FFE6}">
  <dimension ref="A1:J50"/>
  <sheetViews>
    <sheetView tabSelected="1" workbookViewId="0">
      <selection activeCell="K13" sqref="K13"/>
    </sheetView>
  </sheetViews>
  <sheetFormatPr defaultRowHeight="14.5" x14ac:dyDescent="0.35"/>
  <cols>
    <col min="1" max="1" width="14.08984375" customWidth="1"/>
    <col min="2" max="2" width="18.453125" customWidth="1"/>
    <col min="3" max="3" width="15.26953125" bestFit="1" customWidth="1"/>
    <col min="4" max="4" width="16.26953125" customWidth="1"/>
    <col min="5" max="5" width="11" style="30" bestFit="1" customWidth="1"/>
    <col min="6" max="6" width="3.36328125" style="31" customWidth="1"/>
    <col min="7" max="7" width="10.08984375" style="32" hidden="1" customWidth="1"/>
    <col min="8" max="8" width="0" style="32" hidden="1" customWidth="1"/>
    <col min="9" max="9" width="13.453125" style="33" hidden="1" customWidth="1"/>
    <col min="10" max="10" width="12.1796875" style="32" customWidth="1"/>
  </cols>
  <sheetData>
    <row r="1" spans="1:10" x14ac:dyDescent="0.35">
      <c r="A1" t="s">
        <v>59</v>
      </c>
      <c r="B1" t="s">
        <v>60</v>
      </c>
      <c r="C1" t="s">
        <v>61</v>
      </c>
      <c r="D1" t="s">
        <v>1</v>
      </c>
      <c r="E1" t="s">
        <v>58</v>
      </c>
    </row>
    <row r="2" spans="1:10" x14ac:dyDescent="0.35">
      <c r="A2" s="29">
        <v>90719953</v>
      </c>
      <c r="B2" t="s">
        <v>7</v>
      </c>
      <c r="C2">
        <v>14769</v>
      </c>
      <c r="D2" s="26">
        <v>46204</v>
      </c>
      <c r="E2" s="26">
        <v>46220</v>
      </c>
      <c r="G2" s="32" t="str">
        <f>VLOOKUP(A2,Use!$A$2:$E$51,2,FALSE)</f>
        <v>Commodity</v>
      </c>
      <c r="H2" s="32">
        <f>VLOOKUP(A2,Use!$A$2:$E$51,3,FALSE)</f>
        <v>14769</v>
      </c>
      <c r="I2" s="33">
        <f>VLOOKUP(A2,Use!$A$2:$E$51,4,FALSE)</f>
        <v>46204</v>
      </c>
      <c r="J2" s="33">
        <f>VLOOKUP(A2,Use!$A$2:$E$51,5,FALSE)</f>
        <v>46220</v>
      </c>
    </row>
    <row r="3" spans="1:10" x14ac:dyDescent="0.35">
      <c r="A3" s="29">
        <v>90719937</v>
      </c>
      <c r="B3" t="s">
        <v>62</v>
      </c>
      <c r="C3">
        <v>16000</v>
      </c>
      <c r="D3" s="26">
        <v>46204</v>
      </c>
      <c r="E3" s="26">
        <v>46234</v>
      </c>
      <c r="G3" s="32" t="str">
        <f>VLOOKUP(A3,Use!$A$2:$E$51,2,FALSE)</f>
        <v>Specialized</v>
      </c>
      <c r="H3" s="32">
        <f>VLOOKUP(A3,Use!$A$2:$E$51,3,FALSE)</f>
        <v>16000</v>
      </c>
      <c r="I3" s="33">
        <f>VLOOKUP(A3,Use!$A$2:$E$51,4,FALSE)</f>
        <v>46204</v>
      </c>
      <c r="J3" s="33">
        <f>VLOOKUP(A3,Use!$A$2:$E$51,5,FALSE)</f>
        <v>46234</v>
      </c>
    </row>
    <row r="4" spans="1:10" x14ac:dyDescent="0.35">
      <c r="A4" s="29">
        <v>90719482</v>
      </c>
      <c r="B4" t="s">
        <v>7</v>
      </c>
      <c r="C4">
        <v>22769</v>
      </c>
      <c r="D4" s="26">
        <v>46204</v>
      </c>
      <c r="E4" s="26">
        <v>46234</v>
      </c>
      <c r="G4" s="32" t="str">
        <f>VLOOKUP(A4,Use!$A$2:$E$51,2,FALSE)</f>
        <v>Commodity</v>
      </c>
      <c r="H4" s="32">
        <f>VLOOKUP(A4,Use!$A$2:$E$51,3,FALSE)</f>
        <v>22769</v>
      </c>
      <c r="I4" s="33">
        <f>VLOOKUP(A4,Use!$A$2:$E$51,4,FALSE)</f>
        <v>46204</v>
      </c>
      <c r="J4" s="33">
        <f>VLOOKUP(A4,Use!$A$2:$E$51,5,FALSE)</f>
        <v>46234</v>
      </c>
    </row>
    <row r="5" spans="1:10" x14ac:dyDescent="0.35">
      <c r="A5" s="29">
        <v>90732267</v>
      </c>
      <c r="B5" t="s">
        <v>7</v>
      </c>
      <c r="C5">
        <v>14769</v>
      </c>
      <c r="D5" s="26">
        <v>46204</v>
      </c>
      <c r="E5" s="26">
        <v>46234</v>
      </c>
      <c r="G5" s="32" t="str">
        <f>VLOOKUP(A5,Use!$A$2:$E$51,2,FALSE)</f>
        <v>Commodity</v>
      </c>
      <c r="H5" s="32">
        <f>VLOOKUP(A5,Use!$A$2:$E$51,3,FALSE)</f>
        <v>14769</v>
      </c>
      <c r="I5" s="33">
        <f>VLOOKUP(A5,Use!$A$2:$E$51,4,FALSE)</f>
        <v>46204</v>
      </c>
      <c r="J5" s="33">
        <f>VLOOKUP(A5,Use!$A$2:$E$51,5,FALSE)</f>
        <v>46234</v>
      </c>
    </row>
    <row r="6" spans="1:10" x14ac:dyDescent="0.35">
      <c r="A6" s="29">
        <v>90719514</v>
      </c>
      <c r="B6" t="s">
        <v>7</v>
      </c>
      <c r="C6">
        <v>27692</v>
      </c>
      <c r="D6" s="26">
        <v>46204</v>
      </c>
      <c r="E6" s="26">
        <v>46234</v>
      </c>
      <c r="G6" s="32" t="str">
        <f>VLOOKUP(A6,Use!$A$2:$E$51,2,FALSE)</f>
        <v>Commodity</v>
      </c>
      <c r="H6" s="32">
        <f>VLOOKUP(A6,Use!$A$2:$E$51,3,FALSE)</f>
        <v>27692</v>
      </c>
      <c r="I6" s="33">
        <f>VLOOKUP(A6,Use!$A$2:$E$51,4,FALSE)</f>
        <v>46204</v>
      </c>
      <c r="J6" s="33">
        <f>VLOOKUP(A6,Use!$A$2:$E$51,5,FALSE)</f>
        <v>46234</v>
      </c>
    </row>
    <row r="7" spans="1:10" x14ac:dyDescent="0.35">
      <c r="A7" s="29">
        <v>90719229</v>
      </c>
      <c r="B7" t="s">
        <v>7</v>
      </c>
      <c r="C7">
        <v>22769</v>
      </c>
      <c r="D7" s="26">
        <v>46204</v>
      </c>
      <c r="E7" s="26">
        <v>46234</v>
      </c>
      <c r="G7" s="32" t="str">
        <f>VLOOKUP(A7,Use!$A$2:$E$51,2,FALSE)</f>
        <v>Commodity</v>
      </c>
      <c r="H7" s="32">
        <f>VLOOKUP(A7,Use!$A$2:$E$51,3,FALSE)</f>
        <v>22769</v>
      </c>
      <c r="I7" s="33">
        <f>VLOOKUP(A7,Use!$A$2:$E$51,4,FALSE)</f>
        <v>46204</v>
      </c>
      <c r="J7" s="33">
        <f>VLOOKUP(A7,Use!$A$2:$E$51,5,FALSE)</f>
        <v>46234</v>
      </c>
    </row>
    <row r="8" spans="1:10" x14ac:dyDescent="0.35">
      <c r="A8" s="29">
        <v>90719787</v>
      </c>
      <c r="B8" t="s">
        <v>7</v>
      </c>
      <c r="C8">
        <v>18462</v>
      </c>
      <c r="D8" s="26">
        <v>46204</v>
      </c>
      <c r="E8" s="26">
        <v>46234</v>
      </c>
      <c r="G8" s="32" t="str">
        <f>VLOOKUP(A8,Use!$A$2:$E$51,2,FALSE)</f>
        <v>Commodity</v>
      </c>
      <c r="H8" s="32">
        <f>VLOOKUP(A8,Use!$A$2:$E$51,3,FALSE)</f>
        <v>18462</v>
      </c>
      <c r="I8" s="33">
        <f>VLOOKUP(A8,Use!$A$2:$E$51,4,FALSE)</f>
        <v>46204</v>
      </c>
      <c r="J8" s="33">
        <f>VLOOKUP(A8,Use!$A$2:$E$51,5,FALSE)</f>
        <v>46234</v>
      </c>
    </row>
    <row r="9" spans="1:10" x14ac:dyDescent="0.35">
      <c r="A9" s="29">
        <v>90719617</v>
      </c>
      <c r="B9" t="s">
        <v>7</v>
      </c>
      <c r="C9">
        <v>22769</v>
      </c>
      <c r="D9" s="26">
        <v>46204</v>
      </c>
      <c r="E9" s="26">
        <v>46234</v>
      </c>
      <c r="G9" s="32" t="str">
        <f>VLOOKUP(A9,Use!$A$2:$E$51,2,FALSE)</f>
        <v>Commodity</v>
      </c>
      <c r="H9" s="32">
        <f>VLOOKUP(A9,Use!$A$2:$E$51,3,FALSE)</f>
        <v>22769</v>
      </c>
      <c r="I9" s="33">
        <f>VLOOKUP(A9,Use!$A$2:$E$51,4,FALSE)</f>
        <v>46204</v>
      </c>
      <c r="J9" s="33">
        <f>VLOOKUP(A9,Use!$A$2:$E$51,5,FALSE)</f>
        <v>46234</v>
      </c>
    </row>
    <row r="10" spans="1:10" x14ac:dyDescent="0.35">
      <c r="A10" s="29">
        <v>90719409</v>
      </c>
      <c r="B10" t="s">
        <v>62</v>
      </c>
      <c r="C10">
        <v>24615</v>
      </c>
      <c r="D10" s="26">
        <v>46204</v>
      </c>
      <c r="E10" s="26">
        <v>46234</v>
      </c>
      <c r="G10" s="32" t="str">
        <f>VLOOKUP(A10,Use!$A$2:$E$51,2,FALSE)</f>
        <v>Specialized</v>
      </c>
      <c r="H10" s="32">
        <f>VLOOKUP(A10,Use!$A$2:$E$51,3,FALSE)</f>
        <v>24615</v>
      </c>
      <c r="I10" s="33">
        <f>VLOOKUP(A10,Use!$A$2:$E$51,4,FALSE)</f>
        <v>46204</v>
      </c>
      <c r="J10" s="33">
        <f>VLOOKUP(A10,Use!$A$2:$E$51,5,FALSE)</f>
        <v>46234</v>
      </c>
    </row>
    <row r="11" spans="1:10" x14ac:dyDescent="0.35">
      <c r="A11" s="29">
        <v>90719449</v>
      </c>
      <c r="B11" t="s">
        <v>7</v>
      </c>
      <c r="C11">
        <v>22769</v>
      </c>
      <c r="D11" s="26">
        <v>46204</v>
      </c>
      <c r="E11" s="26">
        <v>46234</v>
      </c>
      <c r="G11" s="32" t="str">
        <f>VLOOKUP(A11,Use!$A$2:$E$51,2,FALSE)</f>
        <v>Commodity</v>
      </c>
      <c r="H11" s="32">
        <f>VLOOKUP(A11,Use!$A$2:$E$51,3,FALSE)</f>
        <v>22769</v>
      </c>
      <c r="I11" s="33">
        <f>VLOOKUP(A11,Use!$A$2:$E$51,4,FALSE)</f>
        <v>46204</v>
      </c>
      <c r="J11" s="33">
        <f>VLOOKUP(A11,Use!$A$2:$E$51,5,FALSE)</f>
        <v>46234</v>
      </c>
    </row>
    <row r="12" spans="1:10" x14ac:dyDescent="0.35">
      <c r="A12" s="29">
        <v>90729815</v>
      </c>
      <c r="B12" t="s">
        <v>7</v>
      </c>
      <c r="C12">
        <v>30769</v>
      </c>
      <c r="D12" s="26">
        <v>46204</v>
      </c>
      <c r="E12" s="26">
        <v>46234</v>
      </c>
      <c r="G12" s="32" t="str">
        <f>VLOOKUP(A12,Use!$A$2:$E$51,2,FALSE)</f>
        <v>Commodity</v>
      </c>
      <c r="H12" s="32">
        <f>VLOOKUP(A12,Use!$A$2:$E$51,3,FALSE)</f>
        <v>30769</v>
      </c>
      <c r="I12" s="33">
        <f>VLOOKUP(A12,Use!$A$2:$E$51,4,FALSE)</f>
        <v>46204</v>
      </c>
      <c r="J12" s="33">
        <f>VLOOKUP(A12,Use!$A$2:$E$51,5,FALSE)</f>
        <v>46234</v>
      </c>
    </row>
    <row r="13" spans="1:10" x14ac:dyDescent="0.35">
      <c r="A13" s="29">
        <v>90718943</v>
      </c>
      <c r="B13" t="s">
        <v>7</v>
      </c>
      <c r="C13">
        <v>30769</v>
      </c>
      <c r="D13" s="26">
        <v>46204</v>
      </c>
      <c r="E13" s="26">
        <v>46234</v>
      </c>
      <c r="G13" s="32" t="str">
        <f>VLOOKUP(A13,Use!$A$2:$E$51,2,FALSE)</f>
        <v>Commodity</v>
      </c>
      <c r="H13" s="32">
        <f>VLOOKUP(A13,Use!$A$2:$E$51,3,FALSE)</f>
        <v>30769</v>
      </c>
      <c r="I13" s="33">
        <f>VLOOKUP(A13,Use!$A$2:$E$51,4,FALSE)</f>
        <v>46204</v>
      </c>
      <c r="J13" s="33">
        <f>VLOOKUP(A13,Use!$A$2:$E$51,5,FALSE)</f>
        <v>46234</v>
      </c>
    </row>
    <row r="14" spans="1:10" x14ac:dyDescent="0.35">
      <c r="A14" s="29">
        <v>90719470</v>
      </c>
      <c r="B14" t="s">
        <v>7</v>
      </c>
      <c r="C14">
        <v>27692</v>
      </c>
      <c r="D14" s="26">
        <v>46204</v>
      </c>
      <c r="E14" s="26">
        <v>46248</v>
      </c>
      <c r="G14" s="32" t="str">
        <f>VLOOKUP(A14,Use!$A$2:$E$51,2,FALSE)</f>
        <v>Commodity</v>
      </c>
      <c r="H14" s="32">
        <f>VLOOKUP(A14,Use!$A$2:$E$51,3,FALSE)</f>
        <v>27692</v>
      </c>
      <c r="I14" s="33">
        <f>VLOOKUP(A14,Use!$A$2:$E$51,4,FALSE)</f>
        <v>46204</v>
      </c>
      <c r="J14" s="33">
        <f>VLOOKUP(A14,Use!$A$2:$E$51,5,FALSE)</f>
        <v>46248</v>
      </c>
    </row>
    <row r="15" spans="1:10" x14ac:dyDescent="0.35">
      <c r="A15" s="29">
        <v>90719920</v>
      </c>
      <c r="B15" t="s">
        <v>7</v>
      </c>
      <c r="C15">
        <v>14769</v>
      </c>
      <c r="D15" s="26">
        <v>46204</v>
      </c>
      <c r="E15" s="26">
        <v>46265</v>
      </c>
      <c r="G15" s="32" t="str">
        <f>VLOOKUP(A15,Use!$A$2:$E$51,2,FALSE)</f>
        <v>Commodity</v>
      </c>
      <c r="H15" s="32">
        <f>VLOOKUP(A15,Use!$A$2:$E$51,3,FALSE)</f>
        <v>14769</v>
      </c>
      <c r="I15" s="33">
        <f>VLOOKUP(A15,Use!$A$2:$E$51,4,FALSE)</f>
        <v>46204</v>
      </c>
      <c r="J15" s="33">
        <f>VLOOKUP(A15,Use!$A$2:$E$51,5,FALSE)</f>
        <v>46265</v>
      </c>
    </row>
    <row r="16" spans="1:10" x14ac:dyDescent="0.35">
      <c r="A16" s="29">
        <v>90732268</v>
      </c>
      <c r="B16" t="s">
        <v>62</v>
      </c>
      <c r="C16">
        <v>16000</v>
      </c>
      <c r="D16" s="26">
        <v>46204</v>
      </c>
      <c r="E16" s="26">
        <v>46295</v>
      </c>
      <c r="G16" s="32" t="e">
        <f>VLOOKUP(A16,Use!$A$2:$E$51,2,FALSE)</f>
        <v>#N/A</v>
      </c>
      <c r="H16" s="32" t="e">
        <f>VLOOKUP(A16,Use!$A$2:$E$51,3,FALSE)</f>
        <v>#N/A</v>
      </c>
      <c r="I16" s="33" t="e">
        <f>VLOOKUP(A16,Use!$A$2:$E$51,4,FALSE)</f>
        <v>#N/A</v>
      </c>
      <c r="J16" s="33" t="e">
        <f>VLOOKUP(A16,Use!$A$2:$E$51,5,FALSE)</f>
        <v>#N/A</v>
      </c>
    </row>
    <row r="17" spans="1:10" x14ac:dyDescent="0.35">
      <c r="A17" s="29">
        <v>90719323</v>
      </c>
      <c r="B17" t="s">
        <v>7</v>
      </c>
      <c r="C17">
        <v>27692</v>
      </c>
      <c r="D17" s="26">
        <v>46204</v>
      </c>
      <c r="E17" s="26">
        <v>46295</v>
      </c>
      <c r="G17" s="32" t="str">
        <f>VLOOKUP(A17,Use!$A$2:$E$51,2,FALSE)</f>
        <v>Commodity</v>
      </c>
      <c r="H17" s="32">
        <f>VLOOKUP(A17,Use!$A$2:$E$51,3,FALSE)</f>
        <v>27692</v>
      </c>
      <c r="I17" s="33">
        <f>VLOOKUP(A17,Use!$A$2:$E$51,4,FALSE)</f>
        <v>46204</v>
      </c>
      <c r="J17" s="33">
        <f>VLOOKUP(A17,Use!$A$2:$E$51,5,FALSE)</f>
        <v>46295</v>
      </c>
    </row>
    <row r="18" spans="1:10" x14ac:dyDescent="0.35">
      <c r="A18" s="29">
        <v>90719847</v>
      </c>
      <c r="B18" t="s">
        <v>7</v>
      </c>
      <c r="C18">
        <v>22769</v>
      </c>
      <c r="D18" s="26">
        <v>46204</v>
      </c>
      <c r="E18" s="26">
        <v>46295</v>
      </c>
      <c r="G18" s="32" t="str">
        <f>VLOOKUP(A18,Use!$A$2:$E$51,2,FALSE)</f>
        <v>Commodity</v>
      </c>
      <c r="H18" s="32">
        <f>VLOOKUP(A18,Use!$A$2:$E$51,3,FALSE)</f>
        <v>22769</v>
      </c>
      <c r="I18" s="33">
        <f>VLOOKUP(A18,Use!$A$2:$E$51,4,FALSE)</f>
        <v>46204</v>
      </c>
      <c r="J18" s="33">
        <f>VLOOKUP(A18,Use!$A$2:$E$51,5,FALSE)</f>
        <v>46295</v>
      </c>
    </row>
    <row r="19" spans="1:10" x14ac:dyDescent="0.35">
      <c r="A19" s="29">
        <v>90719457</v>
      </c>
      <c r="B19" t="s">
        <v>7</v>
      </c>
      <c r="C19">
        <v>22769</v>
      </c>
      <c r="D19" s="26">
        <v>46204</v>
      </c>
      <c r="E19" s="26">
        <v>46295</v>
      </c>
      <c r="G19" s="32" t="str">
        <f>VLOOKUP(A19,Use!$A$2:$E$51,2,FALSE)</f>
        <v>Commodity</v>
      </c>
      <c r="H19" s="32">
        <f>VLOOKUP(A19,Use!$A$2:$E$51,3,FALSE)</f>
        <v>22769</v>
      </c>
      <c r="I19" s="33">
        <f>VLOOKUP(A19,Use!$A$2:$E$51,4,FALSE)</f>
        <v>46204</v>
      </c>
      <c r="J19" s="33">
        <f>VLOOKUP(A19,Use!$A$2:$E$51,5,FALSE)</f>
        <v>46295</v>
      </c>
    </row>
    <row r="20" spans="1:10" x14ac:dyDescent="0.35">
      <c r="A20" s="29">
        <v>90719629</v>
      </c>
      <c r="B20" t="s">
        <v>7</v>
      </c>
      <c r="C20">
        <v>22769</v>
      </c>
      <c r="D20" s="26">
        <v>46204</v>
      </c>
      <c r="E20" s="26">
        <v>46295</v>
      </c>
      <c r="G20" s="32" t="str">
        <f>VLOOKUP(A20,Use!$A$2:$E$51,2,FALSE)</f>
        <v>Commodity</v>
      </c>
      <c r="H20" s="32">
        <f>VLOOKUP(A20,Use!$A$2:$E$51,3,FALSE)</f>
        <v>22769</v>
      </c>
      <c r="I20" s="33">
        <f>VLOOKUP(A20,Use!$A$2:$E$51,4,FALSE)</f>
        <v>46204</v>
      </c>
      <c r="J20" s="33">
        <f>VLOOKUP(A20,Use!$A$2:$E$51,5,FALSE)</f>
        <v>46295</v>
      </c>
    </row>
    <row r="21" spans="1:10" x14ac:dyDescent="0.35">
      <c r="A21" s="29">
        <v>90725496</v>
      </c>
      <c r="B21" t="s">
        <v>7</v>
      </c>
      <c r="C21">
        <v>14769</v>
      </c>
      <c r="D21" s="26">
        <v>46204</v>
      </c>
      <c r="E21" s="26">
        <v>46295</v>
      </c>
      <c r="G21" s="32" t="str">
        <f>VLOOKUP(A21,Use!$A$2:$E$51,2,FALSE)</f>
        <v>Commodity</v>
      </c>
      <c r="H21" s="32">
        <f>VLOOKUP(A21,Use!$A$2:$E$51,3,FALSE)</f>
        <v>14769</v>
      </c>
      <c r="I21" s="33">
        <f>VLOOKUP(A21,Use!$A$2:$E$51,4,FALSE)</f>
        <v>46204</v>
      </c>
      <c r="J21" s="33">
        <f>VLOOKUP(A21,Use!$A$2:$E$51,5,FALSE)</f>
        <v>46295</v>
      </c>
    </row>
    <row r="22" spans="1:10" x14ac:dyDescent="0.35">
      <c r="A22" s="29">
        <v>90719922</v>
      </c>
      <c r="B22" t="s">
        <v>62</v>
      </c>
      <c r="C22">
        <v>16000</v>
      </c>
      <c r="D22" s="26">
        <v>46204</v>
      </c>
      <c r="E22" s="26">
        <v>46295</v>
      </c>
      <c r="G22" s="32" t="str">
        <f>VLOOKUP(A22,Use!$A$2:$E$51,2,FALSE)</f>
        <v>Specialized</v>
      </c>
      <c r="H22" s="32">
        <f>VLOOKUP(A22,Use!$A$2:$E$51,3,FALSE)</f>
        <v>16000</v>
      </c>
      <c r="I22" s="33">
        <f>VLOOKUP(A22,Use!$A$2:$E$51,4,FALSE)</f>
        <v>46204</v>
      </c>
      <c r="J22" s="33">
        <f>VLOOKUP(A22,Use!$A$2:$E$51,5,FALSE)</f>
        <v>46295</v>
      </c>
    </row>
    <row r="23" spans="1:10" x14ac:dyDescent="0.35">
      <c r="A23" s="29">
        <v>90719899</v>
      </c>
      <c r="B23" t="s">
        <v>7</v>
      </c>
      <c r="C23">
        <v>14769</v>
      </c>
      <c r="D23" s="26">
        <v>46204</v>
      </c>
      <c r="E23" s="26">
        <v>46295</v>
      </c>
      <c r="G23" s="32" t="str">
        <f>VLOOKUP(A23,Use!$A$2:$E$51,2,FALSE)</f>
        <v>Commodity</v>
      </c>
      <c r="H23" s="32">
        <f>VLOOKUP(A23,Use!$A$2:$E$51,3,FALSE)</f>
        <v>14769</v>
      </c>
      <c r="I23" s="33">
        <f>VLOOKUP(A23,Use!$A$2:$E$51,4,FALSE)</f>
        <v>46204</v>
      </c>
      <c r="J23" s="33">
        <f>VLOOKUP(A23,Use!$A$2:$E$51,5,FALSE)</f>
        <v>46295</v>
      </c>
    </row>
    <row r="24" spans="1:10" x14ac:dyDescent="0.35">
      <c r="A24" s="29">
        <v>90732332</v>
      </c>
      <c r="B24" t="s">
        <v>7</v>
      </c>
      <c r="C24">
        <v>18462</v>
      </c>
      <c r="D24" s="26">
        <v>46204</v>
      </c>
      <c r="E24" s="26">
        <v>46295</v>
      </c>
      <c r="G24" s="32" t="str">
        <f>VLOOKUP(A24,Use!$A$2:$E$51,2,FALSE)</f>
        <v>Commodity</v>
      </c>
      <c r="H24" s="32">
        <f>VLOOKUP(A24,Use!$A$2:$E$51,3,FALSE)</f>
        <v>18462</v>
      </c>
      <c r="I24" s="33">
        <f>VLOOKUP(A24,Use!$A$2:$E$51,4,FALSE)</f>
        <v>46204</v>
      </c>
      <c r="J24" s="33">
        <f>VLOOKUP(A24,Use!$A$2:$E$51,5,FALSE)</f>
        <v>46295</v>
      </c>
    </row>
    <row r="25" spans="1:10" x14ac:dyDescent="0.35">
      <c r="A25" s="29">
        <v>90719653</v>
      </c>
      <c r="B25" t="s">
        <v>7</v>
      </c>
      <c r="C25">
        <v>18462</v>
      </c>
      <c r="D25" s="26">
        <v>46204</v>
      </c>
      <c r="E25" s="26">
        <v>46295</v>
      </c>
      <c r="G25" s="32" t="str">
        <f>VLOOKUP(A25,Use!$A$2:$E$51,2,FALSE)</f>
        <v>Commodity</v>
      </c>
      <c r="H25" s="32">
        <f>VLOOKUP(A25,Use!$A$2:$E$51,3,FALSE)</f>
        <v>18462</v>
      </c>
      <c r="I25" s="33">
        <f>VLOOKUP(A25,Use!$A$2:$E$51,4,FALSE)</f>
        <v>46204</v>
      </c>
      <c r="J25" s="33">
        <f>VLOOKUP(A25,Use!$A$2:$E$51,5,FALSE)</f>
        <v>46295</v>
      </c>
    </row>
    <row r="26" spans="1:10" x14ac:dyDescent="0.35">
      <c r="A26" s="29">
        <v>90719753</v>
      </c>
      <c r="B26" t="s">
        <v>7</v>
      </c>
      <c r="C26">
        <v>18462</v>
      </c>
      <c r="D26" s="26">
        <v>46204</v>
      </c>
      <c r="E26" s="26">
        <v>46295</v>
      </c>
      <c r="G26" s="32" t="str">
        <f>VLOOKUP(A26,Use!$A$2:$E$51,2,FALSE)</f>
        <v>Commodity</v>
      </c>
      <c r="H26" s="32">
        <f>VLOOKUP(A26,Use!$A$2:$E$51,3,FALSE)</f>
        <v>18462</v>
      </c>
      <c r="I26" s="33">
        <f>VLOOKUP(A26,Use!$A$2:$E$51,4,FALSE)</f>
        <v>46204</v>
      </c>
      <c r="J26" s="33">
        <f>VLOOKUP(A26,Use!$A$2:$E$51,5,FALSE)</f>
        <v>46295</v>
      </c>
    </row>
    <row r="27" spans="1:10" x14ac:dyDescent="0.35">
      <c r="A27" s="29">
        <v>90719444</v>
      </c>
      <c r="B27" t="s">
        <v>7</v>
      </c>
      <c r="C27">
        <v>27692</v>
      </c>
      <c r="D27" s="26">
        <v>46204</v>
      </c>
      <c r="E27" s="26">
        <v>46295</v>
      </c>
      <c r="G27" s="32" t="str">
        <f>VLOOKUP(A27,Use!$A$2:$E$51,2,FALSE)</f>
        <v>Commodity</v>
      </c>
      <c r="H27" s="32">
        <f>VLOOKUP(A27,Use!$A$2:$E$51,3,FALSE)</f>
        <v>27692</v>
      </c>
      <c r="I27" s="33">
        <f>VLOOKUP(A27,Use!$A$2:$E$51,4,FALSE)</f>
        <v>46204</v>
      </c>
      <c r="J27" s="33">
        <f>VLOOKUP(A27,Use!$A$2:$E$51,5,FALSE)</f>
        <v>46295</v>
      </c>
    </row>
    <row r="28" spans="1:10" x14ac:dyDescent="0.35">
      <c r="A28" s="29">
        <v>90719911</v>
      </c>
      <c r="B28" t="s">
        <v>62</v>
      </c>
      <c r="C28">
        <v>16000</v>
      </c>
      <c r="D28" s="26">
        <v>46204</v>
      </c>
      <c r="E28" s="26">
        <v>46295</v>
      </c>
      <c r="G28" s="32" t="str">
        <f>VLOOKUP(A28,Use!$A$2:$E$51,2,FALSE)</f>
        <v>Specialized</v>
      </c>
      <c r="H28" s="32">
        <f>VLOOKUP(A28,Use!$A$2:$E$51,3,FALSE)</f>
        <v>16000</v>
      </c>
      <c r="I28" s="33">
        <f>VLOOKUP(A28,Use!$A$2:$E$51,4,FALSE)</f>
        <v>46204</v>
      </c>
      <c r="J28" s="33">
        <f>VLOOKUP(A28,Use!$A$2:$E$51,5,FALSE)</f>
        <v>46295</v>
      </c>
    </row>
    <row r="29" spans="1:10" x14ac:dyDescent="0.35">
      <c r="A29" s="29">
        <v>20104603</v>
      </c>
      <c r="B29" t="s">
        <v>7</v>
      </c>
      <c r="C29">
        <v>27692</v>
      </c>
      <c r="D29" s="26">
        <v>46204</v>
      </c>
      <c r="E29" s="26">
        <v>46295</v>
      </c>
      <c r="G29" s="32" t="str">
        <f>VLOOKUP(A29,Use!$A$2:$E$51,2,FALSE)</f>
        <v>Commodity</v>
      </c>
      <c r="H29" s="32">
        <f>VLOOKUP(A29,Use!$A$2:$E$51,3,FALSE)</f>
        <v>27692</v>
      </c>
      <c r="I29" s="33">
        <f>VLOOKUP(A29,Use!$A$2:$E$51,4,FALSE)</f>
        <v>46204</v>
      </c>
      <c r="J29" s="33">
        <f>VLOOKUP(A29,Use!$A$2:$E$51,5,FALSE)</f>
        <v>46295</v>
      </c>
    </row>
    <row r="30" spans="1:10" x14ac:dyDescent="0.35">
      <c r="A30" s="29">
        <v>90729433</v>
      </c>
      <c r="B30" t="s">
        <v>7</v>
      </c>
      <c r="C30">
        <v>18462</v>
      </c>
      <c r="D30" s="26">
        <v>46204</v>
      </c>
      <c r="E30" s="26">
        <v>46295</v>
      </c>
      <c r="G30" s="32" t="str">
        <f>VLOOKUP(A30,Use!$A$2:$E$51,2,FALSE)</f>
        <v>Commodity</v>
      </c>
      <c r="H30" s="32">
        <f>VLOOKUP(A30,Use!$A$2:$E$51,3,FALSE)</f>
        <v>18462</v>
      </c>
      <c r="I30" s="33">
        <f>VLOOKUP(A30,Use!$A$2:$E$51,4,FALSE)</f>
        <v>46204</v>
      </c>
      <c r="J30" s="33">
        <f>VLOOKUP(A30,Use!$A$2:$E$51,5,FALSE)</f>
        <v>46295</v>
      </c>
    </row>
    <row r="31" spans="1:10" x14ac:dyDescent="0.35">
      <c r="A31" s="29">
        <v>90719534</v>
      </c>
      <c r="B31" t="s">
        <v>7</v>
      </c>
      <c r="C31">
        <v>22769</v>
      </c>
      <c r="D31" s="26">
        <v>46204</v>
      </c>
      <c r="E31" s="26">
        <v>46295</v>
      </c>
      <c r="G31" s="32" t="str">
        <f>VLOOKUP(A31,Use!$A$2:$E$51,2,FALSE)</f>
        <v>Commodity</v>
      </c>
      <c r="H31" s="32">
        <f>VLOOKUP(A31,Use!$A$2:$E$51,3,FALSE)</f>
        <v>22769</v>
      </c>
      <c r="I31" s="33">
        <f>VLOOKUP(A31,Use!$A$2:$E$51,4,FALSE)</f>
        <v>46204</v>
      </c>
      <c r="J31" s="33">
        <f>VLOOKUP(A31,Use!$A$2:$E$51,5,FALSE)</f>
        <v>46295</v>
      </c>
    </row>
    <row r="32" spans="1:10" x14ac:dyDescent="0.35">
      <c r="A32" s="29">
        <v>90718960</v>
      </c>
      <c r="B32" t="s">
        <v>62</v>
      </c>
      <c r="C32">
        <v>30769</v>
      </c>
      <c r="D32" s="26">
        <v>46204</v>
      </c>
      <c r="E32" s="26">
        <v>46295</v>
      </c>
      <c r="G32" s="32" t="str">
        <f>VLOOKUP(A32,Use!$A$2:$E$51,2,FALSE)</f>
        <v>Specialized</v>
      </c>
      <c r="H32" s="32">
        <f>VLOOKUP(A32,Use!$A$2:$E$51,3,FALSE)</f>
        <v>30769</v>
      </c>
      <c r="I32" s="33">
        <f>VLOOKUP(A32,Use!$A$2:$E$51,4,FALSE)</f>
        <v>46204</v>
      </c>
      <c r="J32" s="33">
        <f>VLOOKUP(A32,Use!$A$2:$E$51,5,FALSE)</f>
        <v>46295</v>
      </c>
    </row>
    <row r="33" spans="1:10" x14ac:dyDescent="0.35">
      <c r="A33" s="29">
        <v>90719475</v>
      </c>
      <c r="B33" t="s">
        <v>7</v>
      </c>
      <c r="C33">
        <v>22769</v>
      </c>
      <c r="D33" s="26">
        <v>46204</v>
      </c>
      <c r="E33" s="26">
        <v>46295</v>
      </c>
      <c r="G33" s="32" t="str">
        <f>VLOOKUP(A33,Use!$A$2:$E$51,2,FALSE)</f>
        <v>Commodity</v>
      </c>
      <c r="H33" s="32">
        <f>VLOOKUP(A33,Use!$A$2:$E$51,3,FALSE)</f>
        <v>22769</v>
      </c>
      <c r="I33" s="33">
        <f>VLOOKUP(A33,Use!$A$2:$E$51,4,FALSE)</f>
        <v>46204</v>
      </c>
      <c r="J33" s="33">
        <f>VLOOKUP(A33,Use!$A$2:$E$51,5,FALSE)</f>
        <v>46295</v>
      </c>
    </row>
    <row r="34" spans="1:10" x14ac:dyDescent="0.35">
      <c r="A34" s="29">
        <v>90719904</v>
      </c>
      <c r="B34" t="s">
        <v>62</v>
      </c>
      <c r="C34">
        <v>16000</v>
      </c>
      <c r="D34" s="26">
        <v>46204</v>
      </c>
      <c r="E34" s="26">
        <v>46295</v>
      </c>
      <c r="G34" s="32" t="str">
        <f>VLOOKUP(A34,Use!$A$2:$E$51,2,FALSE)</f>
        <v>Specialized</v>
      </c>
      <c r="H34" s="32">
        <f>VLOOKUP(A34,Use!$A$2:$E$51,3,FALSE)</f>
        <v>16000</v>
      </c>
      <c r="I34" s="33">
        <f>VLOOKUP(A34,Use!$A$2:$E$51,4,FALSE)</f>
        <v>46204</v>
      </c>
      <c r="J34" s="33">
        <f>VLOOKUP(A34,Use!$A$2:$E$51,5,FALSE)</f>
        <v>46295</v>
      </c>
    </row>
    <row r="35" spans="1:10" x14ac:dyDescent="0.35">
      <c r="A35" s="29">
        <v>90719637</v>
      </c>
      <c r="B35" t="s">
        <v>7</v>
      </c>
      <c r="C35">
        <v>22769</v>
      </c>
      <c r="D35" s="26">
        <v>46204</v>
      </c>
      <c r="E35" s="26">
        <v>46295</v>
      </c>
      <c r="G35" s="32" t="str">
        <f>VLOOKUP(A35,Use!$A$2:$E$51,2,FALSE)</f>
        <v>Commodity</v>
      </c>
      <c r="H35" s="32">
        <f>VLOOKUP(A35,Use!$A$2:$E$51,3,FALSE)</f>
        <v>22769</v>
      </c>
      <c r="I35" s="33">
        <f>VLOOKUP(A35,Use!$A$2:$E$51,4,FALSE)</f>
        <v>46204</v>
      </c>
      <c r="J35" s="33">
        <f>VLOOKUP(A35,Use!$A$2:$E$51,5,FALSE)</f>
        <v>46295</v>
      </c>
    </row>
    <row r="36" spans="1:10" x14ac:dyDescent="0.35">
      <c r="A36" s="29">
        <v>90719536</v>
      </c>
      <c r="B36" t="s">
        <v>7</v>
      </c>
      <c r="C36">
        <v>22769</v>
      </c>
      <c r="D36" s="26">
        <v>46204</v>
      </c>
      <c r="E36" s="26">
        <v>46295</v>
      </c>
      <c r="G36" s="32" t="str">
        <f>VLOOKUP(A36,Use!$A$2:$E$51,2,FALSE)</f>
        <v>Commodity</v>
      </c>
      <c r="H36" s="32">
        <f>VLOOKUP(A36,Use!$A$2:$E$51,3,FALSE)</f>
        <v>22769</v>
      </c>
      <c r="I36" s="33">
        <f>VLOOKUP(A36,Use!$A$2:$E$51,4,FALSE)</f>
        <v>46204</v>
      </c>
      <c r="J36" s="33">
        <f>VLOOKUP(A36,Use!$A$2:$E$51,5,FALSE)</f>
        <v>46295</v>
      </c>
    </row>
    <row r="37" spans="1:10" x14ac:dyDescent="0.35">
      <c r="A37" s="29">
        <v>90719433</v>
      </c>
      <c r="B37" t="s">
        <v>7</v>
      </c>
      <c r="C37">
        <v>22769</v>
      </c>
      <c r="D37" s="26">
        <v>46204</v>
      </c>
      <c r="E37" s="26">
        <v>46387</v>
      </c>
      <c r="G37" s="32" t="str">
        <f>VLOOKUP(A37,Use!$A$2:$E$51,2,FALSE)</f>
        <v>Commodity</v>
      </c>
      <c r="H37" s="32">
        <f>VLOOKUP(A37,Use!$A$2:$E$51,3,FALSE)</f>
        <v>22769</v>
      </c>
      <c r="I37" s="33">
        <f>VLOOKUP(A37,Use!$A$2:$E$51,4,FALSE)</f>
        <v>46204</v>
      </c>
      <c r="J37" s="33">
        <f>VLOOKUP(A37,Use!$A$2:$E$51,5,FALSE)</f>
        <v>46387</v>
      </c>
    </row>
    <row r="38" spans="1:10" x14ac:dyDescent="0.35">
      <c r="A38" s="29">
        <v>90719459</v>
      </c>
      <c r="B38" t="s">
        <v>7</v>
      </c>
      <c r="C38">
        <v>22769</v>
      </c>
      <c r="D38" s="26">
        <v>46204</v>
      </c>
      <c r="E38" s="26">
        <v>46387</v>
      </c>
      <c r="G38" s="32" t="str">
        <f>VLOOKUP(A38,Use!$A$2:$E$51,2,FALSE)</f>
        <v>Commodity</v>
      </c>
      <c r="H38" s="32">
        <f>VLOOKUP(A38,Use!$A$2:$E$51,3,FALSE)</f>
        <v>22769</v>
      </c>
      <c r="I38" s="33">
        <f>VLOOKUP(A38,Use!$A$2:$E$51,4,FALSE)</f>
        <v>46204</v>
      </c>
      <c r="J38" s="33">
        <f>VLOOKUP(A38,Use!$A$2:$E$51,5,FALSE)</f>
        <v>46387</v>
      </c>
    </row>
    <row r="39" spans="1:10" x14ac:dyDescent="0.35">
      <c r="A39" s="29">
        <v>90730605</v>
      </c>
      <c r="B39" t="s">
        <v>7</v>
      </c>
      <c r="C39">
        <v>14769</v>
      </c>
      <c r="D39" s="26">
        <v>46204</v>
      </c>
      <c r="E39" s="26">
        <v>46387</v>
      </c>
      <c r="G39" s="32" t="str">
        <f>VLOOKUP(A39,Use!$A$2:$E$51,2,FALSE)</f>
        <v>Commodity</v>
      </c>
      <c r="H39" s="32">
        <f>VLOOKUP(A39,Use!$A$2:$E$51,3,FALSE)</f>
        <v>14769</v>
      </c>
      <c r="I39" s="33">
        <f>VLOOKUP(A39,Use!$A$2:$E$51,4,FALSE)</f>
        <v>46204</v>
      </c>
      <c r="J39" s="33">
        <f>VLOOKUP(A39,Use!$A$2:$E$51,5,FALSE)</f>
        <v>46387</v>
      </c>
    </row>
    <row r="40" spans="1:10" x14ac:dyDescent="0.35">
      <c r="A40" s="29">
        <v>90732285</v>
      </c>
      <c r="B40" t="s">
        <v>7</v>
      </c>
      <c r="C40">
        <v>18462</v>
      </c>
      <c r="D40" s="26">
        <v>46204</v>
      </c>
      <c r="E40" s="26">
        <v>46265</v>
      </c>
      <c r="G40" s="32" t="str">
        <f>VLOOKUP(A40,Use!$A$2:$E$51,2,FALSE)</f>
        <v>Commodity</v>
      </c>
      <c r="H40" s="32">
        <f>VLOOKUP(A40,Use!$A$2:$E$51,3,FALSE)</f>
        <v>18462</v>
      </c>
      <c r="I40" s="33">
        <f>VLOOKUP(A40,Use!$A$2:$E$51,4,FALSE)</f>
        <v>46204</v>
      </c>
      <c r="J40" s="33">
        <f>VLOOKUP(A40,Use!$A$2:$E$51,5,FALSE)</f>
        <v>46265</v>
      </c>
    </row>
    <row r="41" spans="1:10" x14ac:dyDescent="0.35">
      <c r="A41" s="29">
        <v>90719826</v>
      </c>
      <c r="B41" t="s">
        <v>7</v>
      </c>
      <c r="C41">
        <v>18462</v>
      </c>
      <c r="D41" s="26">
        <v>46204</v>
      </c>
      <c r="E41" s="26">
        <v>46295</v>
      </c>
      <c r="G41" s="32" t="str">
        <f>VLOOKUP(A41,Use!$A$2:$E$51,2,FALSE)</f>
        <v>Commodity</v>
      </c>
      <c r="H41" s="32">
        <f>VLOOKUP(A41,Use!$A$2:$E$51,3,FALSE)</f>
        <v>18462</v>
      </c>
      <c r="I41" s="33">
        <f>VLOOKUP(A41,Use!$A$2:$E$51,4,FALSE)</f>
        <v>46204</v>
      </c>
      <c r="J41" s="33">
        <f>VLOOKUP(A41,Use!$A$2:$E$51,5,FALSE)</f>
        <v>46295</v>
      </c>
    </row>
    <row r="42" spans="1:10" x14ac:dyDescent="0.35">
      <c r="A42" s="29">
        <v>90719614</v>
      </c>
      <c r="B42" t="s">
        <v>7</v>
      </c>
      <c r="C42">
        <v>22769</v>
      </c>
      <c r="D42" s="26">
        <v>46204</v>
      </c>
      <c r="E42" s="26">
        <v>46295</v>
      </c>
      <c r="G42" s="32" t="str">
        <f>VLOOKUP(A42,Use!$A$2:$E$51,2,FALSE)</f>
        <v>Commodity</v>
      </c>
      <c r="H42" s="32">
        <f>VLOOKUP(A42,Use!$A$2:$E$51,3,FALSE)</f>
        <v>22769</v>
      </c>
      <c r="I42" s="33">
        <f>VLOOKUP(A42,Use!$A$2:$E$51,4,FALSE)</f>
        <v>46204</v>
      </c>
      <c r="J42" s="33">
        <f>VLOOKUP(A42,Use!$A$2:$E$51,5,FALSE)</f>
        <v>46295</v>
      </c>
    </row>
    <row r="43" spans="1:10" x14ac:dyDescent="0.35">
      <c r="A43" s="29">
        <v>90719465</v>
      </c>
      <c r="B43" t="s">
        <v>7</v>
      </c>
      <c r="C43">
        <v>22769</v>
      </c>
      <c r="D43" s="26">
        <v>46204</v>
      </c>
      <c r="E43" s="26">
        <v>46265</v>
      </c>
      <c r="G43" s="32" t="str">
        <f>VLOOKUP(A43,Use!$A$2:$E$51,2,FALSE)</f>
        <v>Commodity</v>
      </c>
      <c r="H43" s="32">
        <f>VLOOKUP(A43,Use!$A$2:$E$51,3,FALSE)</f>
        <v>22769</v>
      </c>
      <c r="I43" s="33">
        <f>VLOOKUP(A43,Use!$A$2:$E$51,4,FALSE)</f>
        <v>46204</v>
      </c>
      <c r="J43" s="33">
        <f>VLOOKUP(A43,Use!$A$2:$E$51,5,FALSE)</f>
        <v>46265</v>
      </c>
    </row>
    <row r="44" spans="1:10" x14ac:dyDescent="0.35">
      <c r="A44" s="29">
        <v>80114706</v>
      </c>
      <c r="B44" t="s">
        <v>7</v>
      </c>
      <c r="C44">
        <v>22769</v>
      </c>
      <c r="D44" s="26">
        <v>46204</v>
      </c>
      <c r="E44" s="26">
        <v>46387</v>
      </c>
      <c r="G44" s="32" t="str">
        <f>VLOOKUP(A44,Use!$A$2:$E$51,2,FALSE)</f>
        <v>Commodity</v>
      </c>
      <c r="H44" s="32">
        <f>VLOOKUP(A44,Use!$A$2:$E$51,3,FALSE)</f>
        <v>22769</v>
      </c>
      <c r="I44" s="33">
        <f>VLOOKUP(A44,Use!$A$2:$E$51,4,FALSE)</f>
        <v>46204</v>
      </c>
      <c r="J44" s="33">
        <f>VLOOKUP(A44,Use!$A$2:$E$51,5,FALSE)</f>
        <v>46387</v>
      </c>
    </row>
    <row r="45" spans="1:10" x14ac:dyDescent="0.35">
      <c r="A45" s="29">
        <v>90719576</v>
      </c>
      <c r="B45" t="s">
        <v>7</v>
      </c>
      <c r="C45">
        <v>22769</v>
      </c>
      <c r="D45" s="26">
        <v>46204</v>
      </c>
      <c r="E45" s="26">
        <v>46326</v>
      </c>
      <c r="G45" s="32" t="str">
        <f>VLOOKUP(A45,Use!$A$2:$E$51,2,FALSE)</f>
        <v>Commodity</v>
      </c>
      <c r="H45" s="32">
        <f>VLOOKUP(A45,Use!$A$2:$E$51,3,FALSE)</f>
        <v>22769</v>
      </c>
      <c r="I45" s="33">
        <f>VLOOKUP(A45,Use!$A$2:$E$51,4,FALSE)</f>
        <v>46204</v>
      </c>
      <c r="J45" s="33">
        <f>VLOOKUP(A45,Use!$A$2:$E$51,5,FALSE)</f>
        <v>46326</v>
      </c>
    </row>
    <row r="46" spans="1:10" x14ac:dyDescent="0.35">
      <c r="A46" s="29">
        <v>90719584</v>
      </c>
      <c r="B46" t="s">
        <v>7</v>
      </c>
      <c r="C46">
        <v>22769</v>
      </c>
      <c r="D46" s="26">
        <v>46204</v>
      </c>
      <c r="E46" s="26">
        <v>46265</v>
      </c>
      <c r="G46" s="32" t="str">
        <f>VLOOKUP(A46,Use!$A$2:$E$51,2,FALSE)</f>
        <v>Commodity</v>
      </c>
      <c r="H46" s="32">
        <f>VLOOKUP(A46,Use!$A$2:$E$51,3,FALSE)</f>
        <v>22769</v>
      </c>
      <c r="I46" s="33">
        <f>VLOOKUP(A46,Use!$A$2:$E$51,4,FALSE)</f>
        <v>46204</v>
      </c>
      <c r="J46" s="33">
        <f>VLOOKUP(A46,Use!$A$2:$E$51,5,FALSE)</f>
        <v>46265</v>
      </c>
    </row>
    <row r="47" spans="1:10" x14ac:dyDescent="0.35">
      <c r="A47" s="29">
        <v>90718836</v>
      </c>
      <c r="B47" t="s">
        <v>7</v>
      </c>
      <c r="C47">
        <v>27692</v>
      </c>
      <c r="D47" s="26">
        <v>46204</v>
      </c>
      <c r="E47" s="26">
        <v>46265</v>
      </c>
      <c r="G47" s="32" t="str">
        <f>VLOOKUP(A47,Use!$A$2:$E$51,2,FALSE)</f>
        <v>Commodity</v>
      </c>
      <c r="H47" s="32">
        <f>VLOOKUP(A47,Use!$A$2:$E$51,3,FALSE)</f>
        <v>27692</v>
      </c>
      <c r="I47" s="33">
        <f>VLOOKUP(A47,Use!$A$2:$E$51,4,FALSE)</f>
        <v>46204</v>
      </c>
      <c r="J47" s="33">
        <f>VLOOKUP(A47,Use!$A$2:$E$51,5,FALSE)</f>
        <v>46265</v>
      </c>
    </row>
    <row r="48" spans="1:10" x14ac:dyDescent="0.35">
      <c r="A48" s="29">
        <v>90719500</v>
      </c>
      <c r="B48" t="s">
        <v>7</v>
      </c>
      <c r="C48">
        <v>22769</v>
      </c>
      <c r="D48" s="26">
        <v>46204</v>
      </c>
      <c r="E48" s="26">
        <v>46387</v>
      </c>
      <c r="G48" s="32" t="str">
        <f>VLOOKUP(A48,Use!$A$2:$E$51,2,FALSE)</f>
        <v>Commodity</v>
      </c>
      <c r="H48" s="32">
        <f>VLOOKUP(A48,Use!$A$2:$E$51,3,FALSE)</f>
        <v>22769</v>
      </c>
      <c r="I48" s="33">
        <f>VLOOKUP(A48,Use!$A$2:$E$51,4,FALSE)</f>
        <v>46204</v>
      </c>
      <c r="J48" s="33">
        <f>VLOOKUP(A48,Use!$A$2:$E$51,5,FALSE)</f>
        <v>46387</v>
      </c>
    </row>
    <row r="49" spans="1:10" x14ac:dyDescent="0.35">
      <c r="A49" s="29">
        <v>90720239</v>
      </c>
      <c r="B49" t="s">
        <v>62</v>
      </c>
      <c r="C49">
        <v>16000</v>
      </c>
      <c r="D49" s="26">
        <v>46204</v>
      </c>
      <c r="E49" s="26">
        <v>46265</v>
      </c>
      <c r="G49" s="32" t="str">
        <f>VLOOKUP(A49,Use!$A$2:$E$51,2,FALSE)</f>
        <v>Specialized</v>
      </c>
      <c r="H49" s="32">
        <f>VLOOKUP(A49,Use!$A$2:$E$51,3,FALSE)</f>
        <v>16000</v>
      </c>
      <c r="I49" s="33">
        <f>VLOOKUP(A49,Use!$A$2:$E$51,4,FALSE)</f>
        <v>46204</v>
      </c>
      <c r="J49" s="33">
        <f>VLOOKUP(A49,Use!$A$2:$E$51,5,FALSE)</f>
        <v>46265</v>
      </c>
    </row>
    <row r="50" spans="1:10" x14ac:dyDescent="0.35">
      <c r="A50" s="29">
        <v>90719446</v>
      </c>
      <c r="B50" t="s">
        <v>7</v>
      </c>
      <c r="C50">
        <v>22769</v>
      </c>
      <c r="D50" s="26">
        <v>46204</v>
      </c>
      <c r="E50" s="26">
        <v>46387</v>
      </c>
      <c r="G50" s="32" t="str">
        <f>VLOOKUP(A50,Use!$A$2:$E$51,2,FALSE)</f>
        <v>Commodity</v>
      </c>
      <c r="H50" s="32">
        <f>VLOOKUP(A50,Use!$A$2:$E$51,3,FALSE)</f>
        <v>22769</v>
      </c>
      <c r="I50" s="33">
        <f>VLOOKUP(A50,Use!$A$2:$E$51,4,FALSE)</f>
        <v>46204</v>
      </c>
      <c r="J50" s="33">
        <f>VLOOKUP(A50,Use!$A$2:$E$51,5,FALSE)</f>
        <v>46387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C26FA-4044-4D7F-9F08-00E53F410DA0}">
  <dimension ref="A1:G55"/>
  <sheetViews>
    <sheetView showGridLines="0" zoomScale="79" workbookViewId="0">
      <pane ySplit="1" topLeftCell="A2" activePane="bottomLeft" state="frozen"/>
      <selection pane="bottomLeft" sqref="A1:A1048576"/>
    </sheetView>
  </sheetViews>
  <sheetFormatPr defaultColWidth="9.1796875" defaultRowHeight="14.5" x14ac:dyDescent="0.35"/>
  <cols>
    <col min="1" max="1" width="13.36328125" style="3" customWidth="1"/>
    <col min="2" max="2" width="13.81640625" style="7" customWidth="1"/>
    <col min="3" max="3" width="13.453125" style="1" bestFit="1" customWidth="1"/>
    <col min="4" max="4" width="13.1796875" style="3" customWidth="1"/>
    <col min="5" max="5" width="14.1796875" style="3" customWidth="1"/>
    <col min="7" max="7" width="11.81640625" style="6" customWidth="1"/>
    <col min="8" max="8" width="31.54296875" style="1" customWidth="1"/>
    <col min="9" max="16384" width="9.1796875" style="1"/>
  </cols>
  <sheetData>
    <row r="1" spans="1:7" customFormat="1" x14ac:dyDescent="0.35">
      <c r="A1" s="24" t="s">
        <v>59</v>
      </c>
      <c r="B1" s="25" t="s">
        <v>60</v>
      </c>
      <c r="C1" s="24" t="s">
        <v>61</v>
      </c>
      <c r="D1" s="25" t="s">
        <v>1</v>
      </c>
      <c r="E1" s="25" t="s">
        <v>58</v>
      </c>
    </row>
    <row r="2" spans="1:7" ht="13" x14ac:dyDescent="0.3">
      <c r="A2" s="10">
        <v>90719937</v>
      </c>
      <c r="B2" s="16" t="s">
        <v>62</v>
      </c>
      <c r="C2" s="9">
        <v>16000</v>
      </c>
      <c r="D2" s="17">
        <v>46203</v>
      </c>
      <c r="E2" s="17">
        <v>46234</v>
      </c>
      <c r="F2" s="1"/>
      <c r="G2" s="1"/>
    </row>
    <row r="3" spans="1:7" ht="13" x14ac:dyDescent="0.3">
      <c r="A3" s="10">
        <v>90719482</v>
      </c>
      <c r="B3" s="16" t="s">
        <v>7</v>
      </c>
      <c r="C3" s="9">
        <v>22769</v>
      </c>
      <c r="D3" s="17">
        <v>46203</v>
      </c>
      <c r="E3" s="17">
        <v>46234</v>
      </c>
      <c r="F3" s="1"/>
      <c r="G3" s="1"/>
    </row>
    <row r="4" spans="1:7" ht="13" x14ac:dyDescent="0.3">
      <c r="A4" s="10">
        <v>90732267</v>
      </c>
      <c r="B4" s="16" t="s">
        <v>7</v>
      </c>
      <c r="C4" s="9">
        <v>14769</v>
      </c>
      <c r="D4" s="17">
        <v>46203</v>
      </c>
      <c r="E4" s="17">
        <v>46234</v>
      </c>
      <c r="F4" s="1"/>
      <c r="G4" s="1"/>
    </row>
    <row r="5" spans="1:7" ht="13" x14ac:dyDescent="0.3">
      <c r="A5" s="10" t="s">
        <v>57</v>
      </c>
      <c r="B5" s="16" t="s">
        <v>62</v>
      </c>
      <c r="C5" s="9">
        <v>16000</v>
      </c>
      <c r="D5" s="17">
        <v>46203</v>
      </c>
      <c r="E5" s="17">
        <v>46295</v>
      </c>
      <c r="F5" s="1"/>
      <c r="G5" s="1"/>
    </row>
    <row r="6" spans="1:7" ht="13" x14ac:dyDescent="0.3">
      <c r="A6" s="10">
        <v>90719323</v>
      </c>
      <c r="B6" s="16" t="s">
        <v>7</v>
      </c>
      <c r="C6" s="9">
        <v>27692</v>
      </c>
      <c r="D6" s="17">
        <v>46203</v>
      </c>
      <c r="E6" s="17">
        <v>46295</v>
      </c>
      <c r="F6" s="1"/>
      <c r="G6" s="1"/>
    </row>
    <row r="7" spans="1:7" ht="13" x14ac:dyDescent="0.3">
      <c r="A7" s="10">
        <v>90732285</v>
      </c>
      <c r="B7" s="16" t="s">
        <v>7</v>
      </c>
      <c r="C7" s="9">
        <v>18462</v>
      </c>
      <c r="D7" s="17">
        <v>46203</v>
      </c>
      <c r="E7" s="17">
        <v>46265</v>
      </c>
      <c r="F7" s="1"/>
      <c r="G7" s="1"/>
    </row>
    <row r="8" spans="1:7" ht="13" x14ac:dyDescent="0.3">
      <c r="A8" s="10">
        <v>90719847</v>
      </c>
      <c r="B8" s="16" t="s">
        <v>7</v>
      </c>
      <c r="C8" s="9">
        <v>22769</v>
      </c>
      <c r="D8" s="17">
        <v>46203</v>
      </c>
      <c r="E8" s="17">
        <v>46295</v>
      </c>
      <c r="F8" s="1"/>
      <c r="G8" s="1"/>
    </row>
    <row r="9" spans="1:7" ht="13" x14ac:dyDescent="0.3">
      <c r="A9" s="10">
        <v>90719826</v>
      </c>
      <c r="B9" s="16" t="s">
        <v>7</v>
      </c>
      <c r="C9" s="9">
        <v>18462</v>
      </c>
      <c r="D9" s="17">
        <v>46203</v>
      </c>
      <c r="E9" s="17">
        <v>46295</v>
      </c>
      <c r="F9" s="1"/>
      <c r="G9" s="1"/>
    </row>
    <row r="10" spans="1:7" ht="13" x14ac:dyDescent="0.3">
      <c r="A10" s="10">
        <v>90719457</v>
      </c>
      <c r="B10" s="16" t="s">
        <v>7</v>
      </c>
      <c r="C10" s="9">
        <v>22769</v>
      </c>
      <c r="D10" s="17">
        <v>46203</v>
      </c>
      <c r="E10" s="17">
        <v>46295</v>
      </c>
      <c r="F10" s="1"/>
      <c r="G10" s="1"/>
    </row>
    <row r="11" spans="1:7" ht="13" x14ac:dyDescent="0.3">
      <c r="A11" s="10">
        <v>90719953</v>
      </c>
      <c r="B11" s="16" t="s">
        <v>7</v>
      </c>
      <c r="C11" s="9">
        <v>14769</v>
      </c>
      <c r="D11" s="17">
        <v>46203</v>
      </c>
      <c r="E11" s="17">
        <v>46220</v>
      </c>
      <c r="F11" s="1"/>
      <c r="G11" s="1"/>
    </row>
    <row r="12" spans="1:7" ht="13" x14ac:dyDescent="0.3">
      <c r="A12" s="10">
        <v>90719629</v>
      </c>
      <c r="B12" s="16" t="s">
        <v>7</v>
      </c>
      <c r="C12" s="9">
        <v>22769</v>
      </c>
      <c r="D12" s="17">
        <v>46203</v>
      </c>
      <c r="E12" s="17">
        <v>46295</v>
      </c>
      <c r="F12" s="1"/>
      <c r="G12" s="1"/>
    </row>
    <row r="13" spans="1:7" ht="13" x14ac:dyDescent="0.3">
      <c r="A13" s="10">
        <v>90719614</v>
      </c>
      <c r="B13" s="16" t="s">
        <v>7</v>
      </c>
      <c r="C13" s="9">
        <v>22769</v>
      </c>
      <c r="D13" s="17">
        <v>46203</v>
      </c>
      <c r="E13" s="17">
        <v>46295</v>
      </c>
      <c r="F13" s="1"/>
      <c r="G13" s="1"/>
    </row>
    <row r="14" spans="1:7" ht="13" x14ac:dyDescent="0.3">
      <c r="A14" s="10">
        <v>90719514</v>
      </c>
      <c r="B14" s="16" t="s">
        <v>7</v>
      </c>
      <c r="C14" s="9">
        <v>27692</v>
      </c>
      <c r="D14" s="17">
        <v>46203</v>
      </c>
      <c r="E14" s="17">
        <v>46234</v>
      </c>
      <c r="F14" s="1"/>
      <c r="G14" s="1"/>
    </row>
    <row r="15" spans="1:7" ht="13" x14ac:dyDescent="0.3">
      <c r="A15" s="10">
        <v>90725496</v>
      </c>
      <c r="B15" s="16" t="s">
        <v>7</v>
      </c>
      <c r="C15" s="9">
        <v>14769</v>
      </c>
      <c r="D15" s="17">
        <v>46203</v>
      </c>
      <c r="E15" s="17">
        <v>46295</v>
      </c>
      <c r="F15" s="1"/>
      <c r="G15" s="1"/>
    </row>
    <row r="16" spans="1:7" ht="13" x14ac:dyDescent="0.3">
      <c r="A16" s="10">
        <v>90719465</v>
      </c>
      <c r="B16" s="16" t="s">
        <v>7</v>
      </c>
      <c r="C16" s="9">
        <v>22769</v>
      </c>
      <c r="D16" s="17">
        <v>46203</v>
      </c>
      <c r="E16" s="17">
        <v>46265</v>
      </c>
      <c r="F16" s="1"/>
      <c r="G16" s="1"/>
    </row>
    <row r="17" spans="1:7" ht="13" x14ac:dyDescent="0.3">
      <c r="A17" s="10">
        <v>90719922</v>
      </c>
      <c r="B17" s="16" t="s">
        <v>62</v>
      </c>
      <c r="C17" s="9">
        <v>16000</v>
      </c>
      <c r="D17" s="17">
        <v>46203</v>
      </c>
      <c r="E17" s="17">
        <v>46295</v>
      </c>
      <c r="F17" s="1"/>
      <c r="G17" s="1"/>
    </row>
    <row r="18" spans="1:7" ht="13" x14ac:dyDescent="0.3">
      <c r="A18" s="10">
        <v>90719229</v>
      </c>
      <c r="B18" s="16" t="s">
        <v>7</v>
      </c>
      <c r="C18" s="9">
        <v>22769</v>
      </c>
      <c r="D18" s="17">
        <v>46203</v>
      </c>
      <c r="E18" s="17">
        <v>46234</v>
      </c>
      <c r="F18" s="1"/>
      <c r="G18" s="1"/>
    </row>
    <row r="19" spans="1:7" ht="13" x14ac:dyDescent="0.3">
      <c r="A19" s="10">
        <v>90719899</v>
      </c>
      <c r="B19" s="16" t="s">
        <v>7</v>
      </c>
      <c r="C19" s="9">
        <v>14769</v>
      </c>
      <c r="D19" s="17">
        <v>46203</v>
      </c>
      <c r="E19" s="17">
        <v>46295</v>
      </c>
      <c r="F19" s="1"/>
      <c r="G19" s="1"/>
    </row>
    <row r="20" spans="1:7" ht="13" x14ac:dyDescent="0.3">
      <c r="A20" s="10">
        <v>90732332</v>
      </c>
      <c r="B20" s="16" t="s">
        <v>7</v>
      </c>
      <c r="C20" s="9">
        <v>18462</v>
      </c>
      <c r="D20" s="17">
        <v>46203</v>
      </c>
      <c r="E20" s="17">
        <v>46295</v>
      </c>
      <c r="F20" s="1"/>
      <c r="G20" s="1"/>
    </row>
    <row r="21" spans="1:7" ht="13" x14ac:dyDescent="0.3">
      <c r="A21" s="10">
        <v>90719653</v>
      </c>
      <c r="B21" s="16" t="s">
        <v>7</v>
      </c>
      <c r="C21" s="9">
        <v>18462</v>
      </c>
      <c r="D21" s="17">
        <v>46203</v>
      </c>
      <c r="E21" s="17">
        <v>46295</v>
      </c>
      <c r="F21" s="1"/>
      <c r="G21" s="1"/>
    </row>
    <row r="22" spans="1:7" ht="13" x14ac:dyDescent="0.3">
      <c r="A22" s="10">
        <v>90719753</v>
      </c>
      <c r="B22" s="16" t="s">
        <v>7</v>
      </c>
      <c r="C22" s="9">
        <v>18462</v>
      </c>
      <c r="D22" s="17">
        <v>46203</v>
      </c>
      <c r="E22" s="17">
        <v>46295</v>
      </c>
      <c r="F22" s="1"/>
      <c r="G22" s="1"/>
    </row>
    <row r="23" spans="1:7" ht="13" x14ac:dyDescent="0.3">
      <c r="A23" s="10">
        <v>80114706</v>
      </c>
      <c r="B23" s="16" t="s">
        <v>7</v>
      </c>
      <c r="C23" s="9">
        <v>22769</v>
      </c>
      <c r="D23" s="17">
        <v>46203</v>
      </c>
      <c r="E23" s="17">
        <v>46387</v>
      </c>
      <c r="F23" s="1"/>
      <c r="G23" s="1"/>
    </row>
    <row r="24" spans="1:7" ht="13" x14ac:dyDescent="0.3">
      <c r="A24" s="10">
        <v>90719470</v>
      </c>
      <c r="B24" s="16" t="s">
        <v>7</v>
      </c>
      <c r="C24" s="9">
        <v>27692</v>
      </c>
      <c r="D24" s="17">
        <v>46203</v>
      </c>
      <c r="E24" s="17">
        <v>46248</v>
      </c>
      <c r="F24" s="1"/>
      <c r="G24" s="1"/>
    </row>
    <row r="25" spans="1:7" ht="13" x14ac:dyDescent="0.3">
      <c r="A25" s="10">
        <v>90719433</v>
      </c>
      <c r="B25" s="16" t="s">
        <v>7</v>
      </c>
      <c r="C25" s="9">
        <v>22769</v>
      </c>
      <c r="D25" s="17">
        <v>46203</v>
      </c>
      <c r="E25" s="17">
        <v>46387</v>
      </c>
      <c r="F25" s="1"/>
      <c r="G25" s="1"/>
    </row>
    <row r="26" spans="1:7" ht="13" x14ac:dyDescent="0.3">
      <c r="A26" s="10">
        <v>90719444</v>
      </c>
      <c r="B26" s="16" t="s">
        <v>7</v>
      </c>
      <c r="C26" s="9">
        <v>27692</v>
      </c>
      <c r="D26" s="17">
        <v>46203</v>
      </c>
      <c r="E26" s="17">
        <v>46295</v>
      </c>
      <c r="F26" s="1"/>
      <c r="G26" s="1"/>
    </row>
    <row r="27" spans="1:7" ht="13" x14ac:dyDescent="0.3">
      <c r="A27" s="10">
        <v>90719787</v>
      </c>
      <c r="B27" s="16" t="s">
        <v>7</v>
      </c>
      <c r="C27" s="9">
        <v>18462</v>
      </c>
      <c r="D27" s="17">
        <v>46203</v>
      </c>
      <c r="E27" s="17">
        <v>46234</v>
      </c>
      <c r="F27" s="1"/>
      <c r="G27" s="1"/>
    </row>
    <row r="28" spans="1:7" ht="13" x14ac:dyDescent="0.3">
      <c r="A28" s="10">
        <v>90719617</v>
      </c>
      <c r="B28" s="16" t="s">
        <v>7</v>
      </c>
      <c r="C28" s="9">
        <v>22769</v>
      </c>
      <c r="D28" s="17">
        <v>46203</v>
      </c>
      <c r="E28" s="17">
        <v>46234</v>
      </c>
      <c r="F28" s="1"/>
      <c r="G28" s="1"/>
    </row>
    <row r="29" spans="1:7" ht="13" x14ac:dyDescent="0.3">
      <c r="A29" s="10">
        <v>90719911</v>
      </c>
      <c r="B29" s="16" t="s">
        <v>62</v>
      </c>
      <c r="C29" s="9">
        <v>16000</v>
      </c>
      <c r="D29" s="17">
        <v>46203</v>
      </c>
      <c r="E29" s="17">
        <v>46295</v>
      </c>
      <c r="F29" s="1"/>
      <c r="G29" s="1"/>
    </row>
    <row r="30" spans="1:7" ht="13" x14ac:dyDescent="0.3">
      <c r="A30" s="10">
        <v>90719409</v>
      </c>
      <c r="B30" s="16" t="s">
        <v>62</v>
      </c>
      <c r="C30" s="9">
        <v>24615</v>
      </c>
      <c r="D30" s="17">
        <v>46203</v>
      </c>
      <c r="E30" s="17">
        <v>46234</v>
      </c>
      <c r="F30" s="1"/>
      <c r="G30" s="1"/>
    </row>
    <row r="31" spans="1:7" ht="13" x14ac:dyDescent="0.3">
      <c r="A31" s="10">
        <v>90719449</v>
      </c>
      <c r="B31" s="16" t="s">
        <v>7</v>
      </c>
      <c r="C31" s="9">
        <v>22769</v>
      </c>
      <c r="D31" s="17">
        <v>46203</v>
      </c>
      <c r="E31" s="17">
        <v>46234</v>
      </c>
      <c r="F31" s="1"/>
      <c r="G31" s="1"/>
    </row>
    <row r="32" spans="1:7" ht="13" x14ac:dyDescent="0.3">
      <c r="A32" s="10">
        <v>20104603</v>
      </c>
      <c r="B32" s="16" t="s">
        <v>7</v>
      </c>
      <c r="C32" s="9">
        <v>27692</v>
      </c>
      <c r="D32" s="17">
        <v>46203</v>
      </c>
      <c r="E32" s="17">
        <v>46295</v>
      </c>
      <c r="F32" s="1"/>
      <c r="G32" s="1"/>
    </row>
    <row r="33" spans="1:7" ht="13" x14ac:dyDescent="0.3">
      <c r="A33" s="10">
        <v>90719576</v>
      </c>
      <c r="B33" s="16" t="s">
        <v>7</v>
      </c>
      <c r="C33" s="9">
        <v>22769</v>
      </c>
      <c r="D33" s="17">
        <v>46203</v>
      </c>
      <c r="E33" s="17">
        <v>46326</v>
      </c>
      <c r="F33" s="1"/>
      <c r="G33" s="1"/>
    </row>
    <row r="34" spans="1:7" ht="13" x14ac:dyDescent="0.3">
      <c r="A34" s="10">
        <v>90729815</v>
      </c>
      <c r="B34" s="16" t="s">
        <v>7</v>
      </c>
      <c r="C34" s="9">
        <v>30769</v>
      </c>
      <c r="D34" s="17">
        <v>46203</v>
      </c>
      <c r="E34" s="17">
        <v>46234</v>
      </c>
      <c r="F34" s="1"/>
      <c r="G34" s="1"/>
    </row>
    <row r="35" spans="1:7" ht="13" x14ac:dyDescent="0.3">
      <c r="A35" s="10">
        <v>90718943</v>
      </c>
      <c r="B35" s="16" t="s">
        <v>7</v>
      </c>
      <c r="C35" s="9">
        <v>30769</v>
      </c>
      <c r="D35" s="17">
        <v>46203</v>
      </c>
      <c r="E35" s="17">
        <v>46234</v>
      </c>
      <c r="F35" s="1"/>
      <c r="G35" s="1"/>
    </row>
    <row r="36" spans="1:7" ht="13" x14ac:dyDescent="0.3">
      <c r="A36" s="10">
        <v>90719584</v>
      </c>
      <c r="B36" s="16" t="s">
        <v>7</v>
      </c>
      <c r="C36" s="9">
        <v>22769</v>
      </c>
      <c r="D36" s="17">
        <v>46203</v>
      </c>
      <c r="E36" s="17">
        <v>46265</v>
      </c>
      <c r="F36" s="1"/>
      <c r="G36" s="1"/>
    </row>
    <row r="37" spans="1:7" ht="13" x14ac:dyDescent="0.3">
      <c r="A37" s="10">
        <v>90719459</v>
      </c>
      <c r="B37" s="16" t="s">
        <v>7</v>
      </c>
      <c r="C37" s="9">
        <v>22769</v>
      </c>
      <c r="D37" s="17">
        <v>46203</v>
      </c>
      <c r="E37" s="17">
        <v>46387</v>
      </c>
      <c r="F37" s="1"/>
      <c r="G37" s="1"/>
    </row>
    <row r="38" spans="1:7" ht="13" x14ac:dyDescent="0.3">
      <c r="A38" s="10">
        <v>90718836</v>
      </c>
      <c r="B38" s="16" t="s">
        <v>7</v>
      </c>
      <c r="C38" s="9">
        <v>27692</v>
      </c>
      <c r="D38" s="17">
        <v>46203</v>
      </c>
      <c r="E38" s="17">
        <v>46265</v>
      </c>
      <c r="F38" s="1"/>
      <c r="G38" s="1"/>
    </row>
    <row r="39" spans="1:7" ht="13" x14ac:dyDescent="0.3">
      <c r="A39" s="10">
        <v>90729433</v>
      </c>
      <c r="B39" s="16" t="s">
        <v>7</v>
      </c>
      <c r="C39" s="9">
        <v>18462</v>
      </c>
      <c r="D39" s="17">
        <v>46203</v>
      </c>
      <c r="E39" s="17">
        <v>46295</v>
      </c>
      <c r="F39" s="1"/>
      <c r="G39" s="1"/>
    </row>
    <row r="40" spans="1:7" ht="13" x14ac:dyDescent="0.3">
      <c r="A40" s="10">
        <v>90719920</v>
      </c>
      <c r="B40" s="16" t="s">
        <v>7</v>
      </c>
      <c r="C40" s="9">
        <v>14769</v>
      </c>
      <c r="D40" s="17">
        <v>46203</v>
      </c>
      <c r="E40" s="17">
        <v>46265</v>
      </c>
      <c r="F40" s="1"/>
      <c r="G40" s="1"/>
    </row>
    <row r="41" spans="1:7" ht="13" x14ac:dyDescent="0.3">
      <c r="A41" s="10">
        <v>90719534</v>
      </c>
      <c r="B41" s="16" t="s">
        <v>7</v>
      </c>
      <c r="C41" s="9">
        <v>22769</v>
      </c>
      <c r="D41" s="17">
        <v>46203</v>
      </c>
      <c r="E41" s="17">
        <v>46295</v>
      </c>
      <c r="F41" s="1"/>
      <c r="G41" s="1"/>
    </row>
    <row r="42" spans="1:7" ht="13" x14ac:dyDescent="0.3">
      <c r="A42" s="10">
        <v>90730605</v>
      </c>
      <c r="B42" s="16" t="s">
        <v>7</v>
      </c>
      <c r="C42" s="9">
        <v>14769</v>
      </c>
      <c r="D42" s="17">
        <v>46203</v>
      </c>
      <c r="E42" s="17">
        <v>46387</v>
      </c>
      <c r="F42" s="1"/>
      <c r="G42" s="1"/>
    </row>
    <row r="43" spans="1:7" ht="13" x14ac:dyDescent="0.3">
      <c r="A43" s="10">
        <v>90718960</v>
      </c>
      <c r="B43" s="16" t="s">
        <v>62</v>
      </c>
      <c r="C43" s="9">
        <v>30769</v>
      </c>
      <c r="D43" s="17">
        <v>46203</v>
      </c>
      <c r="E43" s="17">
        <v>46295</v>
      </c>
      <c r="F43" s="1"/>
      <c r="G43" s="1"/>
    </row>
    <row r="44" spans="1:7" ht="13" x14ac:dyDescent="0.3">
      <c r="A44" s="10">
        <v>90719475</v>
      </c>
      <c r="B44" s="16" t="s">
        <v>7</v>
      </c>
      <c r="C44" s="9">
        <v>22769</v>
      </c>
      <c r="D44" s="17">
        <v>46203</v>
      </c>
      <c r="E44" s="17">
        <v>46295</v>
      </c>
      <c r="F44" s="1"/>
      <c r="G44" s="1"/>
    </row>
    <row r="45" spans="1:7" ht="13" x14ac:dyDescent="0.3">
      <c r="A45" s="10">
        <v>90719500</v>
      </c>
      <c r="B45" s="16" t="s">
        <v>7</v>
      </c>
      <c r="C45" s="9">
        <v>22769</v>
      </c>
      <c r="D45" s="17">
        <v>46203</v>
      </c>
      <c r="E45" s="17">
        <v>46387</v>
      </c>
      <c r="F45" s="1"/>
      <c r="G45" s="1"/>
    </row>
    <row r="46" spans="1:7" ht="13" x14ac:dyDescent="0.3">
      <c r="A46" s="10">
        <v>90719376</v>
      </c>
      <c r="B46" s="16" t="s">
        <v>7</v>
      </c>
      <c r="C46" s="9">
        <v>0</v>
      </c>
      <c r="D46" s="17">
        <v>46203</v>
      </c>
      <c r="E46" s="17">
        <v>46387</v>
      </c>
      <c r="F46" s="1"/>
      <c r="G46" s="1"/>
    </row>
    <row r="47" spans="1:7" ht="13" x14ac:dyDescent="0.3">
      <c r="A47" s="10">
        <v>90720239</v>
      </c>
      <c r="B47" s="16" t="s">
        <v>62</v>
      </c>
      <c r="C47" s="9">
        <v>16000</v>
      </c>
      <c r="D47" s="17">
        <v>46203</v>
      </c>
      <c r="E47" s="17">
        <v>46265</v>
      </c>
      <c r="F47" s="1"/>
      <c r="G47" s="1"/>
    </row>
    <row r="48" spans="1:7" ht="13" x14ac:dyDescent="0.3">
      <c r="A48" s="10">
        <v>90719904</v>
      </c>
      <c r="B48" s="16" t="s">
        <v>62</v>
      </c>
      <c r="C48" s="9">
        <v>16000</v>
      </c>
      <c r="D48" s="17">
        <v>46203</v>
      </c>
      <c r="E48" s="17">
        <v>46295</v>
      </c>
      <c r="F48" s="1"/>
      <c r="G48" s="1"/>
    </row>
    <row r="49" spans="1:7" ht="13" x14ac:dyDescent="0.3">
      <c r="A49" s="10">
        <v>90719446</v>
      </c>
      <c r="B49" s="16" t="s">
        <v>7</v>
      </c>
      <c r="C49" s="9">
        <v>22769</v>
      </c>
      <c r="D49" s="17">
        <v>46203</v>
      </c>
      <c r="E49" s="17">
        <v>46387</v>
      </c>
      <c r="F49" s="1"/>
      <c r="G49" s="1"/>
    </row>
    <row r="50" spans="1:7" ht="13" x14ac:dyDescent="0.3">
      <c r="A50" s="10">
        <v>90719637</v>
      </c>
      <c r="B50" s="16" t="s">
        <v>7</v>
      </c>
      <c r="C50" s="9">
        <v>22769</v>
      </c>
      <c r="D50" s="17">
        <v>46203</v>
      </c>
      <c r="E50" s="17">
        <v>46295</v>
      </c>
      <c r="F50" s="1"/>
      <c r="G50" s="1"/>
    </row>
    <row r="51" spans="1:7" ht="13" x14ac:dyDescent="0.3">
      <c r="A51" s="10">
        <v>90719536</v>
      </c>
      <c r="B51" s="16" t="s">
        <v>7</v>
      </c>
      <c r="C51" s="9">
        <v>22769</v>
      </c>
      <c r="D51" s="17">
        <v>46203</v>
      </c>
      <c r="E51" s="17">
        <v>46295</v>
      </c>
      <c r="F51" s="1"/>
      <c r="G51" s="1"/>
    </row>
    <row r="52" spans="1:7" x14ac:dyDescent="0.35">
      <c r="A52" s="1"/>
      <c r="B52" s="3"/>
      <c r="C52" s="7"/>
    </row>
    <row r="53" spans="1:7" x14ac:dyDescent="0.35">
      <c r="A53" s="1"/>
      <c r="B53" s="3"/>
      <c r="C53" s="7"/>
    </row>
    <row r="54" spans="1:7" x14ac:dyDescent="0.35">
      <c r="A54" s="1"/>
      <c r="B54" s="3"/>
      <c r="C54" s="7"/>
    </row>
    <row r="55" spans="1:7" x14ac:dyDescent="0.35">
      <c r="A55" s="1"/>
      <c r="B55" s="3"/>
      <c r="C55" s="7"/>
    </row>
  </sheetData>
  <autoFilter ref="A1:E51" xr:uid="{669C26FA-4044-4D7F-9F08-00E53F410DA0}"/>
  <dataValidations count="2">
    <dataValidation type="list" allowBlank="1" showInputMessage="1" showErrorMessage="1" sqref="G56:G1048576 C2:C55 B3:B4 B6:B16 B18:B28 B31:B42 B44:B46 B49:B55" xr:uid="{222A2DA0-6C87-460A-9C55-6667ECF642B4}">
      <formula1>"Commodity,Niche,NA"</formula1>
    </dataValidation>
    <dataValidation type="list" allowBlank="1" showInputMessage="1" showErrorMessage="1" sqref="B2 B5 B17 B29:B30 B43 B47:B48" xr:uid="{9161D445-0884-4ED8-9F4A-8483722DADF9}">
      <formula1>"Commodity,Specialized"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CB908-BAF5-4B3D-9404-F879109D259B}">
  <sheetPr filterMode="1"/>
  <dimension ref="A1:H56"/>
  <sheetViews>
    <sheetView workbookViewId="0">
      <selection activeCell="D2" sqref="D2"/>
    </sheetView>
  </sheetViews>
  <sheetFormatPr defaultColWidth="31.08984375" defaultRowHeight="14.5" x14ac:dyDescent="0.35"/>
  <cols>
    <col min="1" max="1" width="31.08984375" style="3"/>
    <col min="2" max="2" width="31.08984375" style="7"/>
    <col min="3" max="6" width="31.08984375" style="1"/>
    <col min="8" max="8" width="31.08984375" style="6"/>
    <col min="9" max="16384" width="31.08984375" style="1"/>
  </cols>
  <sheetData>
    <row r="1" spans="1:8" customFormat="1" x14ac:dyDescent="0.35">
      <c r="A1" t="s">
        <v>59</v>
      </c>
      <c r="B1" t="s">
        <v>60</v>
      </c>
      <c r="C1" t="s">
        <v>61</v>
      </c>
      <c r="D1" s="1"/>
      <c r="E1" t="s">
        <v>1</v>
      </c>
      <c r="F1" t="s">
        <v>58</v>
      </c>
    </row>
    <row r="2" spans="1:8" s="2" customFormat="1" ht="26" x14ac:dyDescent="0.35">
      <c r="A2" s="11" t="s">
        <v>56</v>
      </c>
      <c r="B2" s="15" t="s">
        <v>3</v>
      </c>
      <c r="C2" s="14" t="s">
        <v>2</v>
      </c>
      <c r="D2" s="12" t="s">
        <v>0</v>
      </c>
      <c r="E2" s="13" t="s">
        <v>1</v>
      </c>
      <c r="F2" s="13" t="s">
        <v>58</v>
      </c>
    </row>
    <row r="3" spans="1:8" ht="13" hidden="1" x14ac:dyDescent="0.3">
      <c r="A3" s="10">
        <v>90719937</v>
      </c>
      <c r="B3" s="18" t="s">
        <v>5</v>
      </c>
      <c r="C3" s="9">
        <v>16000</v>
      </c>
      <c r="D3" s="4" t="s">
        <v>4</v>
      </c>
      <c r="E3" s="5">
        <v>46203</v>
      </c>
      <c r="F3" s="5">
        <v>46234</v>
      </c>
      <c r="G3" s="1"/>
      <c r="H3" s="1"/>
    </row>
    <row r="4" spans="1:8" ht="13" hidden="1" x14ac:dyDescent="0.3">
      <c r="A4" s="10">
        <v>90719482</v>
      </c>
      <c r="B4" s="18" t="s">
        <v>7</v>
      </c>
      <c r="C4" s="9">
        <v>22769</v>
      </c>
      <c r="D4" s="4" t="s">
        <v>6</v>
      </c>
      <c r="E4" s="5">
        <v>46203</v>
      </c>
      <c r="F4" s="5">
        <v>46234</v>
      </c>
      <c r="G4" s="1"/>
      <c r="H4" s="1"/>
    </row>
    <row r="5" spans="1:8" ht="13" hidden="1" x14ac:dyDescent="0.3">
      <c r="A5" s="10">
        <v>90732267</v>
      </c>
      <c r="B5" s="18" t="s">
        <v>7</v>
      </c>
      <c r="C5" s="9">
        <v>14769</v>
      </c>
      <c r="D5" s="4" t="s">
        <v>8</v>
      </c>
      <c r="E5" s="5">
        <v>46203</v>
      </c>
      <c r="F5" s="5">
        <v>46234</v>
      </c>
      <c r="G5" s="1"/>
      <c r="H5" s="1"/>
    </row>
    <row r="6" spans="1:8" ht="13" x14ac:dyDescent="0.3">
      <c r="A6" s="10" t="s">
        <v>57</v>
      </c>
      <c r="B6" s="18" t="s">
        <v>5</v>
      </c>
      <c r="C6" s="9">
        <v>16000</v>
      </c>
      <c r="D6" s="4" t="s">
        <v>9</v>
      </c>
      <c r="E6" s="5">
        <v>46203</v>
      </c>
      <c r="F6" s="5">
        <v>46295</v>
      </c>
      <c r="G6" s="1"/>
      <c r="H6" s="1"/>
    </row>
    <row r="7" spans="1:8" ht="13" hidden="1" x14ac:dyDescent="0.3">
      <c r="A7" s="10">
        <v>90719323</v>
      </c>
      <c r="B7" s="18" t="s">
        <v>7</v>
      </c>
      <c r="C7" s="9">
        <v>27692</v>
      </c>
      <c r="D7" s="4" t="s">
        <v>10</v>
      </c>
      <c r="E7" s="5">
        <v>46203</v>
      </c>
      <c r="F7" s="5">
        <v>46295</v>
      </c>
      <c r="G7" s="1"/>
      <c r="H7" s="1"/>
    </row>
    <row r="8" spans="1:8" ht="13" hidden="1" x14ac:dyDescent="0.3">
      <c r="A8" s="10">
        <v>90732285</v>
      </c>
      <c r="B8" s="18" t="s">
        <v>7</v>
      </c>
      <c r="C8" s="9">
        <v>18462</v>
      </c>
      <c r="D8" s="4" t="s">
        <v>11</v>
      </c>
      <c r="E8" s="5">
        <v>46265</v>
      </c>
      <c r="F8" s="5">
        <v>46265</v>
      </c>
      <c r="G8" s="1"/>
      <c r="H8" s="1"/>
    </row>
    <row r="9" spans="1:8" ht="13" hidden="1" x14ac:dyDescent="0.3">
      <c r="A9" s="10">
        <v>90719847</v>
      </c>
      <c r="B9" s="18" t="s">
        <v>7</v>
      </c>
      <c r="C9" s="9">
        <v>22769</v>
      </c>
      <c r="D9" s="4" t="s">
        <v>12</v>
      </c>
      <c r="E9" s="5">
        <v>46203</v>
      </c>
      <c r="F9" s="5">
        <v>46295</v>
      </c>
      <c r="G9" s="1"/>
      <c r="H9" s="1"/>
    </row>
    <row r="10" spans="1:8" ht="13" hidden="1" x14ac:dyDescent="0.3">
      <c r="A10" s="10">
        <v>90719826</v>
      </c>
      <c r="B10" s="18" t="s">
        <v>7</v>
      </c>
      <c r="C10" s="9">
        <v>18462</v>
      </c>
      <c r="D10" s="4" t="s">
        <v>13</v>
      </c>
      <c r="E10" s="5">
        <v>46295</v>
      </c>
      <c r="F10" s="5">
        <v>46295</v>
      </c>
      <c r="G10" s="1"/>
      <c r="H10" s="1"/>
    </row>
    <row r="11" spans="1:8" ht="13" hidden="1" x14ac:dyDescent="0.3">
      <c r="A11" s="10">
        <v>90719457</v>
      </c>
      <c r="B11" s="18" t="s">
        <v>7</v>
      </c>
      <c r="C11" s="9">
        <v>22769</v>
      </c>
      <c r="D11" s="4" t="s">
        <v>14</v>
      </c>
      <c r="E11" s="5">
        <v>46203</v>
      </c>
      <c r="F11" s="5">
        <v>46295</v>
      </c>
      <c r="G11" s="1"/>
      <c r="H11" s="1"/>
    </row>
    <row r="12" spans="1:8" ht="13" hidden="1" x14ac:dyDescent="0.3">
      <c r="A12" s="10">
        <v>90719953</v>
      </c>
      <c r="B12" s="18" t="s">
        <v>7</v>
      </c>
      <c r="C12" s="9">
        <v>14769</v>
      </c>
      <c r="D12" s="4" t="s">
        <v>15</v>
      </c>
      <c r="E12" s="5">
        <v>46203</v>
      </c>
      <c r="F12" s="19">
        <v>46220</v>
      </c>
      <c r="G12" s="1"/>
      <c r="H12" s="1"/>
    </row>
    <row r="13" spans="1:8" ht="13" hidden="1" x14ac:dyDescent="0.3">
      <c r="A13" s="10">
        <v>90719629</v>
      </c>
      <c r="B13" s="18" t="s">
        <v>7</v>
      </c>
      <c r="C13" s="9">
        <v>22769</v>
      </c>
      <c r="D13" s="4" t="s">
        <v>16</v>
      </c>
      <c r="E13" s="5">
        <v>46203</v>
      </c>
      <c r="F13" s="5">
        <v>46295</v>
      </c>
      <c r="G13" s="1"/>
      <c r="H13" s="1"/>
    </row>
    <row r="14" spans="1:8" ht="13" hidden="1" x14ac:dyDescent="0.3">
      <c r="A14" s="10">
        <v>90719614</v>
      </c>
      <c r="B14" s="18" t="s">
        <v>7</v>
      </c>
      <c r="C14" s="9">
        <v>22769</v>
      </c>
      <c r="D14" s="4" t="s">
        <v>17</v>
      </c>
      <c r="E14" s="5">
        <v>46295</v>
      </c>
      <c r="F14" s="5">
        <v>46295</v>
      </c>
      <c r="G14" s="1"/>
      <c r="H14" s="1"/>
    </row>
    <row r="15" spans="1:8" ht="13" hidden="1" x14ac:dyDescent="0.3">
      <c r="A15" s="10">
        <v>90719514</v>
      </c>
      <c r="B15" s="18" t="s">
        <v>7</v>
      </c>
      <c r="C15" s="9">
        <v>27692</v>
      </c>
      <c r="D15" s="4" t="s">
        <v>18</v>
      </c>
      <c r="E15" s="5">
        <v>46203</v>
      </c>
      <c r="F15" s="5">
        <v>46234</v>
      </c>
      <c r="G15" s="1"/>
      <c r="H15" s="1"/>
    </row>
    <row r="16" spans="1:8" ht="13" hidden="1" x14ac:dyDescent="0.3">
      <c r="A16" s="10">
        <v>90725496</v>
      </c>
      <c r="B16" s="18" t="s">
        <v>7</v>
      </c>
      <c r="C16" s="9">
        <v>14769</v>
      </c>
      <c r="D16" s="4" t="s">
        <v>19</v>
      </c>
      <c r="E16" s="5">
        <v>46203</v>
      </c>
      <c r="F16" s="5">
        <v>46295</v>
      </c>
      <c r="G16" s="1"/>
      <c r="H16" s="1"/>
    </row>
    <row r="17" spans="1:8" ht="13" hidden="1" x14ac:dyDescent="0.3">
      <c r="A17" s="10">
        <v>90719465</v>
      </c>
      <c r="B17" s="18" t="s">
        <v>7</v>
      </c>
      <c r="C17" s="9">
        <v>22769</v>
      </c>
      <c r="D17" s="4" t="s">
        <v>20</v>
      </c>
      <c r="E17" s="5">
        <v>46265</v>
      </c>
      <c r="F17" s="5">
        <v>46265</v>
      </c>
      <c r="G17" s="1"/>
      <c r="H17" s="1"/>
    </row>
    <row r="18" spans="1:8" ht="13" hidden="1" x14ac:dyDescent="0.3">
      <c r="A18" s="10">
        <v>90719922</v>
      </c>
      <c r="B18" s="18" t="s">
        <v>5</v>
      </c>
      <c r="C18" s="9">
        <v>16000</v>
      </c>
      <c r="D18" s="4" t="s">
        <v>21</v>
      </c>
      <c r="E18" s="5">
        <v>46203</v>
      </c>
      <c r="F18" s="5">
        <v>46295</v>
      </c>
      <c r="G18" s="1"/>
      <c r="H18" s="1"/>
    </row>
    <row r="19" spans="1:8" ht="13" hidden="1" x14ac:dyDescent="0.3">
      <c r="A19" s="10">
        <v>90719229</v>
      </c>
      <c r="B19" s="18" t="s">
        <v>7</v>
      </c>
      <c r="C19" s="9">
        <v>22769</v>
      </c>
      <c r="D19" s="4" t="s">
        <v>22</v>
      </c>
      <c r="E19" s="5">
        <v>46203</v>
      </c>
      <c r="F19" s="5">
        <v>46234</v>
      </c>
      <c r="G19" s="1"/>
      <c r="H19" s="1"/>
    </row>
    <row r="20" spans="1:8" ht="13" hidden="1" x14ac:dyDescent="0.3">
      <c r="A20" s="10">
        <v>90719899</v>
      </c>
      <c r="B20" s="18" t="s">
        <v>7</v>
      </c>
      <c r="C20" s="9">
        <v>14769</v>
      </c>
      <c r="D20" s="4" t="s">
        <v>23</v>
      </c>
      <c r="E20" s="5">
        <v>46203</v>
      </c>
      <c r="F20" s="5">
        <v>46295</v>
      </c>
      <c r="G20" s="1"/>
      <c r="H20" s="1"/>
    </row>
    <row r="21" spans="1:8" ht="13" hidden="1" x14ac:dyDescent="0.3">
      <c r="A21" s="10">
        <v>90732332</v>
      </c>
      <c r="B21" s="18" t="s">
        <v>7</v>
      </c>
      <c r="C21" s="9">
        <v>18462</v>
      </c>
      <c r="D21" s="4" t="s">
        <v>24</v>
      </c>
      <c r="E21" s="5">
        <v>46203</v>
      </c>
      <c r="F21" s="5">
        <v>46295</v>
      </c>
      <c r="G21" s="1"/>
      <c r="H21" s="1"/>
    </row>
    <row r="22" spans="1:8" ht="13" hidden="1" x14ac:dyDescent="0.3">
      <c r="A22" s="10">
        <v>90719653</v>
      </c>
      <c r="B22" s="18" t="s">
        <v>7</v>
      </c>
      <c r="C22" s="9">
        <v>18462</v>
      </c>
      <c r="D22" s="4" t="s">
        <v>25</v>
      </c>
      <c r="E22" s="5">
        <v>46203</v>
      </c>
      <c r="F22" s="5">
        <v>46295</v>
      </c>
      <c r="G22" s="1"/>
      <c r="H22" s="1"/>
    </row>
    <row r="23" spans="1:8" ht="13" hidden="1" x14ac:dyDescent="0.3">
      <c r="A23" s="10">
        <v>90719753</v>
      </c>
      <c r="B23" s="18" t="s">
        <v>7</v>
      </c>
      <c r="C23" s="9">
        <v>18462</v>
      </c>
      <c r="D23" s="4" t="s">
        <v>26</v>
      </c>
      <c r="E23" s="5">
        <v>46203</v>
      </c>
      <c r="F23" s="5">
        <v>46295</v>
      </c>
      <c r="G23" s="1"/>
      <c r="H23" s="1"/>
    </row>
    <row r="24" spans="1:8" ht="13" hidden="1" x14ac:dyDescent="0.3">
      <c r="A24" s="10">
        <v>80114706</v>
      </c>
      <c r="B24" s="18" t="s">
        <v>7</v>
      </c>
      <c r="C24" s="9">
        <v>22769</v>
      </c>
      <c r="D24" s="4" t="s">
        <v>27</v>
      </c>
      <c r="E24" s="5">
        <v>46387</v>
      </c>
      <c r="F24" s="5">
        <v>46387</v>
      </c>
      <c r="G24" s="1"/>
      <c r="H24" s="1"/>
    </row>
    <row r="25" spans="1:8" ht="13" hidden="1" x14ac:dyDescent="0.3">
      <c r="A25" s="10">
        <v>90719470</v>
      </c>
      <c r="B25" s="18" t="s">
        <v>7</v>
      </c>
      <c r="C25" s="9">
        <v>27692</v>
      </c>
      <c r="D25" s="4" t="s">
        <v>28</v>
      </c>
      <c r="E25" s="5">
        <v>46203</v>
      </c>
      <c r="F25" s="19">
        <v>46248</v>
      </c>
      <c r="G25" s="1"/>
      <c r="H25" s="1"/>
    </row>
    <row r="26" spans="1:8" ht="13" hidden="1" x14ac:dyDescent="0.3">
      <c r="A26" s="10">
        <v>90719433</v>
      </c>
      <c r="B26" s="18" t="s">
        <v>7</v>
      </c>
      <c r="C26" s="9">
        <v>22769</v>
      </c>
      <c r="D26" s="4" t="s">
        <v>29</v>
      </c>
      <c r="E26" s="5">
        <v>46203</v>
      </c>
      <c r="F26" s="5">
        <v>46387</v>
      </c>
      <c r="G26" s="1"/>
      <c r="H26" s="1"/>
    </row>
    <row r="27" spans="1:8" ht="13" hidden="1" x14ac:dyDescent="0.3">
      <c r="A27" s="10">
        <v>90719444</v>
      </c>
      <c r="B27" s="18" t="s">
        <v>7</v>
      </c>
      <c r="C27" s="9">
        <v>27692</v>
      </c>
      <c r="D27" s="4" t="s">
        <v>30</v>
      </c>
      <c r="E27" s="5">
        <v>46203</v>
      </c>
      <c r="F27" s="5">
        <v>46295</v>
      </c>
      <c r="G27" s="1"/>
      <c r="H27" s="1"/>
    </row>
    <row r="28" spans="1:8" ht="13" hidden="1" x14ac:dyDescent="0.3">
      <c r="A28" s="10">
        <v>90719787</v>
      </c>
      <c r="B28" s="18" t="s">
        <v>7</v>
      </c>
      <c r="C28" s="9">
        <v>18462</v>
      </c>
      <c r="D28" s="4" t="s">
        <v>31</v>
      </c>
      <c r="E28" s="5">
        <v>46203</v>
      </c>
      <c r="F28" s="5">
        <v>46234</v>
      </c>
      <c r="G28" s="1"/>
      <c r="H28" s="1"/>
    </row>
    <row r="29" spans="1:8" ht="13" hidden="1" x14ac:dyDescent="0.3">
      <c r="A29" s="10">
        <v>90719617</v>
      </c>
      <c r="B29" s="18" t="s">
        <v>7</v>
      </c>
      <c r="C29" s="9">
        <v>22769</v>
      </c>
      <c r="D29" s="4" t="s">
        <v>32</v>
      </c>
      <c r="E29" s="5">
        <v>46203</v>
      </c>
      <c r="F29" s="5">
        <v>46234</v>
      </c>
      <c r="G29" s="1"/>
      <c r="H29" s="1"/>
    </row>
    <row r="30" spans="1:8" ht="13" hidden="1" x14ac:dyDescent="0.3">
      <c r="A30" s="10">
        <v>90719911</v>
      </c>
      <c r="B30" s="18" t="s">
        <v>5</v>
      </c>
      <c r="C30" s="9">
        <v>16000</v>
      </c>
      <c r="D30" s="4" t="s">
        <v>33</v>
      </c>
      <c r="E30" s="5">
        <v>46203</v>
      </c>
      <c r="F30" s="5">
        <v>46295</v>
      </c>
      <c r="G30" s="1"/>
      <c r="H30" s="1"/>
    </row>
    <row r="31" spans="1:8" ht="13" hidden="1" x14ac:dyDescent="0.3">
      <c r="A31" s="10">
        <v>90719409</v>
      </c>
      <c r="B31" s="18" t="s">
        <v>5</v>
      </c>
      <c r="C31" s="9">
        <v>24615</v>
      </c>
      <c r="D31" s="4" t="s">
        <v>34</v>
      </c>
      <c r="E31" s="5">
        <v>46203</v>
      </c>
      <c r="F31" s="5">
        <v>46234</v>
      </c>
      <c r="G31" s="1"/>
      <c r="H31" s="1"/>
    </row>
    <row r="32" spans="1:8" ht="13" hidden="1" x14ac:dyDescent="0.3">
      <c r="A32" s="10">
        <v>90719449</v>
      </c>
      <c r="B32" s="18" t="s">
        <v>7</v>
      </c>
      <c r="C32" s="9">
        <v>22769</v>
      </c>
      <c r="D32" s="4" t="s">
        <v>35</v>
      </c>
      <c r="E32" s="5">
        <v>46203</v>
      </c>
      <c r="F32" s="5">
        <v>46234</v>
      </c>
      <c r="G32" s="1"/>
      <c r="H32" s="1"/>
    </row>
    <row r="33" spans="1:8" ht="13" hidden="1" x14ac:dyDescent="0.3">
      <c r="A33" s="10">
        <v>20104603</v>
      </c>
      <c r="B33" s="18" t="s">
        <v>7</v>
      </c>
      <c r="C33" s="9">
        <v>27692</v>
      </c>
      <c r="D33" s="4" t="s">
        <v>36</v>
      </c>
      <c r="E33" s="5">
        <v>46203</v>
      </c>
      <c r="F33" s="5">
        <v>46295</v>
      </c>
      <c r="G33" s="1"/>
      <c r="H33" s="1"/>
    </row>
    <row r="34" spans="1:8" ht="13" hidden="1" x14ac:dyDescent="0.3">
      <c r="A34" s="10">
        <v>90719576</v>
      </c>
      <c r="B34" s="18" t="s">
        <v>7</v>
      </c>
      <c r="C34" s="9">
        <v>22769</v>
      </c>
      <c r="D34" s="4" t="s">
        <v>37</v>
      </c>
      <c r="E34" s="5">
        <v>46326</v>
      </c>
      <c r="F34" s="5">
        <v>46326</v>
      </c>
      <c r="G34" s="1"/>
      <c r="H34" s="1"/>
    </row>
    <row r="35" spans="1:8" ht="13" hidden="1" x14ac:dyDescent="0.3">
      <c r="A35" s="10">
        <v>90729815</v>
      </c>
      <c r="B35" s="18" t="s">
        <v>7</v>
      </c>
      <c r="C35" s="9">
        <v>30769</v>
      </c>
      <c r="D35" s="4" t="s">
        <v>38</v>
      </c>
      <c r="E35" s="5">
        <v>46203</v>
      </c>
      <c r="F35" s="5">
        <v>46234</v>
      </c>
      <c r="G35" s="1"/>
      <c r="H35" s="1"/>
    </row>
    <row r="36" spans="1:8" ht="13" hidden="1" x14ac:dyDescent="0.3">
      <c r="A36" s="10">
        <v>90718943</v>
      </c>
      <c r="B36" s="18" t="s">
        <v>7</v>
      </c>
      <c r="C36" s="9">
        <v>30769</v>
      </c>
      <c r="D36" s="4" t="s">
        <v>39</v>
      </c>
      <c r="E36" s="5">
        <v>46203</v>
      </c>
      <c r="F36" s="5">
        <v>46234</v>
      </c>
      <c r="G36" s="1"/>
      <c r="H36" s="1"/>
    </row>
    <row r="37" spans="1:8" ht="13" hidden="1" x14ac:dyDescent="0.3">
      <c r="A37" s="10">
        <v>90719584</v>
      </c>
      <c r="B37" s="18" t="s">
        <v>7</v>
      </c>
      <c r="C37" s="9">
        <v>22769</v>
      </c>
      <c r="D37" s="4" t="s">
        <v>40</v>
      </c>
      <c r="E37" s="5">
        <v>46265</v>
      </c>
      <c r="F37" s="5">
        <v>46265</v>
      </c>
      <c r="G37" s="1"/>
      <c r="H37" s="1"/>
    </row>
    <row r="38" spans="1:8" ht="13" hidden="1" x14ac:dyDescent="0.3">
      <c r="A38" s="10">
        <v>90719459</v>
      </c>
      <c r="B38" s="18" t="s">
        <v>7</v>
      </c>
      <c r="C38" s="9">
        <v>22769</v>
      </c>
      <c r="D38" s="4" t="s">
        <v>41</v>
      </c>
      <c r="E38" s="5">
        <v>46203</v>
      </c>
      <c r="F38" s="5">
        <v>46387</v>
      </c>
      <c r="G38" s="1"/>
      <c r="H38" s="1"/>
    </row>
    <row r="39" spans="1:8" ht="13" hidden="1" x14ac:dyDescent="0.3">
      <c r="A39" s="10">
        <v>90718836</v>
      </c>
      <c r="B39" s="18" t="s">
        <v>7</v>
      </c>
      <c r="C39" s="9">
        <v>27692</v>
      </c>
      <c r="D39" s="4" t="s">
        <v>42</v>
      </c>
      <c r="E39" s="5">
        <v>46265</v>
      </c>
      <c r="F39" s="5">
        <v>46265</v>
      </c>
      <c r="G39" s="1"/>
      <c r="H39" s="1"/>
    </row>
    <row r="40" spans="1:8" ht="13" hidden="1" x14ac:dyDescent="0.3">
      <c r="A40" s="10">
        <v>90729433</v>
      </c>
      <c r="B40" s="18" t="s">
        <v>7</v>
      </c>
      <c r="C40" s="9">
        <v>18462</v>
      </c>
      <c r="D40" s="4" t="s">
        <v>43</v>
      </c>
      <c r="E40" s="5">
        <v>46203</v>
      </c>
      <c r="F40" s="5">
        <v>46295</v>
      </c>
      <c r="G40" s="1"/>
      <c r="H40" s="1"/>
    </row>
    <row r="41" spans="1:8" ht="13" hidden="1" x14ac:dyDescent="0.3">
      <c r="A41" s="10">
        <v>90719920</v>
      </c>
      <c r="B41" s="18" t="s">
        <v>7</v>
      </c>
      <c r="C41" s="9">
        <v>14769</v>
      </c>
      <c r="D41" s="4" t="s">
        <v>44</v>
      </c>
      <c r="E41" s="5">
        <v>46203</v>
      </c>
      <c r="F41" s="5">
        <v>46265</v>
      </c>
      <c r="G41" s="1"/>
      <c r="H41" s="1"/>
    </row>
    <row r="42" spans="1:8" ht="13" hidden="1" x14ac:dyDescent="0.3">
      <c r="A42" s="10">
        <v>90719534</v>
      </c>
      <c r="B42" s="18" t="s">
        <v>7</v>
      </c>
      <c r="C42" s="9">
        <v>22769</v>
      </c>
      <c r="D42" s="4" t="s">
        <v>45</v>
      </c>
      <c r="E42" s="5">
        <v>46203</v>
      </c>
      <c r="F42" s="5">
        <v>46295</v>
      </c>
      <c r="G42" s="1"/>
      <c r="H42" s="1"/>
    </row>
    <row r="43" spans="1:8" ht="13" hidden="1" x14ac:dyDescent="0.3">
      <c r="A43" s="10">
        <v>90730605</v>
      </c>
      <c r="B43" s="18" t="s">
        <v>7</v>
      </c>
      <c r="C43" s="9">
        <v>14769</v>
      </c>
      <c r="D43" s="4" t="s">
        <v>46</v>
      </c>
      <c r="E43" s="5">
        <v>46203</v>
      </c>
      <c r="F43" s="5">
        <v>46387</v>
      </c>
      <c r="G43" s="1"/>
      <c r="H43" s="1"/>
    </row>
    <row r="44" spans="1:8" ht="13" hidden="1" x14ac:dyDescent="0.3">
      <c r="A44" s="10">
        <v>90718960</v>
      </c>
      <c r="B44" s="18" t="s">
        <v>5</v>
      </c>
      <c r="C44" s="9">
        <v>30769</v>
      </c>
      <c r="D44" s="4" t="s">
        <v>47</v>
      </c>
      <c r="E44" s="5">
        <v>46203</v>
      </c>
      <c r="F44" s="5">
        <v>46295</v>
      </c>
      <c r="G44" s="1"/>
      <c r="H44" s="1"/>
    </row>
    <row r="45" spans="1:8" ht="13" hidden="1" x14ac:dyDescent="0.3">
      <c r="A45" s="10">
        <v>90719475</v>
      </c>
      <c r="B45" s="18" t="s">
        <v>7</v>
      </c>
      <c r="C45" s="9">
        <v>22769</v>
      </c>
      <c r="D45" s="4" t="s">
        <v>48</v>
      </c>
      <c r="E45" s="5">
        <v>46203</v>
      </c>
      <c r="F45" s="5">
        <v>46295</v>
      </c>
      <c r="G45" s="1"/>
      <c r="H45" s="1"/>
    </row>
    <row r="46" spans="1:8" ht="13" hidden="1" x14ac:dyDescent="0.3">
      <c r="A46" s="10">
        <v>90719500</v>
      </c>
      <c r="B46" s="18" t="s">
        <v>7</v>
      </c>
      <c r="C46" s="9">
        <v>22769</v>
      </c>
      <c r="D46" s="4" t="s">
        <v>49</v>
      </c>
      <c r="E46" s="5">
        <v>46387</v>
      </c>
      <c r="F46" s="5">
        <v>46387</v>
      </c>
      <c r="G46" s="1"/>
      <c r="H46" s="1"/>
    </row>
    <row r="47" spans="1:8" ht="13" hidden="1" x14ac:dyDescent="0.3">
      <c r="A47" s="10">
        <v>90719376</v>
      </c>
      <c r="B47" s="18"/>
      <c r="C47" s="9">
        <v>0</v>
      </c>
      <c r="D47" s="4" t="s">
        <v>50</v>
      </c>
      <c r="E47" s="5">
        <v>46387</v>
      </c>
      <c r="F47" s="5">
        <v>46387</v>
      </c>
      <c r="G47" s="1"/>
      <c r="H47" s="1"/>
    </row>
    <row r="48" spans="1:8" ht="13" hidden="1" x14ac:dyDescent="0.3">
      <c r="A48" s="10">
        <v>90720239</v>
      </c>
      <c r="B48" s="18" t="s">
        <v>5</v>
      </c>
      <c r="C48" s="9">
        <v>16000</v>
      </c>
      <c r="D48" s="4" t="s">
        <v>51</v>
      </c>
      <c r="E48" s="5">
        <v>46265</v>
      </c>
      <c r="F48" s="5">
        <v>46265</v>
      </c>
      <c r="G48" s="1"/>
      <c r="H48" s="1"/>
    </row>
    <row r="49" spans="1:8" ht="13" hidden="1" x14ac:dyDescent="0.3">
      <c r="A49" s="10">
        <v>90719904</v>
      </c>
      <c r="B49" s="18" t="s">
        <v>5</v>
      </c>
      <c r="C49" s="9">
        <v>16000</v>
      </c>
      <c r="D49" s="4" t="s">
        <v>52</v>
      </c>
      <c r="E49" s="5">
        <v>46203</v>
      </c>
      <c r="F49" s="5">
        <v>46295</v>
      </c>
      <c r="G49" s="1"/>
      <c r="H49" s="1"/>
    </row>
    <row r="50" spans="1:8" s="8" customFormat="1" ht="13" hidden="1" x14ac:dyDescent="0.3">
      <c r="A50" s="10">
        <v>90719446</v>
      </c>
      <c r="B50" s="23" t="s">
        <v>7</v>
      </c>
      <c r="C50" s="22">
        <v>22769</v>
      </c>
      <c r="D50" s="20" t="s">
        <v>53</v>
      </c>
      <c r="E50" s="21">
        <v>46387</v>
      </c>
      <c r="F50" s="21">
        <v>46387</v>
      </c>
    </row>
    <row r="51" spans="1:8" ht="13" hidden="1" x14ac:dyDescent="0.3">
      <c r="A51" s="10">
        <v>90719637</v>
      </c>
      <c r="B51" s="18" t="s">
        <v>7</v>
      </c>
      <c r="C51" s="9">
        <v>22769</v>
      </c>
      <c r="D51" s="4" t="s">
        <v>54</v>
      </c>
      <c r="E51" s="5">
        <v>46203</v>
      </c>
      <c r="F51" s="5">
        <v>46295</v>
      </c>
      <c r="G51" s="1"/>
      <c r="H51" s="1"/>
    </row>
    <row r="52" spans="1:8" ht="13" hidden="1" x14ac:dyDescent="0.3">
      <c r="A52" s="10">
        <v>90719536</v>
      </c>
      <c r="B52" s="18" t="s">
        <v>7</v>
      </c>
      <c r="C52" s="9">
        <v>22769</v>
      </c>
      <c r="D52" s="4" t="s">
        <v>55</v>
      </c>
      <c r="E52" s="5">
        <v>46203</v>
      </c>
      <c r="F52" s="5">
        <v>46295</v>
      </c>
      <c r="G52" s="1"/>
      <c r="H52" s="1"/>
    </row>
    <row r="53" spans="1:8" x14ac:dyDescent="0.35">
      <c r="A53" s="1"/>
      <c r="B53" s="6"/>
      <c r="C53" s="7"/>
    </row>
    <row r="54" spans="1:8" x14ac:dyDescent="0.35">
      <c r="A54" s="1"/>
      <c r="B54" s="6"/>
      <c r="C54" s="7"/>
    </row>
    <row r="55" spans="1:8" x14ac:dyDescent="0.35">
      <c r="A55" s="1"/>
      <c r="B55" s="6"/>
      <c r="C55" s="7"/>
    </row>
    <row r="56" spans="1:8" x14ac:dyDescent="0.35">
      <c r="A56" s="1"/>
      <c r="B56" s="6"/>
      <c r="C56" s="7"/>
    </row>
  </sheetData>
  <autoFilter ref="A2:F52" xr:uid="{F7CCB908-BAF5-4B3D-9404-F879109D259B}">
    <filterColumn colId="0">
      <filters>
        <filter val="90732268"/>
      </filters>
    </filterColumn>
  </autoFilter>
  <dataValidations count="1">
    <dataValidation type="list" allowBlank="1" showInputMessage="1" showErrorMessage="1" sqref="H57:H1048576 B3:C56" xr:uid="{A773D63D-14F5-42FE-B6FB-17F9AD1C38E9}">
      <formula1>"Commodity,Niche,NA"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2FB2E-0B8C-45F4-93A8-8F749001459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2504168DD55845932BC2E505299595" ma:contentTypeVersion="7" ma:contentTypeDescription="Create a new document." ma:contentTypeScope="" ma:versionID="581a1c8a44a2e1a6259f3b323bc21a26">
  <xsd:schema xmlns:xsd="http://www.w3.org/2001/XMLSchema" xmlns:xs="http://www.w3.org/2001/XMLSchema" xmlns:p="http://schemas.microsoft.com/office/2006/metadata/properties" xmlns:ns2="64dccf47-912d-4673-88f0-bf4752349a47" targetNamespace="http://schemas.microsoft.com/office/2006/metadata/properties" ma:root="true" ma:fieldsID="f8b426282f98436f2c43600c004dcd68" ns2:_="">
    <xsd:import namespace="64dccf47-912d-4673-88f0-bf4752349a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ccf47-912d-4673-88f0-bf4752349a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DFA85-2F62-4536-A8AA-AFDE748C14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dccf47-912d-4673-88f0-bf4752349a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E2BCBC-EA80-4A01-88C9-55426F6D5D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EFF31C-8258-4961-8355-03C07D673192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7ffb99db-04b0-4879-8e73-d3174e57b086}" enabled="1" method="Standard" siteId="{ec3c7dee-d552-494b-a393-7f941a90b98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</vt:lpstr>
      <vt:lpstr>Surya</vt:lpstr>
      <vt:lpstr>new</vt:lpstr>
      <vt:lpstr>Sheet3</vt:lpstr>
      <vt:lpstr>Sheet2</vt:lpstr>
    </vt:vector>
  </TitlesOfParts>
  <Manager/>
  <Company>ZS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Charlton Sequeira</dc:creator>
  <cp:keywords/>
  <dc:description/>
  <cp:lastModifiedBy>Anjana Sharma</cp:lastModifiedBy>
  <cp:revision/>
  <dcterms:created xsi:type="dcterms:W3CDTF">2026-06-17T11:44:52Z</dcterms:created>
  <dcterms:modified xsi:type="dcterms:W3CDTF">2026-06-30T10:31:38Z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0x010100262504168DD55845932BC2E505299595</vt:lpwstr>
  </property>
  <property fmtid="{D5CDD505-2E9C-101B-9397-08002B2CF9AE}" pid="3" name="MSIP_Label_937d27c0-b6cd-40f3-a0e1-631f68c80666_Enabled">
    <vt:lpwstr>true</vt:lpwstr>
  </property>
  <property fmtid="{D5CDD505-2E9C-101B-9397-08002B2CF9AE}" pid="4" name="MSIP_Label_937d27c0-b6cd-40f3-a0e1-631f68c80666_SetDate">
    <vt:lpwstr>2026-06-17T12:04:46Z</vt:lpwstr>
  </property>
  <property fmtid="{D5CDD505-2E9C-101B-9397-08002B2CF9AE}" pid="5" name="MSIP_Label_937d27c0-b6cd-40f3-a0e1-631f68c80666_Method">
    <vt:lpwstr>Privileged</vt:lpwstr>
  </property>
  <property fmtid="{D5CDD505-2E9C-101B-9397-08002B2CF9AE}" pid="6" name="MSIP_Label_937d27c0-b6cd-40f3-a0e1-631f68c80666_Name">
    <vt:lpwstr>937d27c0-b6cd-40f3-a0e1-631f68c80666</vt:lpwstr>
  </property>
  <property fmtid="{D5CDD505-2E9C-101B-9397-08002B2CF9AE}" pid="7" name="MSIP_Label_937d27c0-b6cd-40f3-a0e1-631f68c80666_SiteId">
    <vt:lpwstr>855b093e-7340-45c7-9f0c-96150415893e</vt:lpwstr>
  </property>
  <property fmtid="{D5CDD505-2E9C-101B-9397-08002B2CF9AE}" pid="8" name="MSIP_Label_937d27c0-b6cd-40f3-a0e1-631f68c80666_ActionId">
    <vt:lpwstr>ccfa24a0-a0dd-46d2-a1f7-c02940c7335c</vt:lpwstr>
  </property>
  <property fmtid="{D5CDD505-2E9C-101B-9397-08002B2CF9AE}" pid="9" name="MSIP_Label_937d27c0-b6cd-40f3-a0e1-631f68c80666_ContentBits">
    <vt:lpwstr>0</vt:lpwstr>
  </property>
  <property fmtid="{D5CDD505-2E9C-101B-9397-08002B2CF9AE}" pid="10" name="MSIP_Label_937d27c0-b6cd-40f3-a0e1-631f68c80666_Tag">
    <vt:lpwstr>10, 0, 1, 1</vt:lpwstr>
  </property>
</Properties>
</file>