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ockwellautomation-my.sharepoint.com/personal/anjana_sharma_rockwellautomation_com/Documents/Anjana Sharma - All Important Documents/1. My work/RA Work/AM-APP/Ref docs/RA internal Process/PIWs/"/>
    </mc:Choice>
  </mc:AlternateContent>
  <xr:revisionPtr revIDLastSave="0" documentId="8_{A4528291-9CB9-4D35-A745-EF9BCB8EE7D6}" xr6:coauthVersionLast="47" xr6:coauthVersionMax="47" xr10:uidLastSave="{00000000-0000-0000-0000-000000000000}"/>
  <bookViews>
    <workbookView xWindow="-110" yWindow="-110" windowWidth="19420" windowHeight="11500" activeTab="5" xr2:uid="{03127074-84F6-4729-B4B5-73360BFC3C21}"/>
  </bookViews>
  <sheets>
    <sheet name="FrontPage" sheetId="1" r:id="rId1"/>
    <sheet name="Fixed Fee" sheetId="5" state="veryHidden" r:id="rId2"/>
    <sheet name="T&amp;M" sheetId="6" state="veryHidden" r:id="rId3"/>
    <sheet name="KL Resource List" sheetId="4" state="veryHidden" r:id="rId4"/>
    <sheet name="Data Validation" sheetId="2" state="veryHidden" r:id="rId5"/>
    <sheet name="Calculation" sheetId="7" r:id="rId6"/>
  </sheets>
  <externalReferences>
    <externalReference r:id="rId7"/>
  </externalReferences>
  <definedNames>
    <definedName name="EmployeeList" localSheetId="2">[1]!Table_Test_EmployeeList[Name]</definedName>
    <definedName name="EmployeeList">[1]!Table_Test_EmployeeList[Name]</definedName>
    <definedName name="KL_Cost" localSheetId="2">[1]!KLCOST[#All]</definedName>
    <definedName name="KL_Cost">[1]!KLCOST[#All]</definedName>
    <definedName name="KL_Rate" localSheetId="2">[1]!KLRATE[#All]</definedName>
    <definedName name="KL_Rate">[1]!KLRATE[#All]</definedName>
    <definedName name="KL_Titles" localSheetId="2">[1]!KLCOST[Title]</definedName>
    <definedName name="KL_Titles">[1]!KLCOST[Title]</definedName>
    <definedName name="ProjectContractType">FrontPage!$B$7</definedName>
    <definedName name="ProjectCurrency">[1]FrontPage!$B$8</definedName>
    <definedName name="RequiredSkillet" localSheetId="2">[1]!Required_Skillset[Title]</definedName>
    <definedName name="RequiredSkillet">[1]!Required_Skillset[Title]</definedName>
    <definedName name="Resource_List">'KL Resource List'!$B:$D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4" l="1"/>
  <c r="E4" i="4"/>
  <c r="E3" i="4"/>
  <c r="CI192" i="6"/>
  <c r="CF192" i="6"/>
  <c r="BU192" i="6"/>
  <c r="BO192" i="6"/>
  <c r="AR192" i="6"/>
  <c r="AP192" i="6"/>
  <c r="AL192" i="6"/>
  <c r="AK192" i="6"/>
  <c r="O192" i="6"/>
  <c r="N192" i="6"/>
  <c r="DB191" i="6"/>
  <c r="DA191" i="6"/>
  <c r="CZ191" i="6"/>
  <c r="CY191" i="6"/>
  <c r="CX191" i="6"/>
  <c r="CL191" i="6"/>
  <c r="CJ191" i="6"/>
  <c r="CG191" i="6"/>
  <c r="CB191" i="6"/>
  <c r="CA191" i="6"/>
  <c r="BZ191" i="6"/>
  <c r="BY191" i="6"/>
  <c r="BX191" i="6"/>
  <c r="BN191" i="6"/>
  <c r="BM191" i="6"/>
  <c r="BL191" i="6"/>
  <c r="BK191" i="6"/>
  <c r="BJ191" i="6"/>
  <c r="BH191" i="6"/>
  <c r="AX191" i="6"/>
  <c r="AV191" i="6"/>
  <c r="AT191" i="6"/>
  <c r="AQ191" i="6"/>
  <c r="AL191" i="6"/>
  <c r="AI191" i="6"/>
  <c r="AF191" i="6"/>
  <c r="W191" i="6"/>
  <c r="V191" i="6"/>
  <c r="U191" i="6"/>
  <c r="T191" i="6"/>
  <c r="DM188" i="6"/>
  <c r="DL188" i="6"/>
  <c r="DK188" i="6"/>
  <c r="DK191" i="6" s="1"/>
  <c r="DJ188" i="6"/>
  <c r="DJ191" i="6" s="1"/>
  <c r="DI188" i="6"/>
  <c r="DI191" i="6" s="1"/>
  <c r="DH188" i="6"/>
  <c r="DG188" i="6"/>
  <c r="DF188" i="6"/>
  <c r="DE188" i="6"/>
  <c r="DD188" i="6"/>
  <c r="DC188" i="6"/>
  <c r="DC191" i="6" s="1"/>
  <c r="DB188" i="6"/>
  <c r="DA188" i="6"/>
  <c r="CZ188" i="6"/>
  <c r="CY188" i="6"/>
  <c r="CX188" i="6"/>
  <c r="CW188" i="6"/>
  <c r="CW191" i="6" s="1"/>
  <c r="CV188" i="6"/>
  <c r="CV191" i="6" s="1"/>
  <c r="CU188" i="6"/>
  <c r="CU191" i="6" s="1"/>
  <c r="CT188" i="6"/>
  <c r="CS188" i="6"/>
  <c r="CR188" i="6"/>
  <c r="CQ188" i="6"/>
  <c r="CP188" i="6"/>
  <c r="CO188" i="6"/>
  <c r="CO191" i="6" s="1"/>
  <c r="CN188" i="6"/>
  <c r="CM188" i="6"/>
  <c r="CL188" i="6"/>
  <c r="CK188" i="6"/>
  <c r="CJ188" i="6"/>
  <c r="CI188" i="6"/>
  <c r="CI191" i="6" s="1"/>
  <c r="CH188" i="6"/>
  <c r="CH191" i="6" s="1"/>
  <c r="CG188" i="6"/>
  <c r="CF188" i="6"/>
  <c r="CE188" i="6"/>
  <c r="CD188" i="6"/>
  <c r="CC188" i="6"/>
  <c r="CB188" i="6"/>
  <c r="CA188" i="6"/>
  <c r="BZ188" i="6"/>
  <c r="BY188" i="6"/>
  <c r="BX188" i="6"/>
  <c r="BW188" i="6"/>
  <c r="BV188" i="6"/>
  <c r="BV191" i="6" s="1"/>
  <c r="BU188" i="6"/>
  <c r="BU191" i="6" s="1"/>
  <c r="BT188" i="6"/>
  <c r="BT191" i="6" s="1"/>
  <c r="BS188" i="6"/>
  <c r="BS191" i="6" s="1"/>
  <c r="BR188" i="6"/>
  <c r="BQ188" i="6"/>
  <c r="BP188" i="6"/>
  <c r="BO188" i="6"/>
  <c r="BN188" i="6"/>
  <c r="BM188" i="6"/>
  <c r="BL188" i="6"/>
  <c r="BK188" i="6"/>
  <c r="BJ188" i="6"/>
  <c r="BI188" i="6"/>
  <c r="BH188" i="6"/>
  <c r="BG188" i="6"/>
  <c r="BG191" i="6" s="1"/>
  <c r="BF188" i="6"/>
  <c r="BF191" i="6" s="1"/>
  <c r="BE188" i="6"/>
  <c r="BE191" i="6" s="1"/>
  <c r="BD188" i="6"/>
  <c r="BC188" i="6"/>
  <c r="BB188" i="6"/>
  <c r="BA188" i="6"/>
  <c r="AZ188" i="6"/>
  <c r="AY188" i="6"/>
  <c r="AY191" i="6" s="1"/>
  <c r="AX188" i="6"/>
  <c r="AW188" i="6"/>
  <c r="AV188" i="6"/>
  <c r="AU188" i="6"/>
  <c r="AT188" i="6"/>
  <c r="AS188" i="6"/>
  <c r="AS191" i="6" s="1"/>
  <c r="AR188" i="6"/>
  <c r="AR191" i="6" s="1"/>
  <c r="AQ188" i="6"/>
  <c r="AP188" i="6"/>
  <c r="AO188" i="6"/>
  <c r="AN188" i="6"/>
  <c r="AM188" i="6"/>
  <c r="AL188" i="6"/>
  <c r="AK188" i="6"/>
  <c r="AK191" i="6" s="1"/>
  <c r="AJ188" i="6"/>
  <c r="AI188" i="6"/>
  <c r="AH188" i="6"/>
  <c r="AG188" i="6"/>
  <c r="AF188" i="6"/>
  <c r="AE188" i="6"/>
  <c r="AE191" i="6" s="1"/>
  <c r="AD188" i="6"/>
  <c r="AD191" i="6" s="1"/>
  <c r="AC188" i="6"/>
  <c r="AC191" i="6" s="1"/>
  <c r="AB188" i="6"/>
  <c r="AA188" i="6"/>
  <c r="Z188" i="6"/>
  <c r="Y188" i="6"/>
  <c r="X188" i="6"/>
  <c r="W188" i="6"/>
  <c r="V188" i="6"/>
  <c r="U188" i="6"/>
  <c r="T188" i="6"/>
  <c r="S188" i="6"/>
  <c r="R188" i="6"/>
  <c r="Q188" i="6"/>
  <c r="Q191" i="6" s="1"/>
  <c r="P188" i="6"/>
  <c r="P191" i="6" s="1"/>
  <c r="O188" i="6"/>
  <c r="O191" i="6" s="1"/>
  <c r="N188" i="6"/>
  <c r="M187" i="6"/>
  <c r="L187" i="6"/>
  <c r="K187" i="6"/>
  <c r="M186" i="6"/>
  <c r="L186" i="6" s="1"/>
  <c r="K186" i="6"/>
  <c r="M185" i="6"/>
  <c r="L185" i="6" s="1"/>
  <c r="K185" i="6"/>
  <c r="M184" i="6"/>
  <c r="L184" i="6" s="1"/>
  <c r="K184" i="6"/>
  <c r="M183" i="6"/>
  <c r="L183" i="6" s="1"/>
  <c r="K183" i="6"/>
  <c r="M182" i="6"/>
  <c r="L182" i="6" s="1"/>
  <c r="K182" i="6"/>
  <c r="M181" i="6"/>
  <c r="L181" i="6"/>
  <c r="K181" i="6"/>
  <c r="M180" i="6"/>
  <c r="L180" i="6" s="1"/>
  <c r="K180" i="6"/>
  <c r="M179" i="6"/>
  <c r="L179" i="6"/>
  <c r="K179" i="6"/>
  <c r="M178" i="6"/>
  <c r="L178" i="6" s="1"/>
  <c r="K178" i="6"/>
  <c r="M177" i="6"/>
  <c r="L177" i="6" s="1"/>
  <c r="K177" i="6"/>
  <c r="M176" i="6"/>
  <c r="L176" i="6"/>
  <c r="K176" i="6"/>
  <c r="M175" i="6"/>
  <c r="L175" i="6" s="1"/>
  <c r="K175" i="6"/>
  <c r="M174" i="6"/>
  <c r="L174" i="6"/>
  <c r="K174" i="6"/>
  <c r="M173" i="6"/>
  <c r="L173" i="6" s="1"/>
  <c r="K173" i="6"/>
  <c r="M172" i="6"/>
  <c r="L172" i="6" s="1"/>
  <c r="K172" i="6"/>
  <c r="M171" i="6"/>
  <c r="L171" i="6" s="1"/>
  <c r="K171" i="6"/>
  <c r="M170" i="6"/>
  <c r="L170" i="6" s="1"/>
  <c r="K170" i="6"/>
  <c r="M169" i="6"/>
  <c r="L169" i="6" s="1"/>
  <c r="K169" i="6"/>
  <c r="M168" i="6"/>
  <c r="L168" i="6" s="1"/>
  <c r="K168" i="6"/>
  <c r="M167" i="6"/>
  <c r="L167" i="6"/>
  <c r="K167" i="6"/>
  <c r="M166" i="6"/>
  <c r="L166" i="6" s="1"/>
  <c r="K166" i="6"/>
  <c r="M165" i="6"/>
  <c r="L165" i="6" s="1"/>
  <c r="K165" i="6"/>
  <c r="M164" i="6"/>
  <c r="L164" i="6"/>
  <c r="K164" i="6"/>
  <c r="M163" i="6"/>
  <c r="L163" i="6" s="1"/>
  <c r="K163" i="6"/>
  <c r="M162" i="6"/>
  <c r="L162" i="6"/>
  <c r="K162" i="6"/>
  <c r="M161" i="6"/>
  <c r="L161" i="6" s="1"/>
  <c r="K161" i="6"/>
  <c r="M160" i="6"/>
  <c r="L160" i="6" s="1"/>
  <c r="K160" i="6"/>
  <c r="M159" i="6"/>
  <c r="K159" i="6"/>
  <c r="M158" i="6"/>
  <c r="L158" i="6" s="1"/>
  <c r="K158" i="6"/>
  <c r="DM154" i="6"/>
  <c r="DL154" i="6"/>
  <c r="DL191" i="6" s="1"/>
  <c r="DK154" i="6"/>
  <c r="DJ154" i="6"/>
  <c r="DI154" i="6"/>
  <c r="DH154" i="6"/>
  <c r="DG154" i="6"/>
  <c r="DF154" i="6"/>
  <c r="DE154" i="6"/>
  <c r="DD154" i="6"/>
  <c r="DD191" i="6" s="1"/>
  <c r="DC154" i="6"/>
  <c r="DB154" i="6"/>
  <c r="DA154" i="6"/>
  <c r="CZ154" i="6"/>
  <c r="CY154" i="6"/>
  <c r="CX154" i="6"/>
  <c r="CW154" i="6"/>
  <c r="CV154" i="6"/>
  <c r="CU154" i="6"/>
  <c r="CT154" i="6"/>
  <c r="CS154" i="6"/>
  <c r="CR154" i="6"/>
  <c r="CQ154" i="6"/>
  <c r="CP154" i="6"/>
  <c r="CO154" i="6"/>
  <c r="CN154" i="6"/>
  <c r="CM154" i="6"/>
  <c r="CL154" i="6"/>
  <c r="CK154" i="6"/>
  <c r="CJ154" i="6"/>
  <c r="CI154" i="6"/>
  <c r="CH154" i="6"/>
  <c r="CG154" i="6"/>
  <c r="CF154" i="6"/>
  <c r="CE154" i="6"/>
  <c r="CD154" i="6"/>
  <c r="CC154" i="6"/>
  <c r="CB154" i="6"/>
  <c r="CA154" i="6"/>
  <c r="BZ154" i="6"/>
  <c r="BY154" i="6"/>
  <c r="BX154" i="6"/>
  <c r="BW154" i="6"/>
  <c r="BV154" i="6"/>
  <c r="BU154" i="6"/>
  <c r="BT154" i="6"/>
  <c r="BS154" i="6"/>
  <c r="BR154" i="6"/>
  <c r="BQ154" i="6"/>
  <c r="BP154" i="6"/>
  <c r="BO154" i="6"/>
  <c r="BN154" i="6"/>
  <c r="BM154" i="6"/>
  <c r="BL154" i="6"/>
  <c r="BK154" i="6"/>
  <c r="BJ154" i="6"/>
  <c r="BI154" i="6"/>
  <c r="BI191" i="6" s="1"/>
  <c r="BH154" i="6"/>
  <c r="BG154" i="6"/>
  <c r="BF154" i="6"/>
  <c r="BE154" i="6"/>
  <c r="BD154" i="6"/>
  <c r="BC154" i="6"/>
  <c r="BB154" i="6"/>
  <c r="BA154" i="6"/>
  <c r="AZ154" i="6"/>
  <c r="AY154" i="6"/>
  <c r="AX154" i="6"/>
  <c r="AW154" i="6"/>
  <c r="AV154" i="6"/>
  <c r="AU154" i="6"/>
  <c r="AU191" i="6" s="1"/>
  <c r="AT154" i="6"/>
  <c r="AS154" i="6"/>
  <c r="AR154" i="6"/>
  <c r="AQ154" i="6"/>
  <c r="AP154" i="6"/>
  <c r="AO154" i="6"/>
  <c r="AN154" i="6"/>
  <c r="AM154" i="6"/>
  <c r="AL154" i="6"/>
  <c r="AK154" i="6"/>
  <c r="AJ154" i="6"/>
  <c r="AI154" i="6"/>
  <c r="AH154" i="6"/>
  <c r="AG154" i="6"/>
  <c r="AF154" i="6"/>
  <c r="AE154" i="6"/>
  <c r="AD154" i="6"/>
  <c r="AC154" i="6"/>
  <c r="AB154" i="6"/>
  <c r="AA154" i="6"/>
  <c r="Z154" i="6"/>
  <c r="Y154" i="6"/>
  <c r="X154" i="6"/>
  <c r="X191" i="6" s="1"/>
  <c r="W154" i="6"/>
  <c r="V154" i="6"/>
  <c r="U154" i="6"/>
  <c r="T154" i="6"/>
  <c r="S154" i="6"/>
  <c r="R154" i="6"/>
  <c r="R191" i="6" s="1"/>
  <c r="Q154" i="6"/>
  <c r="P154" i="6"/>
  <c r="O154" i="6"/>
  <c r="N154" i="6"/>
  <c r="M153" i="6"/>
  <c r="L153" i="6" s="1"/>
  <c r="K153" i="6"/>
  <c r="M152" i="6"/>
  <c r="L152" i="6"/>
  <c r="K152" i="6"/>
  <c r="M151" i="6"/>
  <c r="L151" i="6" s="1"/>
  <c r="K151" i="6"/>
  <c r="M150" i="6"/>
  <c r="L150" i="6" s="1"/>
  <c r="K150" i="6"/>
  <c r="M149" i="6"/>
  <c r="L149" i="6" s="1"/>
  <c r="K149" i="6"/>
  <c r="M148" i="6"/>
  <c r="L148" i="6" s="1"/>
  <c r="K148" i="6"/>
  <c r="M147" i="6"/>
  <c r="L147" i="6"/>
  <c r="K147" i="6"/>
  <c r="M146" i="6"/>
  <c r="L146" i="6" s="1"/>
  <c r="K146" i="6"/>
  <c r="M145" i="6"/>
  <c r="L145" i="6" s="1"/>
  <c r="K145" i="6"/>
  <c r="M144" i="6"/>
  <c r="L144" i="6" s="1"/>
  <c r="K144" i="6"/>
  <c r="M143" i="6"/>
  <c r="L143" i="6" s="1"/>
  <c r="K143" i="6"/>
  <c r="M142" i="6"/>
  <c r="L142" i="6" s="1"/>
  <c r="K142" i="6"/>
  <c r="M141" i="6"/>
  <c r="L141" i="6" s="1"/>
  <c r="K141" i="6"/>
  <c r="M140" i="6"/>
  <c r="L140" i="6" s="1"/>
  <c r="K140" i="6"/>
  <c r="M139" i="6"/>
  <c r="L139" i="6" s="1"/>
  <c r="K139" i="6"/>
  <c r="M138" i="6"/>
  <c r="L138" i="6"/>
  <c r="K138" i="6"/>
  <c r="M137" i="6"/>
  <c r="L137" i="6"/>
  <c r="K137" i="6"/>
  <c r="M136" i="6"/>
  <c r="L136" i="6" s="1"/>
  <c r="K136" i="6"/>
  <c r="M135" i="6"/>
  <c r="L135" i="6" s="1"/>
  <c r="K135" i="6"/>
  <c r="M134" i="6"/>
  <c r="L134" i="6" s="1"/>
  <c r="K134" i="6"/>
  <c r="M133" i="6"/>
  <c r="L133" i="6"/>
  <c r="K133" i="6"/>
  <c r="M132" i="6"/>
  <c r="L132" i="6"/>
  <c r="K132" i="6"/>
  <c r="M131" i="6"/>
  <c r="L131" i="6" s="1"/>
  <c r="K131" i="6"/>
  <c r="M130" i="6"/>
  <c r="L130" i="6" s="1"/>
  <c r="K130" i="6"/>
  <c r="M129" i="6"/>
  <c r="L129" i="6" s="1"/>
  <c r="K129" i="6"/>
  <c r="M128" i="6"/>
  <c r="L128" i="6" s="1"/>
  <c r="K128" i="6"/>
  <c r="M127" i="6"/>
  <c r="L127" i="6" s="1"/>
  <c r="K127" i="6"/>
  <c r="M126" i="6"/>
  <c r="L126" i="6" s="1"/>
  <c r="K126" i="6"/>
  <c r="M125" i="6"/>
  <c r="L125" i="6" s="1"/>
  <c r="K125" i="6"/>
  <c r="M124" i="6"/>
  <c r="L124" i="6"/>
  <c r="K124" i="6"/>
  <c r="DM120" i="6"/>
  <c r="DL120" i="6"/>
  <c r="DK120" i="6"/>
  <c r="DJ120" i="6"/>
  <c r="DI120" i="6"/>
  <c r="DH120" i="6"/>
  <c r="DG120" i="6"/>
  <c r="DF120" i="6"/>
  <c r="DE120" i="6"/>
  <c r="DD120" i="6"/>
  <c r="DC120" i="6"/>
  <c r="DB120" i="6"/>
  <c r="DA120" i="6"/>
  <c r="CZ120" i="6"/>
  <c r="CY120" i="6"/>
  <c r="CX120" i="6"/>
  <c r="CW120" i="6"/>
  <c r="CV120" i="6"/>
  <c r="CU120" i="6"/>
  <c r="CT120" i="6"/>
  <c r="CS120" i="6"/>
  <c r="CR120" i="6"/>
  <c r="CQ120" i="6"/>
  <c r="CP120" i="6"/>
  <c r="CO120" i="6"/>
  <c r="CN120" i="6"/>
  <c r="CM120" i="6"/>
  <c r="CL120" i="6"/>
  <c r="CK120" i="6"/>
  <c r="CJ120" i="6"/>
  <c r="CI120" i="6"/>
  <c r="CH120" i="6"/>
  <c r="CG120" i="6"/>
  <c r="CF120" i="6"/>
  <c r="CE120" i="6"/>
  <c r="CD120" i="6"/>
  <c r="CC120" i="6"/>
  <c r="CB120" i="6"/>
  <c r="CA120" i="6"/>
  <c r="BZ120" i="6"/>
  <c r="BY120" i="6"/>
  <c r="BX120" i="6"/>
  <c r="BW120" i="6"/>
  <c r="BV120" i="6"/>
  <c r="BU120" i="6"/>
  <c r="BT120" i="6"/>
  <c r="BS120" i="6"/>
  <c r="BR120" i="6"/>
  <c r="BQ120" i="6"/>
  <c r="BP120" i="6"/>
  <c r="BO120" i="6"/>
  <c r="BN120" i="6"/>
  <c r="BM120" i="6"/>
  <c r="BL120" i="6"/>
  <c r="BK120" i="6"/>
  <c r="BJ120" i="6"/>
  <c r="BI120" i="6"/>
  <c r="BH120" i="6"/>
  <c r="BG120" i="6"/>
  <c r="BF120" i="6"/>
  <c r="BE120" i="6"/>
  <c r="BD120" i="6"/>
  <c r="BC120" i="6"/>
  <c r="BB120" i="6"/>
  <c r="BA120" i="6"/>
  <c r="AZ120" i="6"/>
  <c r="AY120" i="6"/>
  <c r="AX120" i="6"/>
  <c r="AW120" i="6"/>
  <c r="AV120" i="6"/>
  <c r="AU120" i="6"/>
  <c r="AT120" i="6"/>
  <c r="AS120" i="6"/>
  <c r="AR120" i="6"/>
  <c r="AQ120" i="6"/>
  <c r="AP120" i="6"/>
  <c r="AO120" i="6"/>
  <c r="AN120" i="6"/>
  <c r="AM120" i="6"/>
  <c r="AL120" i="6"/>
  <c r="AK120" i="6"/>
  <c r="AJ120" i="6"/>
  <c r="AI120" i="6"/>
  <c r="AH120" i="6"/>
  <c r="AG120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P120" i="6"/>
  <c r="O120" i="6"/>
  <c r="N120" i="6"/>
  <c r="M119" i="6"/>
  <c r="L119" i="6" s="1"/>
  <c r="K119" i="6"/>
  <c r="M118" i="6"/>
  <c r="L118" i="6"/>
  <c r="K118" i="6"/>
  <c r="M117" i="6"/>
  <c r="L117" i="6" s="1"/>
  <c r="K117" i="6"/>
  <c r="M116" i="6"/>
  <c r="L116" i="6" s="1"/>
  <c r="K116" i="6"/>
  <c r="M115" i="6"/>
  <c r="L115" i="6" s="1"/>
  <c r="K115" i="6"/>
  <c r="M114" i="6"/>
  <c r="L114" i="6"/>
  <c r="K114" i="6"/>
  <c r="M113" i="6"/>
  <c r="L113" i="6"/>
  <c r="K113" i="6"/>
  <c r="M112" i="6"/>
  <c r="L112" i="6" s="1"/>
  <c r="K112" i="6"/>
  <c r="M111" i="6"/>
  <c r="L111" i="6" s="1"/>
  <c r="K111" i="6"/>
  <c r="M110" i="6"/>
  <c r="L110" i="6" s="1"/>
  <c r="K110" i="6"/>
  <c r="M109" i="6"/>
  <c r="L109" i="6"/>
  <c r="K109" i="6"/>
  <c r="M108" i="6"/>
  <c r="L108" i="6"/>
  <c r="K108" i="6"/>
  <c r="M107" i="6"/>
  <c r="L107" i="6" s="1"/>
  <c r="K107" i="6"/>
  <c r="M106" i="6"/>
  <c r="L106" i="6" s="1"/>
  <c r="K106" i="6"/>
  <c r="M105" i="6"/>
  <c r="L105" i="6" s="1"/>
  <c r="K105" i="6"/>
  <c r="M104" i="6"/>
  <c r="L104" i="6" s="1"/>
  <c r="K104" i="6"/>
  <c r="M103" i="6"/>
  <c r="L103" i="6"/>
  <c r="K103" i="6"/>
  <c r="M102" i="6"/>
  <c r="L102" i="6" s="1"/>
  <c r="K102" i="6"/>
  <c r="M101" i="6"/>
  <c r="L101" i="6" s="1"/>
  <c r="K101" i="6"/>
  <c r="M100" i="6"/>
  <c r="L100" i="6"/>
  <c r="K100" i="6"/>
  <c r="M99" i="6"/>
  <c r="L99" i="6" s="1"/>
  <c r="K99" i="6"/>
  <c r="M98" i="6"/>
  <c r="L98" i="6"/>
  <c r="K98" i="6"/>
  <c r="M97" i="6"/>
  <c r="L97" i="6" s="1"/>
  <c r="K97" i="6"/>
  <c r="M96" i="6"/>
  <c r="L96" i="6" s="1"/>
  <c r="K96" i="6"/>
  <c r="M95" i="6"/>
  <c r="L95" i="6"/>
  <c r="K95" i="6"/>
  <c r="M94" i="6"/>
  <c r="L94" i="6" s="1"/>
  <c r="K94" i="6"/>
  <c r="M93" i="6"/>
  <c r="L93" i="6"/>
  <c r="K93" i="6"/>
  <c r="M92" i="6"/>
  <c r="M120" i="6" s="1"/>
  <c r="K92" i="6"/>
  <c r="M91" i="6"/>
  <c r="L91" i="6" s="1"/>
  <c r="K91" i="6"/>
  <c r="M90" i="6"/>
  <c r="L90" i="6"/>
  <c r="K90" i="6"/>
  <c r="O84" i="6"/>
  <c r="M83" i="6"/>
  <c r="L83" i="6" s="1"/>
  <c r="M82" i="6"/>
  <c r="L82" i="6"/>
  <c r="M81" i="6"/>
  <c r="L81" i="6" s="1"/>
  <c r="M80" i="6"/>
  <c r="L80" i="6" s="1"/>
  <c r="M79" i="6"/>
  <c r="L79" i="6" s="1"/>
  <c r="M78" i="6"/>
  <c r="L78" i="6"/>
  <c r="M77" i="6"/>
  <c r="L77" i="6" s="1"/>
  <c r="M76" i="6"/>
  <c r="L76" i="6" s="1"/>
  <c r="M75" i="6"/>
  <c r="L75" i="6"/>
  <c r="M74" i="6"/>
  <c r="L74" i="6"/>
  <c r="R72" i="6"/>
  <c r="S84" i="6" s="1"/>
  <c r="Q72" i="6"/>
  <c r="R84" i="6" s="1"/>
  <c r="P72" i="6"/>
  <c r="Q84" i="6" s="1"/>
  <c r="O72" i="6"/>
  <c r="P84" i="6" s="1"/>
  <c r="N72" i="6"/>
  <c r="DM70" i="6"/>
  <c r="DL70" i="6"/>
  <c r="DK70" i="6"/>
  <c r="DJ70" i="6"/>
  <c r="DI70" i="6"/>
  <c r="DH70" i="6"/>
  <c r="DG70" i="6"/>
  <c r="DF70" i="6"/>
  <c r="DE70" i="6"/>
  <c r="DD70" i="6"/>
  <c r="DC70" i="6"/>
  <c r="DB70" i="6"/>
  <c r="DA70" i="6"/>
  <c r="CZ70" i="6"/>
  <c r="CY70" i="6"/>
  <c r="CX70" i="6"/>
  <c r="CW70" i="6"/>
  <c r="CV70" i="6"/>
  <c r="CU70" i="6"/>
  <c r="CT70" i="6"/>
  <c r="CS70" i="6"/>
  <c r="CR70" i="6"/>
  <c r="CQ70" i="6"/>
  <c r="CP70" i="6"/>
  <c r="CO70" i="6"/>
  <c r="CN70" i="6"/>
  <c r="CM70" i="6"/>
  <c r="CM191" i="6" s="1"/>
  <c r="CL70" i="6"/>
  <c r="CK70" i="6"/>
  <c r="CJ70" i="6"/>
  <c r="CI70" i="6"/>
  <c r="CH70" i="6"/>
  <c r="CG70" i="6"/>
  <c r="CF70" i="6"/>
  <c r="CE70" i="6"/>
  <c r="CD70" i="6"/>
  <c r="CC70" i="6"/>
  <c r="CB70" i="6"/>
  <c r="CA70" i="6"/>
  <c r="BZ70" i="6"/>
  <c r="BY70" i="6"/>
  <c r="BX70" i="6"/>
  <c r="BW70" i="6"/>
  <c r="BV70" i="6"/>
  <c r="BU70" i="6"/>
  <c r="BT70" i="6"/>
  <c r="BS70" i="6"/>
  <c r="BR70" i="6"/>
  <c r="BQ70" i="6"/>
  <c r="BP70" i="6"/>
  <c r="BO70" i="6"/>
  <c r="BN70" i="6"/>
  <c r="BM70" i="6"/>
  <c r="BL70" i="6"/>
  <c r="BK70" i="6"/>
  <c r="BJ70" i="6"/>
  <c r="BI70" i="6"/>
  <c r="BH70" i="6"/>
  <c r="BG70" i="6"/>
  <c r="BF70" i="6"/>
  <c r="BE70" i="6"/>
  <c r="BD70" i="6"/>
  <c r="BC70" i="6"/>
  <c r="BB70" i="6"/>
  <c r="BA70" i="6"/>
  <c r="AZ70" i="6"/>
  <c r="AY70" i="6"/>
  <c r="AX70" i="6"/>
  <c r="AW70" i="6"/>
  <c r="AW191" i="6" s="1"/>
  <c r="AV70" i="6"/>
  <c r="AU70" i="6"/>
  <c r="AT70" i="6"/>
  <c r="AS70" i="6"/>
  <c r="AR70" i="6"/>
  <c r="AQ70" i="6"/>
  <c r="AP70" i="6"/>
  <c r="AO70" i="6"/>
  <c r="AN70" i="6"/>
  <c r="AM70" i="6"/>
  <c r="AL70" i="6"/>
  <c r="AK70" i="6"/>
  <c r="AJ70" i="6"/>
  <c r="AI70" i="6"/>
  <c r="AH70" i="6"/>
  <c r="AH191" i="6" s="1"/>
  <c r="AG70" i="6"/>
  <c r="AF70" i="6"/>
  <c r="AE70" i="6"/>
  <c r="AD70" i="6"/>
  <c r="AC70" i="6"/>
  <c r="AB70" i="6"/>
  <c r="AA70" i="6"/>
  <c r="Z70" i="6"/>
  <c r="Y70" i="6"/>
  <c r="X70" i="6"/>
  <c r="W70" i="6"/>
  <c r="V70" i="6"/>
  <c r="U70" i="6"/>
  <c r="T70" i="6"/>
  <c r="S70" i="6"/>
  <c r="R70" i="6"/>
  <c r="Q70" i="6"/>
  <c r="P70" i="6"/>
  <c r="O70" i="6"/>
  <c r="N70" i="6"/>
  <c r="DN69" i="6"/>
  <c r="M69" i="6"/>
  <c r="H69" i="6"/>
  <c r="DN68" i="6"/>
  <c r="M68" i="6"/>
  <c r="H68" i="6"/>
  <c r="DN67" i="6"/>
  <c r="M67" i="6"/>
  <c r="K67" i="6" s="1"/>
  <c r="J67" i="6"/>
  <c r="L67" i="6" s="1"/>
  <c r="H67" i="6"/>
  <c r="DN66" i="6"/>
  <c r="M66" i="6"/>
  <c r="H66" i="6"/>
  <c r="K66" i="6" s="1"/>
  <c r="M65" i="6"/>
  <c r="DN65" i="6" s="1"/>
  <c r="H65" i="6"/>
  <c r="DN64" i="6"/>
  <c r="M64" i="6"/>
  <c r="K64" i="6" s="1"/>
  <c r="J64" i="6"/>
  <c r="H64" i="6"/>
  <c r="M63" i="6"/>
  <c r="DN63" i="6" s="1"/>
  <c r="H63" i="6"/>
  <c r="DN62" i="6"/>
  <c r="M62" i="6"/>
  <c r="H62" i="6"/>
  <c r="K62" i="6" s="1"/>
  <c r="DN61" i="6"/>
  <c r="M61" i="6"/>
  <c r="H61" i="6"/>
  <c r="M60" i="6"/>
  <c r="DN60" i="6" s="1"/>
  <c r="H60" i="6"/>
  <c r="DN59" i="6"/>
  <c r="M59" i="6"/>
  <c r="K59" i="6" s="1"/>
  <c r="H59" i="6"/>
  <c r="J59" i="6" s="1"/>
  <c r="M58" i="6"/>
  <c r="DN58" i="6" s="1"/>
  <c r="L58" i="6"/>
  <c r="J58" i="6"/>
  <c r="H58" i="6"/>
  <c r="K58" i="6" s="1"/>
  <c r="M57" i="6"/>
  <c r="DN57" i="6" s="1"/>
  <c r="H57" i="6"/>
  <c r="M56" i="6"/>
  <c r="DN56" i="6" s="1"/>
  <c r="H56" i="6"/>
  <c r="M55" i="6"/>
  <c r="DN55" i="6" s="1"/>
  <c r="K55" i="6"/>
  <c r="J55" i="6"/>
  <c r="L55" i="6" s="1"/>
  <c r="H55" i="6"/>
  <c r="M54" i="6"/>
  <c r="DN54" i="6" s="1"/>
  <c r="K54" i="6"/>
  <c r="J54" i="6"/>
  <c r="H54" i="6"/>
  <c r="M53" i="6"/>
  <c r="DN53" i="6" s="1"/>
  <c r="L53" i="6"/>
  <c r="J53" i="6"/>
  <c r="H53" i="6"/>
  <c r="K53" i="6" s="1"/>
  <c r="DN52" i="6"/>
  <c r="M52" i="6"/>
  <c r="L52" i="6"/>
  <c r="K52" i="6"/>
  <c r="H52" i="6"/>
  <c r="J52" i="6" s="1"/>
  <c r="M51" i="6"/>
  <c r="DN51" i="6" s="1"/>
  <c r="H51" i="6"/>
  <c r="M50" i="6"/>
  <c r="DN50" i="6" s="1"/>
  <c r="H50" i="6"/>
  <c r="K50" i="6" s="1"/>
  <c r="M49" i="6"/>
  <c r="DN49" i="6" s="1"/>
  <c r="J49" i="6"/>
  <c r="L49" i="6" s="1"/>
  <c r="H49" i="6"/>
  <c r="M48" i="6"/>
  <c r="DN48" i="6" s="1"/>
  <c r="H48" i="6"/>
  <c r="K48" i="6" s="1"/>
  <c r="DN47" i="6"/>
  <c r="M47" i="6"/>
  <c r="H47" i="6"/>
  <c r="K47" i="6" s="1"/>
  <c r="DN46" i="6"/>
  <c r="M46" i="6"/>
  <c r="H46" i="6"/>
  <c r="M45" i="6"/>
  <c r="L45" i="6"/>
  <c r="H45" i="6"/>
  <c r="J45" i="6" s="1"/>
  <c r="M44" i="6"/>
  <c r="DN44" i="6" s="1"/>
  <c r="K44" i="6"/>
  <c r="J44" i="6"/>
  <c r="L44" i="6" s="1"/>
  <c r="H44" i="6"/>
  <c r="M43" i="6"/>
  <c r="DN43" i="6" s="1"/>
  <c r="H43" i="6"/>
  <c r="K43" i="6" s="1"/>
  <c r="M42" i="6"/>
  <c r="H42" i="6"/>
  <c r="J42" i="6" s="1"/>
  <c r="L42" i="6" s="1"/>
  <c r="M41" i="6"/>
  <c r="DN41" i="6" s="1"/>
  <c r="H41" i="6"/>
  <c r="M40" i="6"/>
  <c r="DN40" i="6" s="1"/>
  <c r="K40" i="6"/>
  <c r="J40" i="6"/>
  <c r="L40" i="6" s="1"/>
  <c r="H40" i="6"/>
  <c r="M39" i="6"/>
  <c r="DN39" i="6" s="1"/>
  <c r="L39" i="6"/>
  <c r="K39" i="6"/>
  <c r="J39" i="6"/>
  <c r="H39" i="6"/>
  <c r="M38" i="6"/>
  <c r="DN38" i="6" s="1"/>
  <c r="H38" i="6"/>
  <c r="M37" i="6"/>
  <c r="DN37" i="6" s="1"/>
  <c r="L37" i="6"/>
  <c r="K37" i="6"/>
  <c r="J37" i="6"/>
  <c r="H37" i="6"/>
  <c r="M36" i="6"/>
  <c r="DN36" i="6" s="1"/>
  <c r="H36" i="6"/>
  <c r="M35" i="6"/>
  <c r="DN35" i="6" s="1"/>
  <c r="H35" i="6"/>
  <c r="K35" i="6" s="1"/>
  <c r="M34" i="6"/>
  <c r="DN34" i="6" s="1"/>
  <c r="L34" i="6"/>
  <c r="K34" i="6"/>
  <c r="J34" i="6"/>
  <c r="H34" i="6"/>
  <c r="M33" i="6"/>
  <c r="DN33" i="6" s="1"/>
  <c r="H33" i="6"/>
  <c r="J33" i="6" s="1"/>
  <c r="L33" i="6" s="1"/>
  <c r="DN32" i="6"/>
  <c r="M32" i="6"/>
  <c r="H32" i="6"/>
  <c r="K32" i="6" s="1"/>
  <c r="DN31" i="6"/>
  <c r="M31" i="6"/>
  <c r="L31" i="6" s="1"/>
  <c r="H31" i="6"/>
  <c r="J31" i="6" s="1"/>
  <c r="DN30" i="6"/>
  <c r="M30" i="6"/>
  <c r="K30" i="6"/>
  <c r="J30" i="6"/>
  <c r="L30" i="6" s="1"/>
  <c r="H30" i="6"/>
  <c r="M29" i="6"/>
  <c r="DN29" i="6" s="1"/>
  <c r="K29" i="6"/>
  <c r="J29" i="6"/>
  <c r="L29" i="6" s="1"/>
  <c r="H29" i="6"/>
  <c r="M28" i="6"/>
  <c r="DN28" i="6" s="1"/>
  <c r="K28" i="6"/>
  <c r="H28" i="6"/>
  <c r="J28" i="6" s="1"/>
  <c r="L28" i="6" s="1"/>
  <c r="M27" i="6"/>
  <c r="DN27" i="6" s="1"/>
  <c r="L27" i="6"/>
  <c r="K27" i="6"/>
  <c r="J27" i="6"/>
  <c r="H27" i="6"/>
  <c r="M26" i="6"/>
  <c r="K26" i="6" s="1"/>
  <c r="H26" i="6"/>
  <c r="J26" i="6" s="1"/>
  <c r="L26" i="6" s="1"/>
  <c r="DN25" i="6"/>
  <c r="M25" i="6"/>
  <c r="L25" i="6"/>
  <c r="K25" i="6"/>
  <c r="J25" i="6"/>
  <c r="H25" i="6"/>
  <c r="M24" i="6"/>
  <c r="L24" i="6" s="1"/>
  <c r="H24" i="6"/>
  <c r="J24" i="6" s="1"/>
  <c r="DN23" i="6"/>
  <c r="M23" i="6"/>
  <c r="H23" i="6"/>
  <c r="J23" i="6" s="1"/>
  <c r="L23" i="6" s="1"/>
  <c r="M22" i="6"/>
  <c r="K22" i="6" s="1"/>
  <c r="L22" i="6"/>
  <c r="H22" i="6"/>
  <c r="J22" i="6" s="1"/>
  <c r="M21" i="6"/>
  <c r="DN21" i="6" s="1"/>
  <c r="L21" i="6"/>
  <c r="I21" i="6"/>
  <c r="J21" i="6" s="1"/>
  <c r="H21" i="6"/>
  <c r="M20" i="6"/>
  <c r="DN20" i="6" s="1"/>
  <c r="I20" i="6"/>
  <c r="DH192" i="6" s="1"/>
  <c r="H20" i="6"/>
  <c r="K20" i="6" s="1"/>
  <c r="N18" i="6"/>
  <c r="O18" i="6" s="1"/>
  <c r="P18" i="6" s="1"/>
  <c r="Q18" i="6" s="1"/>
  <c r="R18" i="6" s="1"/>
  <c r="S18" i="6" s="1"/>
  <c r="T18" i="6" s="1"/>
  <c r="U18" i="6" s="1"/>
  <c r="V18" i="6" s="1"/>
  <c r="W18" i="6" s="1"/>
  <c r="X18" i="6" s="1"/>
  <c r="Y18" i="6" s="1"/>
  <c r="Z18" i="6" s="1"/>
  <c r="AA18" i="6" s="1"/>
  <c r="AB18" i="6" s="1"/>
  <c r="AC18" i="6" s="1"/>
  <c r="AD18" i="6" s="1"/>
  <c r="AE18" i="6" s="1"/>
  <c r="AF18" i="6" s="1"/>
  <c r="AG18" i="6" s="1"/>
  <c r="AH18" i="6" s="1"/>
  <c r="AI18" i="6" s="1"/>
  <c r="AJ18" i="6" s="1"/>
  <c r="AK18" i="6" s="1"/>
  <c r="AL18" i="6" s="1"/>
  <c r="AM18" i="6" s="1"/>
  <c r="AN18" i="6" s="1"/>
  <c r="AO18" i="6" s="1"/>
  <c r="AP18" i="6" s="1"/>
  <c r="AQ18" i="6" s="1"/>
  <c r="AR18" i="6" s="1"/>
  <c r="AS18" i="6" s="1"/>
  <c r="AT18" i="6" s="1"/>
  <c r="AU18" i="6" s="1"/>
  <c r="AV18" i="6" s="1"/>
  <c r="AW18" i="6" s="1"/>
  <c r="AX18" i="6" s="1"/>
  <c r="AY18" i="6" s="1"/>
  <c r="AZ18" i="6" s="1"/>
  <c r="BA18" i="6" s="1"/>
  <c r="BB18" i="6" s="1"/>
  <c r="BC18" i="6" s="1"/>
  <c r="BD18" i="6" s="1"/>
  <c r="BE18" i="6" s="1"/>
  <c r="BF18" i="6" s="1"/>
  <c r="BG18" i="6" s="1"/>
  <c r="BH18" i="6" s="1"/>
  <c r="BI18" i="6" s="1"/>
  <c r="BJ18" i="6" s="1"/>
  <c r="BK18" i="6" s="1"/>
  <c r="BL18" i="6" s="1"/>
  <c r="BM18" i="6" s="1"/>
  <c r="BN18" i="6" s="1"/>
  <c r="BO18" i="6" s="1"/>
  <c r="BP18" i="6" s="1"/>
  <c r="BQ18" i="6" s="1"/>
  <c r="BR18" i="6" s="1"/>
  <c r="BS18" i="6" s="1"/>
  <c r="BT18" i="6" s="1"/>
  <c r="BU18" i="6" s="1"/>
  <c r="BV18" i="6" s="1"/>
  <c r="BW18" i="6" s="1"/>
  <c r="BX18" i="6" s="1"/>
  <c r="BY18" i="6" s="1"/>
  <c r="BZ18" i="6" s="1"/>
  <c r="CA18" i="6" s="1"/>
  <c r="CB18" i="6" s="1"/>
  <c r="CC18" i="6" s="1"/>
  <c r="CD18" i="6" s="1"/>
  <c r="CE18" i="6" s="1"/>
  <c r="CF18" i="6" s="1"/>
  <c r="CG18" i="6" s="1"/>
  <c r="CH18" i="6" s="1"/>
  <c r="CI18" i="6" s="1"/>
  <c r="CJ18" i="6" s="1"/>
  <c r="CK18" i="6" s="1"/>
  <c r="CL18" i="6" s="1"/>
  <c r="CM18" i="6" s="1"/>
  <c r="CN18" i="6" s="1"/>
  <c r="CO18" i="6" s="1"/>
  <c r="CP18" i="6" s="1"/>
  <c r="CQ18" i="6" s="1"/>
  <c r="CR18" i="6" s="1"/>
  <c r="CS18" i="6" s="1"/>
  <c r="CT18" i="6" s="1"/>
  <c r="CU18" i="6" s="1"/>
  <c r="CV18" i="6" s="1"/>
  <c r="CW18" i="6" s="1"/>
  <c r="CX18" i="6" s="1"/>
  <c r="CY18" i="6" s="1"/>
  <c r="CZ18" i="6" s="1"/>
  <c r="DA18" i="6" s="1"/>
  <c r="DB18" i="6" s="1"/>
  <c r="DC18" i="6" s="1"/>
  <c r="DD18" i="6" s="1"/>
  <c r="DE18" i="6" s="1"/>
  <c r="DF18" i="6" s="1"/>
  <c r="DG18" i="6" s="1"/>
  <c r="DH18" i="6" s="1"/>
  <c r="DI18" i="6" s="1"/>
  <c r="DJ18" i="6" s="1"/>
  <c r="DK18" i="6" s="1"/>
  <c r="DL18" i="6" s="1"/>
  <c r="DM18" i="6" s="1"/>
  <c r="DK189" i="5"/>
  <c r="DI189" i="5"/>
  <c r="CV189" i="5"/>
  <c r="CU189" i="5"/>
  <c r="CM189" i="5"/>
  <c r="BW189" i="5"/>
  <c r="BU189" i="5"/>
  <c r="BM189" i="5"/>
  <c r="BE189" i="5"/>
  <c r="AU189" i="5"/>
  <c r="AS189" i="5"/>
  <c r="AR189" i="5"/>
  <c r="AM189" i="5"/>
  <c r="AC189" i="5"/>
  <c r="W189" i="5"/>
  <c r="DL186" i="5"/>
  <c r="DL189" i="5" s="1"/>
  <c r="DK186" i="5"/>
  <c r="DJ186" i="5"/>
  <c r="DJ189" i="5" s="1"/>
  <c r="DI186" i="5"/>
  <c r="DH186" i="5"/>
  <c r="DG186" i="5"/>
  <c r="DG189" i="5" s="1"/>
  <c r="DF186" i="5"/>
  <c r="DE186" i="5"/>
  <c r="DD186" i="5"/>
  <c r="DC186" i="5"/>
  <c r="DB186" i="5"/>
  <c r="DA186" i="5"/>
  <c r="CZ186" i="5"/>
  <c r="CZ189" i="5" s="1"/>
  <c r="CY186" i="5"/>
  <c r="CY189" i="5" s="1"/>
  <c r="CX186" i="5"/>
  <c r="CX189" i="5" s="1"/>
  <c r="CW186" i="5"/>
  <c r="CW189" i="5" s="1"/>
  <c r="CV186" i="5"/>
  <c r="CU186" i="5"/>
  <c r="CT186" i="5"/>
  <c r="CT189" i="5" s="1"/>
  <c r="CS186" i="5"/>
  <c r="CR186" i="5"/>
  <c r="CQ186" i="5"/>
  <c r="CP186" i="5"/>
  <c r="CO186" i="5"/>
  <c r="CN186" i="5"/>
  <c r="CM186" i="5"/>
  <c r="CL186" i="5"/>
  <c r="CL189" i="5" s="1"/>
  <c r="CK186" i="5"/>
  <c r="CK189" i="5" s="1"/>
  <c r="CJ186" i="5"/>
  <c r="CJ189" i="5" s="1"/>
  <c r="CI186" i="5"/>
  <c r="CI189" i="5" s="1"/>
  <c r="CH186" i="5"/>
  <c r="CH189" i="5" s="1"/>
  <c r="CG186" i="5"/>
  <c r="CG189" i="5" s="1"/>
  <c r="CF186" i="5"/>
  <c r="CE186" i="5"/>
  <c r="CD186" i="5"/>
  <c r="CC186" i="5"/>
  <c r="CB186" i="5"/>
  <c r="CA186" i="5"/>
  <c r="BZ186" i="5"/>
  <c r="BY186" i="5"/>
  <c r="BX186" i="5"/>
  <c r="BX189" i="5" s="1"/>
  <c r="BW186" i="5"/>
  <c r="BV186" i="5"/>
  <c r="BV189" i="5" s="1"/>
  <c r="BU186" i="5"/>
  <c r="BT186" i="5"/>
  <c r="BT189" i="5" s="1"/>
  <c r="BS186" i="5"/>
  <c r="BS189" i="5" s="1"/>
  <c r="BR186" i="5"/>
  <c r="BQ186" i="5"/>
  <c r="BP186" i="5"/>
  <c r="BO186" i="5"/>
  <c r="BN186" i="5"/>
  <c r="BM186" i="5"/>
  <c r="BL186" i="5"/>
  <c r="BK186" i="5"/>
  <c r="BJ186" i="5"/>
  <c r="BJ189" i="5" s="1"/>
  <c r="BI186" i="5"/>
  <c r="BI189" i="5" s="1"/>
  <c r="BH186" i="5"/>
  <c r="BH189" i="5" s="1"/>
  <c r="BG186" i="5"/>
  <c r="BG189" i="5" s="1"/>
  <c r="BF186" i="5"/>
  <c r="BF189" i="5" s="1"/>
  <c r="BE186" i="5"/>
  <c r="BD186" i="5"/>
  <c r="BD189" i="5" s="1"/>
  <c r="BC186" i="5"/>
  <c r="BB186" i="5"/>
  <c r="BA186" i="5"/>
  <c r="AZ186" i="5"/>
  <c r="AY186" i="5"/>
  <c r="AX186" i="5"/>
  <c r="AW186" i="5"/>
  <c r="AV186" i="5"/>
  <c r="AV189" i="5" s="1"/>
  <c r="AU186" i="5"/>
  <c r="AT186" i="5"/>
  <c r="AT189" i="5" s="1"/>
  <c r="AS186" i="5"/>
  <c r="AR186" i="5"/>
  <c r="AQ186" i="5"/>
  <c r="AQ189" i="5" s="1"/>
  <c r="AP186" i="5"/>
  <c r="AO186" i="5"/>
  <c r="AN186" i="5"/>
  <c r="AM186" i="5"/>
  <c r="AL186" i="5"/>
  <c r="AK186" i="5"/>
  <c r="AK189" i="5" s="1"/>
  <c r="AJ186" i="5"/>
  <c r="AI186" i="5"/>
  <c r="AH186" i="5"/>
  <c r="AH189" i="5" s="1"/>
  <c r="AG186" i="5"/>
  <c r="AG189" i="5" s="1"/>
  <c r="AF186" i="5"/>
  <c r="AF189" i="5" s="1"/>
  <c r="AE186" i="5"/>
  <c r="AE189" i="5" s="1"/>
  <c r="AD186" i="5"/>
  <c r="AD189" i="5" s="1"/>
  <c r="AC186" i="5"/>
  <c r="AB186" i="5"/>
  <c r="AB189" i="5" s="1"/>
  <c r="AA186" i="5"/>
  <c r="AA189" i="5" s="1"/>
  <c r="Z186" i="5"/>
  <c r="Y186" i="5"/>
  <c r="X186" i="5"/>
  <c r="W186" i="5"/>
  <c r="V186" i="5"/>
  <c r="U186" i="5"/>
  <c r="T186" i="5"/>
  <c r="T189" i="5" s="1"/>
  <c r="S186" i="5"/>
  <c r="S189" i="5" s="1"/>
  <c r="R186" i="5"/>
  <c r="R189" i="5" s="1"/>
  <c r="Q186" i="5"/>
  <c r="Q189" i="5" s="1"/>
  <c r="P186" i="5"/>
  <c r="P189" i="5" s="1"/>
  <c r="O186" i="5"/>
  <c r="O189" i="5" s="1"/>
  <c r="N186" i="5"/>
  <c r="M186" i="5"/>
  <c r="L185" i="5"/>
  <c r="K185" i="5" s="1"/>
  <c r="J185" i="5"/>
  <c r="L184" i="5"/>
  <c r="K184" i="5"/>
  <c r="J184" i="5"/>
  <c r="L183" i="5"/>
  <c r="K183" i="5"/>
  <c r="J183" i="5"/>
  <c r="L182" i="5"/>
  <c r="K182" i="5" s="1"/>
  <c r="J182" i="5"/>
  <c r="L181" i="5"/>
  <c r="K181" i="5"/>
  <c r="J181" i="5"/>
  <c r="L180" i="5"/>
  <c r="K180" i="5"/>
  <c r="J180" i="5"/>
  <c r="L179" i="5"/>
  <c r="K179" i="5"/>
  <c r="J179" i="5"/>
  <c r="L178" i="5"/>
  <c r="K178" i="5"/>
  <c r="J178" i="5"/>
  <c r="L177" i="5"/>
  <c r="K177" i="5" s="1"/>
  <c r="J177" i="5"/>
  <c r="L176" i="5"/>
  <c r="K176" i="5"/>
  <c r="J176" i="5"/>
  <c r="L175" i="5"/>
  <c r="K175" i="5"/>
  <c r="J175" i="5"/>
  <c r="L174" i="5"/>
  <c r="K174" i="5"/>
  <c r="J174" i="5"/>
  <c r="L173" i="5"/>
  <c r="K173" i="5"/>
  <c r="J173" i="5"/>
  <c r="L172" i="5"/>
  <c r="K172" i="5"/>
  <c r="J172" i="5"/>
  <c r="L171" i="5"/>
  <c r="K171" i="5"/>
  <c r="J171" i="5"/>
  <c r="L170" i="5"/>
  <c r="K170" i="5" s="1"/>
  <c r="J170" i="5"/>
  <c r="L169" i="5"/>
  <c r="K169" i="5"/>
  <c r="J169" i="5"/>
  <c r="L168" i="5"/>
  <c r="K168" i="5" s="1"/>
  <c r="J168" i="5"/>
  <c r="L167" i="5"/>
  <c r="K167" i="5" s="1"/>
  <c r="J167" i="5"/>
  <c r="L166" i="5"/>
  <c r="K166" i="5" s="1"/>
  <c r="J166" i="5"/>
  <c r="L165" i="5"/>
  <c r="K165" i="5" s="1"/>
  <c r="J165" i="5"/>
  <c r="L164" i="5"/>
  <c r="K164" i="5"/>
  <c r="J164" i="5"/>
  <c r="L163" i="5"/>
  <c r="K163" i="5" s="1"/>
  <c r="J163" i="5"/>
  <c r="L162" i="5"/>
  <c r="K162" i="5" s="1"/>
  <c r="J162" i="5"/>
  <c r="L161" i="5"/>
  <c r="K161" i="5" s="1"/>
  <c r="J161" i="5"/>
  <c r="L160" i="5"/>
  <c r="K160" i="5"/>
  <c r="J160" i="5"/>
  <c r="L159" i="5"/>
  <c r="K159" i="5"/>
  <c r="J159" i="5"/>
  <c r="L158" i="5"/>
  <c r="K158" i="5" s="1"/>
  <c r="J158" i="5"/>
  <c r="L157" i="5"/>
  <c r="K157" i="5"/>
  <c r="J157" i="5"/>
  <c r="L156" i="5"/>
  <c r="J156" i="5"/>
  <c r="DL152" i="5"/>
  <c r="DK152" i="5"/>
  <c r="DJ152" i="5"/>
  <c r="DI152" i="5"/>
  <c r="DH152" i="5"/>
  <c r="DG152" i="5"/>
  <c r="DF152" i="5"/>
  <c r="DF189" i="5" s="1"/>
  <c r="DE152" i="5"/>
  <c r="DD152" i="5"/>
  <c r="DC152" i="5"/>
  <c r="DB152" i="5"/>
  <c r="DA152" i="5"/>
  <c r="CZ152" i="5"/>
  <c r="CY152" i="5"/>
  <c r="CX152" i="5"/>
  <c r="CW152" i="5"/>
  <c r="CV152" i="5"/>
  <c r="CU152" i="5"/>
  <c r="CT152" i="5"/>
  <c r="CS152" i="5"/>
  <c r="CR152" i="5"/>
  <c r="CR189" i="5" s="1"/>
  <c r="CQ152" i="5"/>
  <c r="CP152" i="5"/>
  <c r="CO152" i="5"/>
  <c r="CN152" i="5"/>
  <c r="CN189" i="5" s="1"/>
  <c r="CM152" i="5"/>
  <c r="CL152" i="5"/>
  <c r="CK152" i="5"/>
  <c r="CJ152" i="5"/>
  <c r="CI152" i="5"/>
  <c r="CH152" i="5"/>
  <c r="CG152" i="5"/>
  <c r="CF152" i="5"/>
  <c r="CE152" i="5"/>
  <c r="CE189" i="5" s="1"/>
  <c r="CD152" i="5"/>
  <c r="CD189" i="5" s="1"/>
  <c r="CC152" i="5"/>
  <c r="CB152" i="5"/>
  <c r="CA152" i="5"/>
  <c r="BZ152" i="5"/>
  <c r="BY152" i="5"/>
  <c r="BY189" i="5" s="1"/>
  <c r="BX152" i="5"/>
  <c r="BW152" i="5"/>
  <c r="BV152" i="5"/>
  <c r="BU152" i="5"/>
  <c r="BT152" i="5"/>
  <c r="BS152" i="5"/>
  <c r="BR152" i="5"/>
  <c r="BQ152" i="5"/>
  <c r="BP152" i="5"/>
  <c r="BP189" i="5" s="1"/>
  <c r="BO152" i="5"/>
  <c r="BN152" i="5"/>
  <c r="BM152" i="5"/>
  <c r="BL152" i="5"/>
  <c r="BK152" i="5"/>
  <c r="BJ152" i="5"/>
  <c r="BI152" i="5"/>
  <c r="BH152" i="5"/>
  <c r="BG152" i="5"/>
  <c r="BF152" i="5"/>
  <c r="BE152" i="5"/>
  <c r="BD152" i="5"/>
  <c r="BC152" i="5"/>
  <c r="BB152" i="5"/>
  <c r="BB189" i="5" s="1"/>
  <c r="BA152" i="5"/>
  <c r="AZ152" i="5"/>
  <c r="AY152" i="5"/>
  <c r="AX152" i="5"/>
  <c r="AX189" i="5" s="1"/>
  <c r="AW152" i="5"/>
  <c r="AV152" i="5"/>
  <c r="AU152" i="5"/>
  <c r="AT152" i="5"/>
  <c r="AS152" i="5"/>
  <c r="AR152" i="5"/>
  <c r="AQ152" i="5"/>
  <c r="AP152" i="5"/>
  <c r="AO152" i="5"/>
  <c r="AN152" i="5"/>
  <c r="AN189" i="5" s="1"/>
  <c r="AM152" i="5"/>
  <c r="AL152" i="5"/>
  <c r="AK152" i="5"/>
  <c r="AJ152" i="5"/>
  <c r="AI152" i="5"/>
  <c r="AH152" i="5"/>
  <c r="AG152" i="5"/>
  <c r="AF152" i="5"/>
  <c r="AE152" i="5"/>
  <c r="AD152" i="5"/>
  <c r="AC152" i="5"/>
  <c r="AB152" i="5"/>
  <c r="AA152" i="5"/>
  <c r="Z152" i="5"/>
  <c r="Z189" i="5" s="1"/>
  <c r="Y152" i="5"/>
  <c r="X152" i="5"/>
  <c r="W152" i="5"/>
  <c r="V152" i="5"/>
  <c r="V189" i="5" s="1"/>
  <c r="U152" i="5"/>
  <c r="T152" i="5"/>
  <c r="S152" i="5"/>
  <c r="R152" i="5"/>
  <c r="Q152" i="5"/>
  <c r="P152" i="5"/>
  <c r="O152" i="5"/>
  <c r="N152" i="5"/>
  <c r="M152" i="5"/>
  <c r="L152" i="5"/>
  <c r="L151" i="5"/>
  <c r="K151" i="5"/>
  <c r="J151" i="5"/>
  <c r="L150" i="5"/>
  <c r="K150" i="5" s="1"/>
  <c r="J150" i="5"/>
  <c r="L149" i="5"/>
  <c r="K149" i="5" s="1"/>
  <c r="J149" i="5"/>
  <c r="L148" i="5"/>
  <c r="K148" i="5"/>
  <c r="J148" i="5"/>
  <c r="L147" i="5"/>
  <c r="K147" i="5" s="1"/>
  <c r="J147" i="5"/>
  <c r="L146" i="5"/>
  <c r="K146" i="5" s="1"/>
  <c r="J146" i="5"/>
  <c r="L145" i="5"/>
  <c r="K145" i="5" s="1"/>
  <c r="J145" i="5"/>
  <c r="L144" i="5"/>
  <c r="K144" i="5" s="1"/>
  <c r="J144" i="5"/>
  <c r="L143" i="5"/>
  <c r="K143" i="5"/>
  <c r="J143" i="5"/>
  <c r="L142" i="5"/>
  <c r="K142" i="5"/>
  <c r="J142" i="5"/>
  <c r="L141" i="5"/>
  <c r="K141" i="5"/>
  <c r="J141" i="5"/>
  <c r="L140" i="5"/>
  <c r="K140" i="5" s="1"/>
  <c r="J140" i="5"/>
  <c r="L139" i="5"/>
  <c r="K139" i="5"/>
  <c r="J139" i="5"/>
  <c r="L138" i="5"/>
  <c r="K138" i="5" s="1"/>
  <c r="J138" i="5"/>
  <c r="L137" i="5"/>
  <c r="K137" i="5"/>
  <c r="J137" i="5"/>
  <c r="L136" i="5"/>
  <c r="K136" i="5"/>
  <c r="J136" i="5"/>
  <c r="L135" i="5"/>
  <c r="K135" i="5"/>
  <c r="J135" i="5"/>
  <c r="L134" i="5"/>
  <c r="K134" i="5"/>
  <c r="J134" i="5"/>
  <c r="L133" i="5"/>
  <c r="K133" i="5" s="1"/>
  <c r="J133" i="5"/>
  <c r="L132" i="5"/>
  <c r="K132" i="5" s="1"/>
  <c r="J132" i="5"/>
  <c r="L131" i="5"/>
  <c r="K131" i="5"/>
  <c r="J131" i="5"/>
  <c r="L130" i="5"/>
  <c r="K130" i="5"/>
  <c r="J130" i="5"/>
  <c r="L129" i="5"/>
  <c r="K129" i="5"/>
  <c r="J129" i="5"/>
  <c r="L128" i="5"/>
  <c r="K128" i="5"/>
  <c r="J128" i="5"/>
  <c r="L127" i="5"/>
  <c r="K127" i="5" s="1"/>
  <c r="J127" i="5"/>
  <c r="L126" i="5"/>
  <c r="K126" i="5" s="1"/>
  <c r="J126" i="5"/>
  <c r="L125" i="5"/>
  <c r="K125" i="5" s="1"/>
  <c r="J125" i="5"/>
  <c r="L124" i="5"/>
  <c r="K124" i="5"/>
  <c r="J124" i="5"/>
  <c r="L123" i="5"/>
  <c r="K123" i="5"/>
  <c r="J123" i="5"/>
  <c r="L122" i="5"/>
  <c r="K122" i="5"/>
  <c r="J122" i="5"/>
  <c r="DL118" i="5"/>
  <c r="DK118" i="5"/>
  <c r="DJ118" i="5"/>
  <c r="DI118" i="5"/>
  <c r="DH118" i="5"/>
  <c r="DG118" i="5"/>
  <c r="DF118" i="5"/>
  <c r="DE118" i="5"/>
  <c r="DD118" i="5"/>
  <c r="DC118" i="5"/>
  <c r="DB118" i="5"/>
  <c r="DA118" i="5"/>
  <c r="CZ118" i="5"/>
  <c r="CY118" i="5"/>
  <c r="CX118" i="5"/>
  <c r="CW118" i="5"/>
  <c r="CV118" i="5"/>
  <c r="CU118" i="5"/>
  <c r="CT118" i="5"/>
  <c r="CS118" i="5"/>
  <c r="CR118" i="5"/>
  <c r="CQ118" i="5"/>
  <c r="CP118" i="5"/>
  <c r="CO118" i="5"/>
  <c r="CN118" i="5"/>
  <c r="CM118" i="5"/>
  <c r="CL118" i="5"/>
  <c r="CK118" i="5"/>
  <c r="CJ118" i="5"/>
  <c r="CI118" i="5"/>
  <c r="CH118" i="5"/>
  <c r="CG118" i="5"/>
  <c r="CF118" i="5"/>
  <c r="CE118" i="5"/>
  <c r="CD118" i="5"/>
  <c r="CC118" i="5"/>
  <c r="CB118" i="5"/>
  <c r="CA118" i="5"/>
  <c r="BZ118" i="5"/>
  <c r="BY118" i="5"/>
  <c r="BX118" i="5"/>
  <c r="BW118" i="5"/>
  <c r="BV118" i="5"/>
  <c r="BU118" i="5"/>
  <c r="BT118" i="5"/>
  <c r="BS118" i="5"/>
  <c r="BR118" i="5"/>
  <c r="BQ118" i="5"/>
  <c r="BP118" i="5"/>
  <c r="BO118" i="5"/>
  <c r="BN118" i="5"/>
  <c r="BM118" i="5"/>
  <c r="BL118" i="5"/>
  <c r="BK118" i="5"/>
  <c r="BJ118" i="5"/>
  <c r="BI118" i="5"/>
  <c r="BH118" i="5"/>
  <c r="BG118" i="5"/>
  <c r="BF118" i="5"/>
  <c r="BE118" i="5"/>
  <c r="BD118" i="5"/>
  <c r="BC118" i="5"/>
  <c r="BB118" i="5"/>
  <c r="BA118" i="5"/>
  <c r="AZ118" i="5"/>
  <c r="AY118" i="5"/>
  <c r="AX118" i="5"/>
  <c r="AW118" i="5"/>
  <c r="AV118" i="5"/>
  <c r="AU118" i="5"/>
  <c r="AT118" i="5"/>
  <c r="AS118" i="5"/>
  <c r="AR118" i="5"/>
  <c r="AQ118" i="5"/>
  <c r="AP118" i="5"/>
  <c r="AO118" i="5"/>
  <c r="AN118" i="5"/>
  <c r="AM118" i="5"/>
  <c r="AL118" i="5"/>
  <c r="AK118" i="5"/>
  <c r="AJ118" i="5"/>
  <c r="AI118" i="5"/>
  <c r="AH118" i="5"/>
  <c r="AG118" i="5"/>
  <c r="AF118" i="5"/>
  <c r="AE118" i="5"/>
  <c r="AD118" i="5"/>
  <c r="AC118" i="5"/>
  <c r="AB118" i="5"/>
  <c r="AA118" i="5"/>
  <c r="Z118" i="5"/>
  <c r="Y118" i="5"/>
  <c r="X118" i="5"/>
  <c r="W118" i="5"/>
  <c r="V118" i="5"/>
  <c r="U118" i="5"/>
  <c r="T118" i="5"/>
  <c r="S118" i="5"/>
  <c r="R118" i="5"/>
  <c r="Q118" i="5"/>
  <c r="P118" i="5"/>
  <c r="O118" i="5"/>
  <c r="N118" i="5"/>
  <c r="M118" i="5"/>
  <c r="L117" i="5"/>
  <c r="K117" i="5" s="1"/>
  <c r="J117" i="5"/>
  <c r="L116" i="5"/>
  <c r="K116" i="5" s="1"/>
  <c r="J116" i="5"/>
  <c r="L115" i="5"/>
  <c r="K115" i="5" s="1"/>
  <c r="J115" i="5"/>
  <c r="L114" i="5"/>
  <c r="K114" i="5" s="1"/>
  <c r="J114" i="5"/>
  <c r="L113" i="5"/>
  <c r="K113" i="5" s="1"/>
  <c r="J113" i="5"/>
  <c r="L112" i="5"/>
  <c r="K112" i="5"/>
  <c r="J112" i="5"/>
  <c r="L111" i="5"/>
  <c r="K111" i="5" s="1"/>
  <c r="J111" i="5"/>
  <c r="L110" i="5"/>
  <c r="K110" i="5" s="1"/>
  <c r="J110" i="5"/>
  <c r="L109" i="5"/>
  <c r="K109" i="5" s="1"/>
  <c r="J109" i="5"/>
  <c r="L108" i="5"/>
  <c r="K108" i="5"/>
  <c r="J108" i="5"/>
  <c r="L107" i="5"/>
  <c r="K107" i="5" s="1"/>
  <c r="J107" i="5"/>
  <c r="L106" i="5"/>
  <c r="K106" i="5"/>
  <c r="J106" i="5"/>
  <c r="L105" i="5"/>
  <c r="K105" i="5" s="1"/>
  <c r="J105" i="5"/>
  <c r="L104" i="5"/>
  <c r="K104" i="5" s="1"/>
  <c r="J104" i="5"/>
  <c r="L103" i="5"/>
  <c r="K103" i="5"/>
  <c r="J103" i="5"/>
  <c r="L102" i="5"/>
  <c r="K102" i="5" s="1"/>
  <c r="J102" i="5"/>
  <c r="L101" i="5"/>
  <c r="K101" i="5"/>
  <c r="J101" i="5"/>
  <c r="L100" i="5"/>
  <c r="K100" i="5" s="1"/>
  <c r="J100" i="5"/>
  <c r="L99" i="5"/>
  <c r="K99" i="5"/>
  <c r="J99" i="5"/>
  <c r="L98" i="5"/>
  <c r="K98" i="5" s="1"/>
  <c r="J98" i="5"/>
  <c r="L97" i="5"/>
  <c r="K97" i="5" s="1"/>
  <c r="J97" i="5"/>
  <c r="L96" i="5"/>
  <c r="K96" i="5"/>
  <c r="J96" i="5"/>
  <c r="L95" i="5"/>
  <c r="K95" i="5"/>
  <c r="J95" i="5"/>
  <c r="L94" i="5"/>
  <c r="K94" i="5"/>
  <c r="J94" i="5"/>
  <c r="L93" i="5"/>
  <c r="L118" i="5" s="1"/>
  <c r="J93" i="5"/>
  <c r="L92" i="5"/>
  <c r="K92" i="5" s="1"/>
  <c r="J92" i="5"/>
  <c r="L91" i="5"/>
  <c r="K91" i="5" s="1"/>
  <c r="J91" i="5"/>
  <c r="L90" i="5"/>
  <c r="K90" i="5" s="1"/>
  <c r="J90" i="5"/>
  <c r="L89" i="5"/>
  <c r="K89" i="5"/>
  <c r="J89" i="5"/>
  <c r="L88" i="5"/>
  <c r="K88" i="5"/>
  <c r="J88" i="5"/>
  <c r="L83" i="5"/>
  <c r="K83" i="5"/>
  <c r="L82" i="5"/>
  <c r="K82" i="5"/>
  <c r="L81" i="5"/>
  <c r="K81" i="5" s="1"/>
  <c r="L80" i="5"/>
  <c r="K80" i="5" s="1"/>
  <c r="L79" i="5"/>
  <c r="K79" i="5" s="1"/>
  <c r="L78" i="5"/>
  <c r="K78" i="5"/>
  <c r="L77" i="5"/>
  <c r="K77" i="5" s="1"/>
  <c r="L76" i="5"/>
  <c r="K76" i="5" s="1"/>
  <c r="L75" i="5"/>
  <c r="K75" i="5"/>
  <c r="L74" i="5"/>
  <c r="K74" i="5"/>
  <c r="M72" i="5"/>
  <c r="N72" i="5" s="1"/>
  <c r="DL70" i="5"/>
  <c r="DK70" i="5"/>
  <c r="DJ70" i="5"/>
  <c r="DI70" i="5"/>
  <c r="DH70" i="5"/>
  <c r="DG70" i="5"/>
  <c r="DF70" i="5"/>
  <c r="DE70" i="5"/>
  <c r="DD70" i="5"/>
  <c r="DC70" i="5"/>
  <c r="DB70" i="5"/>
  <c r="DA70" i="5"/>
  <c r="CZ70" i="5"/>
  <c r="CY70" i="5"/>
  <c r="CX70" i="5"/>
  <c r="CW70" i="5"/>
  <c r="CV70" i="5"/>
  <c r="CU70" i="5"/>
  <c r="CT70" i="5"/>
  <c r="CS70" i="5"/>
  <c r="CR70" i="5"/>
  <c r="CQ70" i="5"/>
  <c r="CP70" i="5"/>
  <c r="CO70" i="5"/>
  <c r="CN70" i="5"/>
  <c r="CM70" i="5"/>
  <c r="CL70" i="5"/>
  <c r="CK70" i="5"/>
  <c r="CJ70" i="5"/>
  <c r="CI70" i="5"/>
  <c r="CH70" i="5"/>
  <c r="CG70" i="5"/>
  <c r="CF70" i="5"/>
  <c r="CE70" i="5"/>
  <c r="CD70" i="5"/>
  <c r="CC70" i="5"/>
  <c r="CB70" i="5"/>
  <c r="CB189" i="5" s="1"/>
  <c r="CA70" i="5"/>
  <c r="BZ70" i="5"/>
  <c r="BY70" i="5"/>
  <c r="BX70" i="5"/>
  <c r="BW70" i="5"/>
  <c r="BV70" i="5"/>
  <c r="BU70" i="5"/>
  <c r="BT70" i="5"/>
  <c r="BS70" i="5"/>
  <c r="BR70" i="5"/>
  <c r="BQ70" i="5"/>
  <c r="BP70" i="5"/>
  <c r="BO70" i="5"/>
  <c r="BN70" i="5"/>
  <c r="BN189" i="5" s="1"/>
  <c r="BM70" i="5"/>
  <c r="BL70" i="5"/>
  <c r="BK70" i="5"/>
  <c r="BJ70" i="5"/>
  <c r="BI70" i="5"/>
  <c r="BH70" i="5"/>
  <c r="BG70" i="5"/>
  <c r="BF70" i="5"/>
  <c r="BE70" i="5"/>
  <c r="BD70" i="5"/>
  <c r="BC70" i="5"/>
  <c r="BB70" i="5"/>
  <c r="BA70" i="5"/>
  <c r="AZ70" i="5"/>
  <c r="AY70" i="5"/>
  <c r="AY189" i="5" s="1"/>
  <c r="AX70" i="5"/>
  <c r="AW70" i="5"/>
  <c r="AV70" i="5"/>
  <c r="AU70" i="5"/>
  <c r="AT70" i="5"/>
  <c r="AS70" i="5"/>
  <c r="AR70" i="5"/>
  <c r="AQ70" i="5"/>
  <c r="AP70" i="5"/>
  <c r="AO70" i="5"/>
  <c r="AN70" i="5"/>
  <c r="AM70" i="5"/>
  <c r="AL70" i="5"/>
  <c r="AL189" i="5" s="1"/>
  <c r="AK70" i="5"/>
  <c r="AJ70" i="5"/>
  <c r="AI70" i="5"/>
  <c r="AH70" i="5"/>
  <c r="AG70" i="5"/>
  <c r="AF70" i="5"/>
  <c r="AE70" i="5"/>
  <c r="AD70" i="5"/>
  <c r="AC70" i="5"/>
  <c r="AB70" i="5"/>
  <c r="AA70" i="5"/>
  <c r="Z70" i="5"/>
  <c r="Y70" i="5"/>
  <c r="X70" i="5"/>
  <c r="W70" i="5"/>
  <c r="V70" i="5"/>
  <c r="U70" i="5"/>
  <c r="T70" i="5"/>
  <c r="S70" i="5"/>
  <c r="R70" i="5"/>
  <c r="Q70" i="5"/>
  <c r="P70" i="5"/>
  <c r="O70" i="5"/>
  <c r="N70" i="5"/>
  <c r="M70" i="5"/>
  <c r="M84" i="5" s="1"/>
  <c r="DM69" i="5"/>
  <c r="L69" i="5"/>
  <c r="J69" i="5"/>
  <c r="H69" i="5"/>
  <c r="L68" i="5"/>
  <c r="DM68" i="5" s="1"/>
  <c r="H68" i="5"/>
  <c r="J68" i="5" s="1"/>
  <c r="L67" i="5"/>
  <c r="DM67" i="5" s="1"/>
  <c r="H67" i="5"/>
  <c r="J67" i="5" s="1"/>
  <c r="DM66" i="5"/>
  <c r="L66" i="5"/>
  <c r="H66" i="5"/>
  <c r="J66" i="5" s="1"/>
  <c r="L65" i="5"/>
  <c r="DM65" i="5" s="1"/>
  <c r="J65" i="5"/>
  <c r="H65" i="5"/>
  <c r="L64" i="5"/>
  <c r="H64" i="5"/>
  <c r="L63" i="5"/>
  <c r="DM63" i="5" s="1"/>
  <c r="H63" i="5"/>
  <c r="J63" i="5" s="1"/>
  <c r="L62" i="5"/>
  <c r="DM62" i="5" s="1"/>
  <c r="J62" i="5"/>
  <c r="H62" i="5"/>
  <c r="L61" i="5"/>
  <c r="DM61" i="5" s="1"/>
  <c r="H61" i="5"/>
  <c r="J61" i="5" s="1"/>
  <c r="DM60" i="5"/>
  <c r="L60" i="5"/>
  <c r="H60" i="5"/>
  <c r="DM59" i="5"/>
  <c r="L59" i="5"/>
  <c r="H59" i="5"/>
  <c r="J59" i="5" s="1"/>
  <c r="L58" i="5"/>
  <c r="DM58" i="5" s="1"/>
  <c r="J58" i="5"/>
  <c r="H58" i="5"/>
  <c r="L57" i="5"/>
  <c r="DM57" i="5" s="1"/>
  <c r="J57" i="5"/>
  <c r="H57" i="5"/>
  <c r="L56" i="5"/>
  <c r="DM56" i="5" s="1"/>
  <c r="H56" i="5"/>
  <c r="J56" i="5" s="1"/>
  <c r="L55" i="5"/>
  <c r="DM55" i="5" s="1"/>
  <c r="H55" i="5"/>
  <c r="J55" i="5" s="1"/>
  <c r="L54" i="5"/>
  <c r="DM54" i="5" s="1"/>
  <c r="H54" i="5"/>
  <c r="J54" i="5" s="1"/>
  <c r="DM53" i="5"/>
  <c r="L53" i="5"/>
  <c r="H53" i="5"/>
  <c r="J53" i="5" s="1"/>
  <c r="DM52" i="5"/>
  <c r="L52" i="5"/>
  <c r="H52" i="5"/>
  <c r="L51" i="5"/>
  <c r="DM51" i="5" s="1"/>
  <c r="H51" i="5"/>
  <c r="J51" i="5" s="1"/>
  <c r="L50" i="5"/>
  <c r="DM50" i="5" s="1"/>
  <c r="H50" i="5"/>
  <c r="L49" i="5"/>
  <c r="DM49" i="5" s="1"/>
  <c r="J49" i="5"/>
  <c r="H49" i="5"/>
  <c r="DM48" i="5"/>
  <c r="L48" i="5"/>
  <c r="J48" i="5"/>
  <c r="H48" i="5"/>
  <c r="L47" i="5"/>
  <c r="DM47" i="5" s="1"/>
  <c r="H47" i="5"/>
  <c r="J47" i="5" s="1"/>
  <c r="DM46" i="5"/>
  <c r="L46" i="5"/>
  <c r="J46" i="5" s="1"/>
  <c r="H46" i="5"/>
  <c r="DM45" i="5"/>
  <c r="L45" i="5"/>
  <c r="H45" i="5"/>
  <c r="L44" i="5"/>
  <c r="DM44" i="5" s="1"/>
  <c r="H44" i="5"/>
  <c r="J44" i="5" s="1"/>
  <c r="L43" i="5"/>
  <c r="DM43" i="5" s="1"/>
  <c r="H43" i="5"/>
  <c r="L42" i="5"/>
  <c r="DM42" i="5" s="1"/>
  <c r="J42" i="5"/>
  <c r="H42" i="5"/>
  <c r="DM41" i="5"/>
  <c r="L41" i="5"/>
  <c r="J41" i="5"/>
  <c r="H41" i="5"/>
  <c r="L40" i="5"/>
  <c r="DM40" i="5" s="1"/>
  <c r="H40" i="5"/>
  <c r="J40" i="5" s="1"/>
  <c r="DM39" i="5"/>
  <c r="L39" i="5"/>
  <c r="J39" i="5" s="1"/>
  <c r="H39" i="5"/>
  <c r="DM38" i="5"/>
  <c r="L38" i="5"/>
  <c r="H38" i="5"/>
  <c r="L37" i="5"/>
  <c r="DM37" i="5" s="1"/>
  <c r="H37" i="5"/>
  <c r="J37" i="5" s="1"/>
  <c r="L36" i="5"/>
  <c r="DM36" i="5" s="1"/>
  <c r="H36" i="5"/>
  <c r="L35" i="5"/>
  <c r="DM35" i="5" s="1"/>
  <c r="H35" i="5"/>
  <c r="J35" i="5" s="1"/>
  <c r="DM34" i="5"/>
  <c r="L34" i="5"/>
  <c r="J34" i="5"/>
  <c r="H34" i="5"/>
  <c r="L33" i="5"/>
  <c r="DM33" i="5" s="1"/>
  <c r="H33" i="5"/>
  <c r="J33" i="5" s="1"/>
  <c r="DM32" i="5"/>
  <c r="L32" i="5"/>
  <c r="J32" i="5" s="1"/>
  <c r="H32" i="5"/>
  <c r="DM31" i="5"/>
  <c r="L31" i="5"/>
  <c r="H31" i="5"/>
  <c r="L30" i="5"/>
  <c r="DM30" i="5" s="1"/>
  <c r="H30" i="5"/>
  <c r="J30" i="5" s="1"/>
  <c r="L29" i="5"/>
  <c r="DM29" i="5" s="1"/>
  <c r="H29" i="5"/>
  <c r="L28" i="5"/>
  <c r="DM28" i="5" s="1"/>
  <c r="H28" i="5"/>
  <c r="J28" i="5" s="1"/>
  <c r="DM27" i="5"/>
  <c r="L27" i="5"/>
  <c r="J27" i="5"/>
  <c r="H27" i="5"/>
  <c r="L26" i="5"/>
  <c r="DM26" i="5" s="1"/>
  <c r="H26" i="5"/>
  <c r="J26" i="5" s="1"/>
  <c r="DM25" i="5"/>
  <c r="L25" i="5"/>
  <c r="J25" i="5" s="1"/>
  <c r="H25" i="5"/>
  <c r="DM24" i="5"/>
  <c r="L24" i="5"/>
  <c r="H24" i="5"/>
  <c r="L23" i="5"/>
  <c r="DM23" i="5" s="1"/>
  <c r="H23" i="5"/>
  <c r="J23" i="5" s="1"/>
  <c r="L22" i="5"/>
  <c r="DM22" i="5" s="1"/>
  <c r="H22" i="5"/>
  <c r="L21" i="5"/>
  <c r="DM21" i="5" s="1"/>
  <c r="H21" i="5"/>
  <c r="J21" i="5" s="1"/>
  <c r="DM20" i="5"/>
  <c r="L20" i="5"/>
  <c r="J20" i="5"/>
  <c r="H20" i="5"/>
  <c r="S18" i="5"/>
  <c r="T18" i="5" s="1"/>
  <c r="U18" i="5" s="1"/>
  <c r="V18" i="5" s="1"/>
  <c r="W18" i="5" s="1"/>
  <c r="X18" i="5" s="1"/>
  <c r="Y18" i="5" s="1"/>
  <c r="Z18" i="5" s="1"/>
  <c r="AA18" i="5" s="1"/>
  <c r="AB18" i="5" s="1"/>
  <c r="AC18" i="5" s="1"/>
  <c r="AD18" i="5" s="1"/>
  <c r="AE18" i="5" s="1"/>
  <c r="AF18" i="5" s="1"/>
  <c r="AG18" i="5" s="1"/>
  <c r="AH18" i="5" s="1"/>
  <c r="AI18" i="5" s="1"/>
  <c r="AJ18" i="5" s="1"/>
  <c r="AK18" i="5" s="1"/>
  <c r="AL18" i="5" s="1"/>
  <c r="AM18" i="5" s="1"/>
  <c r="AN18" i="5" s="1"/>
  <c r="AO18" i="5" s="1"/>
  <c r="AP18" i="5" s="1"/>
  <c r="AQ18" i="5" s="1"/>
  <c r="AR18" i="5" s="1"/>
  <c r="AS18" i="5" s="1"/>
  <c r="AT18" i="5" s="1"/>
  <c r="AU18" i="5" s="1"/>
  <c r="AV18" i="5" s="1"/>
  <c r="AW18" i="5" s="1"/>
  <c r="AX18" i="5" s="1"/>
  <c r="AY18" i="5" s="1"/>
  <c r="AZ18" i="5" s="1"/>
  <c r="BA18" i="5" s="1"/>
  <c r="BB18" i="5" s="1"/>
  <c r="BC18" i="5" s="1"/>
  <c r="BD18" i="5" s="1"/>
  <c r="BE18" i="5" s="1"/>
  <c r="BF18" i="5" s="1"/>
  <c r="BG18" i="5" s="1"/>
  <c r="BH18" i="5" s="1"/>
  <c r="BI18" i="5" s="1"/>
  <c r="BJ18" i="5" s="1"/>
  <c r="BK18" i="5" s="1"/>
  <c r="BL18" i="5" s="1"/>
  <c r="BM18" i="5" s="1"/>
  <c r="BN18" i="5" s="1"/>
  <c r="BO18" i="5" s="1"/>
  <c r="BP18" i="5" s="1"/>
  <c r="BQ18" i="5" s="1"/>
  <c r="BR18" i="5" s="1"/>
  <c r="BS18" i="5" s="1"/>
  <c r="BT18" i="5" s="1"/>
  <c r="BU18" i="5" s="1"/>
  <c r="BV18" i="5" s="1"/>
  <c r="BW18" i="5" s="1"/>
  <c r="BX18" i="5" s="1"/>
  <c r="BY18" i="5" s="1"/>
  <c r="BZ18" i="5" s="1"/>
  <c r="CA18" i="5" s="1"/>
  <c r="CB18" i="5" s="1"/>
  <c r="CC18" i="5" s="1"/>
  <c r="CD18" i="5" s="1"/>
  <c r="CE18" i="5" s="1"/>
  <c r="CF18" i="5" s="1"/>
  <c r="CG18" i="5" s="1"/>
  <c r="CH18" i="5" s="1"/>
  <c r="CI18" i="5" s="1"/>
  <c r="CJ18" i="5" s="1"/>
  <c r="CK18" i="5" s="1"/>
  <c r="CL18" i="5" s="1"/>
  <c r="CM18" i="5" s="1"/>
  <c r="CN18" i="5" s="1"/>
  <c r="CO18" i="5" s="1"/>
  <c r="CP18" i="5" s="1"/>
  <c r="CQ18" i="5" s="1"/>
  <c r="CR18" i="5" s="1"/>
  <c r="CS18" i="5" s="1"/>
  <c r="CT18" i="5" s="1"/>
  <c r="CU18" i="5" s="1"/>
  <c r="CV18" i="5" s="1"/>
  <c r="CW18" i="5" s="1"/>
  <c r="CX18" i="5" s="1"/>
  <c r="CY18" i="5" s="1"/>
  <c r="CZ18" i="5" s="1"/>
  <c r="DA18" i="5" s="1"/>
  <c r="DB18" i="5" s="1"/>
  <c r="DC18" i="5" s="1"/>
  <c r="DD18" i="5" s="1"/>
  <c r="DE18" i="5" s="1"/>
  <c r="DF18" i="5" s="1"/>
  <c r="DG18" i="5" s="1"/>
  <c r="DH18" i="5" s="1"/>
  <c r="DI18" i="5" s="1"/>
  <c r="DJ18" i="5" s="1"/>
  <c r="DK18" i="5" s="1"/>
  <c r="DL18" i="5" s="1"/>
  <c r="M18" i="5"/>
  <c r="N18" i="5" s="1"/>
  <c r="O18" i="5" s="1"/>
  <c r="P18" i="5" s="1"/>
  <c r="Q18" i="5" s="1"/>
  <c r="R18" i="5" s="1"/>
  <c r="B11" i="1"/>
  <c r="B3" i="1"/>
  <c r="L154" i="6" l="1"/>
  <c r="M189" i="5"/>
  <c r="BC189" i="5"/>
  <c r="K93" i="5"/>
  <c r="K118" i="5" s="1"/>
  <c r="L186" i="5"/>
  <c r="K156" i="5"/>
  <c r="K186" i="5" s="1"/>
  <c r="L92" i="6"/>
  <c r="U189" i="5"/>
  <c r="AI189" i="5"/>
  <c r="DA189" i="5"/>
  <c r="X189" i="5"/>
  <c r="AJ189" i="5"/>
  <c r="DB189" i="5"/>
  <c r="J57" i="6"/>
  <c r="L57" i="6" s="1"/>
  <c r="K57" i="6"/>
  <c r="J62" i="6"/>
  <c r="L62" i="6" s="1"/>
  <c r="J22" i="5"/>
  <c r="J70" i="5" s="1"/>
  <c r="J29" i="5"/>
  <c r="J36" i="5"/>
  <c r="J43" i="5"/>
  <c r="J50" i="5"/>
  <c r="L70" i="5"/>
  <c r="Y189" i="5"/>
  <c r="BA189" i="5"/>
  <c r="BO189" i="5"/>
  <c r="CQ189" i="5"/>
  <c r="AZ189" i="5"/>
  <c r="CC189" i="5"/>
  <c r="DN24" i="6"/>
  <c r="DN70" i="6" s="1"/>
  <c r="B26" i="1" s="1"/>
  <c r="K24" i="6"/>
  <c r="K36" i="6"/>
  <c r="J36" i="6"/>
  <c r="L36" i="6" s="1"/>
  <c r="K188" i="6"/>
  <c r="AO189" i="5"/>
  <c r="CS189" i="5"/>
  <c r="K84" i="5"/>
  <c r="F10" i="5" s="1"/>
  <c r="N189" i="5"/>
  <c r="AP189" i="5"/>
  <c r="BR189" i="5"/>
  <c r="CF189" i="5"/>
  <c r="DH189" i="5"/>
  <c r="L84" i="6"/>
  <c r="F10" i="6" s="1"/>
  <c r="B18" i="1" s="1"/>
  <c r="K154" i="6"/>
  <c r="M188" i="6"/>
  <c r="DN45" i="6"/>
  <c r="K45" i="6"/>
  <c r="K33" i="6"/>
  <c r="K63" i="6"/>
  <c r="J63" i="6"/>
  <c r="L63" i="6" s="1"/>
  <c r="BQ189" i="5"/>
  <c r="J50" i="6"/>
  <c r="L50" i="6" s="1"/>
  <c r="K68" i="6"/>
  <c r="J68" i="6"/>
  <c r="L68" i="6" s="1"/>
  <c r="K69" i="6"/>
  <c r="J69" i="6"/>
  <c r="L69" i="6" s="1"/>
  <c r="J52" i="5"/>
  <c r="J60" i="5"/>
  <c r="J152" i="5"/>
  <c r="J60" i="6"/>
  <c r="L60" i="6" s="1"/>
  <c r="K60" i="6"/>
  <c r="J24" i="5"/>
  <c r="J31" i="5"/>
  <c r="J38" i="5"/>
  <c r="J45" i="5"/>
  <c r="DM64" i="5"/>
  <c r="DM70" i="5" s="1"/>
  <c r="J64" i="5"/>
  <c r="O72" i="5"/>
  <c r="N84" i="5"/>
  <c r="K152" i="5"/>
  <c r="DN22" i="6"/>
  <c r="DN42" i="6"/>
  <c r="K42" i="6"/>
  <c r="J47" i="6"/>
  <c r="L47" i="6" s="1"/>
  <c r="K65" i="6"/>
  <c r="J65" i="6"/>
  <c r="L65" i="6" s="1"/>
  <c r="DC189" i="5"/>
  <c r="AF192" i="6"/>
  <c r="BH192" i="6"/>
  <c r="K46" i="6"/>
  <c r="J46" i="6"/>
  <c r="L46" i="6" s="1"/>
  <c r="K49" i="6"/>
  <c r="AM192" i="6"/>
  <c r="BV192" i="6"/>
  <c r="J43" i="6"/>
  <c r="L43" i="6" s="1"/>
  <c r="L59" i="6"/>
  <c r="AN192" i="6"/>
  <c r="CD192" i="6"/>
  <c r="K56" i="6"/>
  <c r="J56" i="6"/>
  <c r="L56" i="6" s="1"/>
  <c r="S191" i="6"/>
  <c r="AG191" i="6"/>
  <c r="BW191" i="6"/>
  <c r="CK191" i="6"/>
  <c r="DM191" i="6"/>
  <c r="AO192" i="6"/>
  <c r="CE192" i="6"/>
  <c r="BB192" i="6"/>
  <c r="AW189" i="5"/>
  <c r="BK189" i="5"/>
  <c r="J20" i="6"/>
  <c r="L20" i="6" s="1"/>
  <c r="K41" i="6"/>
  <c r="J41" i="6"/>
  <c r="L41" i="6" s="1"/>
  <c r="S72" i="6"/>
  <c r="T72" i="6" s="1"/>
  <c r="L159" i="6"/>
  <c r="L188" i="6" s="1"/>
  <c r="AZ191" i="6"/>
  <c r="CP191" i="6"/>
  <c r="Q192" i="6"/>
  <c r="BC192" i="6"/>
  <c r="DG192" i="6"/>
  <c r="DF192" i="6"/>
  <c r="BZ189" i="5"/>
  <c r="K23" i="6"/>
  <c r="J32" i="6"/>
  <c r="L32" i="6" s="1"/>
  <c r="J38" i="6"/>
  <c r="L38" i="6" s="1"/>
  <c r="K38" i="6"/>
  <c r="L120" i="6"/>
  <c r="Y191" i="6"/>
  <c r="AM191" i="6"/>
  <c r="BA191" i="6"/>
  <c r="BO191" i="6"/>
  <c r="CC191" i="6"/>
  <c r="CQ191" i="6"/>
  <c r="DE191" i="6"/>
  <c r="R192" i="6"/>
  <c r="BD192" i="6"/>
  <c r="DB192" i="6"/>
  <c r="CN192" i="6"/>
  <c r="BZ192" i="6"/>
  <c r="BL192" i="6"/>
  <c r="AX192" i="6"/>
  <c r="AJ192" i="6"/>
  <c r="V192" i="6"/>
  <c r="DA192" i="6"/>
  <c r="CM192" i="6"/>
  <c r="BY192" i="6"/>
  <c r="BK192" i="6"/>
  <c r="AW192" i="6"/>
  <c r="AI192" i="6"/>
  <c r="U192" i="6"/>
  <c r="CZ192" i="6"/>
  <c r="CL192" i="6"/>
  <c r="BX192" i="6"/>
  <c r="BJ192" i="6"/>
  <c r="AV192" i="6"/>
  <c r="AH192" i="6"/>
  <c r="T192" i="6"/>
  <c r="DM192" i="6"/>
  <c r="CY192" i="6"/>
  <c r="CK192" i="6"/>
  <c r="BW192" i="6"/>
  <c r="BI192" i="6"/>
  <c r="AU192" i="6"/>
  <c r="AG192" i="6"/>
  <c r="S192" i="6"/>
  <c r="DJ192" i="6"/>
  <c r="DI192" i="6"/>
  <c r="DE192" i="6"/>
  <c r="CQ192" i="6"/>
  <c r="DD192" i="6"/>
  <c r="CP192" i="6"/>
  <c r="CB192" i="6"/>
  <c r="BN192" i="6"/>
  <c r="DC192" i="6"/>
  <c r="CO192" i="6"/>
  <c r="CA192" i="6"/>
  <c r="CR192" i="6"/>
  <c r="BQ192" i="6"/>
  <c r="AT192" i="6"/>
  <c r="AB192" i="6"/>
  <c r="CJ192" i="6"/>
  <c r="BP192" i="6"/>
  <c r="AS192" i="6"/>
  <c r="AA192" i="6"/>
  <c r="DL192" i="6"/>
  <c r="CH192" i="6"/>
  <c r="BM192" i="6"/>
  <c r="AQ192" i="6"/>
  <c r="Y192" i="6"/>
  <c r="DK192" i="6"/>
  <c r="CG192" i="6"/>
  <c r="CX192" i="6"/>
  <c r="CC192" i="6"/>
  <c r="CW192" i="6"/>
  <c r="CV192" i="6"/>
  <c r="CU192" i="6"/>
  <c r="BT192" i="6"/>
  <c r="BA192" i="6"/>
  <c r="AE192" i="6"/>
  <c r="CT192" i="6"/>
  <c r="BS192" i="6"/>
  <c r="AZ192" i="6"/>
  <c r="AD192" i="6"/>
  <c r="CS192" i="6"/>
  <c r="BR192" i="6"/>
  <c r="AY192" i="6"/>
  <c r="AC192" i="6"/>
  <c r="N84" i="6"/>
  <c r="BL189" i="5"/>
  <c r="CA189" i="5"/>
  <c r="CO189" i="5"/>
  <c r="J35" i="6"/>
  <c r="L35" i="6" s="1"/>
  <c r="K51" i="6"/>
  <c r="J51" i="6"/>
  <c r="L51" i="6" s="1"/>
  <c r="M70" i="6"/>
  <c r="I120" i="6"/>
  <c r="Z191" i="6"/>
  <c r="AN191" i="6"/>
  <c r="BB191" i="6"/>
  <c r="BP191" i="6"/>
  <c r="CD191" i="6"/>
  <c r="CR191" i="6"/>
  <c r="DF191" i="6"/>
  <c r="W192" i="6"/>
  <c r="BE192" i="6"/>
  <c r="CP189" i="5"/>
  <c r="DD189" i="5"/>
  <c r="DN26" i="6"/>
  <c r="J48" i="6"/>
  <c r="L48" i="6" s="1"/>
  <c r="K61" i="6"/>
  <c r="J61" i="6"/>
  <c r="L61" i="6" s="1"/>
  <c r="AA191" i="6"/>
  <c r="AO191" i="6"/>
  <c r="BC191" i="6"/>
  <c r="BQ191" i="6"/>
  <c r="CE191" i="6"/>
  <c r="CS191" i="6"/>
  <c r="DG191" i="6"/>
  <c r="X192" i="6"/>
  <c r="BF192" i="6"/>
  <c r="P192" i="6"/>
  <c r="J186" i="5"/>
  <c r="DE189" i="5"/>
  <c r="K21" i="6"/>
  <c r="K70" i="6" s="1"/>
  <c r="L64" i="6"/>
  <c r="M154" i="6"/>
  <c r="N191" i="6"/>
  <c r="AB191" i="6"/>
  <c r="AP191" i="6"/>
  <c r="BD191" i="6"/>
  <c r="BR191" i="6"/>
  <c r="CF191" i="6"/>
  <c r="CT191" i="6"/>
  <c r="DH191" i="6"/>
  <c r="Z192" i="6"/>
  <c r="BG192" i="6"/>
  <c r="L54" i="6"/>
  <c r="AJ191" i="6"/>
  <c r="K31" i="6"/>
  <c r="CN191" i="6"/>
  <c r="J66" i="6"/>
  <c r="L66" i="6" s="1"/>
  <c r="J118" i="5" l="1"/>
  <c r="J10" i="5" s="1"/>
  <c r="F11" i="5"/>
  <c r="B3" i="5"/>
  <c r="N10" i="5" s="1"/>
  <c r="L10" i="6"/>
  <c r="B29" i="1" s="1"/>
  <c r="F13" i="6"/>
  <c r="B21" i="1" s="1"/>
  <c r="K120" i="6"/>
  <c r="J10" i="6" s="1"/>
  <c r="B27" i="1" s="1"/>
  <c r="F11" i="6"/>
  <c r="B19" i="1" s="1"/>
  <c r="L189" i="5"/>
  <c r="K10" i="5"/>
  <c r="F12" i="5"/>
  <c r="F15" i="5" s="1"/>
  <c r="M191" i="6"/>
  <c r="B16" i="1" s="1"/>
  <c r="K10" i="6"/>
  <c r="B28" i="1" s="1"/>
  <c r="F12" i="6"/>
  <c r="B20" i="1" s="1"/>
  <c r="T84" i="6"/>
  <c r="L70" i="6"/>
  <c r="L191" i="6" s="1"/>
  <c r="I10" i="6" s="1"/>
  <c r="B25" i="1" s="1"/>
  <c r="U84" i="6"/>
  <c r="U72" i="6"/>
  <c r="P72" i="5"/>
  <c r="O84" i="5"/>
  <c r="L10" i="5"/>
  <c r="F13" i="5"/>
  <c r="H10" i="5" l="1"/>
  <c r="F16" i="5"/>
  <c r="P84" i="5"/>
  <c r="Q72" i="5"/>
  <c r="V72" i="6"/>
  <c r="V84" i="6"/>
  <c r="A3" i="6"/>
  <c r="F9" i="6"/>
  <c r="H10" i="6"/>
  <c r="B24" i="1" s="1"/>
  <c r="B3" i="6" l="1"/>
  <c r="F15" i="6"/>
  <c r="B17" i="1"/>
  <c r="Q84" i="5"/>
  <c r="R72" i="5"/>
  <c r="M10" i="6"/>
  <c r="B30" i="1"/>
  <c r="W72" i="6"/>
  <c r="W84" i="6"/>
  <c r="I64" i="5"/>
  <c r="K64" i="5" s="1"/>
  <c r="I57" i="5"/>
  <c r="K57" i="5" s="1"/>
  <c r="I50" i="5"/>
  <c r="K50" i="5" s="1"/>
  <c r="I43" i="5"/>
  <c r="K43" i="5" s="1"/>
  <c r="I36" i="5"/>
  <c r="K36" i="5" s="1"/>
  <c r="I29" i="5"/>
  <c r="K29" i="5" s="1"/>
  <c r="I22" i="5"/>
  <c r="K22" i="5" s="1"/>
  <c r="I68" i="5"/>
  <c r="K68" i="5" s="1"/>
  <c r="I66" i="5"/>
  <c r="K66" i="5" s="1"/>
  <c r="I59" i="5"/>
  <c r="K59" i="5" s="1"/>
  <c r="I52" i="5"/>
  <c r="K52" i="5" s="1"/>
  <c r="I45" i="5"/>
  <c r="K45" i="5" s="1"/>
  <c r="I38" i="5"/>
  <c r="K38" i="5" s="1"/>
  <c r="I31" i="5"/>
  <c r="K31" i="5" s="1"/>
  <c r="I24" i="5"/>
  <c r="K24" i="5" s="1"/>
  <c r="I47" i="5"/>
  <c r="K47" i="5" s="1"/>
  <c r="I40" i="5"/>
  <c r="K40" i="5" s="1"/>
  <c r="I33" i="5"/>
  <c r="K33" i="5" s="1"/>
  <c r="I54" i="5"/>
  <c r="K54" i="5" s="1"/>
  <c r="I61" i="5"/>
  <c r="K61" i="5" s="1"/>
  <c r="I26" i="5"/>
  <c r="K26" i="5" s="1"/>
  <c r="I65" i="5"/>
  <c r="K65" i="5" s="1"/>
  <c r="I58" i="5"/>
  <c r="K58" i="5" s="1"/>
  <c r="I51" i="5"/>
  <c r="K51" i="5" s="1"/>
  <c r="I67" i="5"/>
  <c r="K67" i="5" s="1"/>
  <c r="I60" i="5"/>
  <c r="K60" i="5" s="1"/>
  <c r="I53" i="5"/>
  <c r="K53" i="5" s="1"/>
  <c r="I46" i="5"/>
  <c r="K46" i="5" s="1"/>
  <c r="I39" i="5"/>
  <c r="K39" i="5" s="1"/>
  <c r="I32" i="5"/>
  <c r="K32" i="5" s="1"/>
  <c r="I25" i="5"/>
  <c r="K25" i="5" s="1"/>
  <c r="I69" i="5"/>
  <c r="K69" i="5" s="1"/>
  <c r="I56" i="5"/>
  <c r="K56" i="5" s="1"/>
  <c r="I48" i="5"/>
  <c r="K48" i="5" s="1"/>
  <c r="I41" i="5"/>
  <c r="K41" i="5" s="1"/>
  <c r="I34" i="5"/>
  <c r="K34" i="5" s="1"/>
  <c r="I27" i="5"/>
  <c r="K27" i="5" s="1"/>
  <c r="I20" i="5"/>
  <c r="I37" i="5"/>
  <c r="K37" i="5" s="1"/>
  <c r="I30" i="5"/>
  <c r="K30" i="5" s="1"/>
  <c r="I44" i="5"/>
  <c r="K44" i="5" s="1"/>
  <c r="I23" i="5"/>
  <c r="K23" i="5" s="1"/>
  <c r="I63" i="5"/>
  <c r="K63" i="5" s="1"/>
  <c r="I35" i="5"/>
  <c r="K35" i="5" s="1"/>
  <c r="I28" i="5"/>
  <c r="K28" i="5" s="1"/>
  <c r="I21" i="5"/>
  <c r="K21" i="5" s="1"/>
  <c r="I62" i="5"/>
  <c r="K62" i="5" s="1"/>
  <c r="I55" i="5"/>
  <c r="K55" i="5" s="1"/>
  <c r="I49" i="5"/>
  <c r="K49" i="5" s="1"/>
  <c r="I42" i="5"/>
  <c r="K42" i="5" s="1"/>
  <c r="X72" i="6" l="1"/>
  <c r="X84" i="6"/>
  <c r="R84" i="5"/>
  <c r="S72" i="5"/>
  <c r="B22" i="1"/>
  <c r="F16" i="6"/>
  <c r="B23" i="1" s="1"/>
  <c r="DF190" i="5"/>
  <c r="CR190" i="5"/>
  <c r="CD190" i="5"/>
  <c r="BP190" i="5"/>
  <c r="BB190" i="5"/>
  <c r="AN190" i="5"/>
  <c r="Z190" i="5"/>
  <c r="DG190" i="5"/>
  <c r="CQ190" i="5"/>
  <c r="CB190" i="5"/>
  <c r="BM190" i="5"/>
  <c r="AX190" i="5"/>
  <c r="AI190" i="5"/>
  <c r="T190" i="5"/>
  <c r="DE190" i="5"/>
  <c r="CP190" i="5"/>
  <c r="CA190" i="5"/>
  <c r="BL190" i="5"/>
  <c r="AW190" i="5"/>
  <c r="AH190" i="5"/>
  <c r="S190" i="5"/>
  <c r="DC190" i="5"/>
  <c r="CN190" i="5"/>
  <c r="BY190" i="5"/>
  <c r="BJ190" i="5"/>
  <c r="AU190" i="5"/>
  <c r="AF190" i="5"/>
  <c r="DH190" i="5"/>
  <c r="CS190" i="5"/>
  <c r="CU190" i="5"/>
  <c r="BX190" i="5"/>
  <c r="BF190" i="5"/>
  <c r="AM190" i="5"/>
  <c r="U190" i="5"/>
  <c r="CT190" i="5"/>
  <c r="BW190" i="5"/>
  <c r="BE190" i="5"/>
  <c r="AL190" i="5"/>
  <c r="R190" i="5"/>
  <c r="DL190" i="5"/>
  <c r="CO190" i="5"/>
  <c r="BV190" i="5"/>
  <c r="BD190" i="5"/>
  <c r="AK190" i="5"/>
  <c r="Q190" i="5"/>
  <c r="BC190" i="5"/>
  <c r="P190" i="5"/>
  <c r="DK190" i="5"/>
  <c r="CM190" i="5"/>
  <c r="BU190" i="5"/>
  <c r="AJ190" i="5"/>
  <c r="DJ190" i="5"/>
  <c r="CL190" i="5"/>
  <c r="BT190" i="5"/>
  <c r="BA190" i="5"/>
  <c r="AG190" i="5"/>
  <c r="O190" i="5"/>
  <c r="DA190" i="5"/>
  <c r="CH190" i="5"/>
  <c r="BO190" i="5"/>
  <c r="AT190" i="5"/>
  <c r="AB190" i="5"/>
  <c r="CZ190" i="5"/>
  <c r="CG190" i="5"/>
  <c r="BN190" i="5"/>
  <c r="AS190" i="5"/>
  <c r="AA190" i="5"/>
  <c r="CY190" i="5"/>
  <c r="CF190" i="5"/>
  <c r="BK190" i="5"/>
  <c r="AR190" i="5"/>
  <c r="Y190" i="5"/>
  <c r="K20" i="5"/>
  <c r="K70" i="5" s="1"/>
  <c r="CV190" i="5"/>
  <c r="BZ190" i="5"/>
  <c r="BG190" i="5"/>
  <c r="AO190" i="5"/>
  <c r="V190" i="5"/>
  <c r="DB190" i="5"/>
  <c r="AY190" i="5"/>
  <c r="CX190" i="5"/>
  <c r="AV190" i="5"/>
  <c r="CW190" i="5"/>
  <c r="AQ190" i="5"/>
  <c r="CI190" i="5"/>
  <c r="CE190" i="5"/>
  <c r="X190" i="5"/>
  <c r="CK190" i="5"/>
  <c r="AP190" i="5"/>
  <c r="AD190" i="5"/>
  <c r="CJ190" i="5"/>
  <c r="AE190" i="5"/>
  <c r="BS190" i="5"/>
  <c r="W190" i="5"/>
  <c r="BR190" i="5"/>
  <c r="N190" i="5"/>
  <c r="BH190" i="5"/>
  <c r="BQ190" i="5"/>
  <c r="M190" i="5"/>
  <c r="DI190" i="5"/>
  <c r="BI190" i="5"/>
  <c r="AC190" i="5"/>
  <c r="DD190" i="5"/>
  <c r="AZ190" i="5"/>
  <c r="CC190" i="5"/>
  <c r="N10" i="6"/>
  <c r="B31" i="1"/>
  <c r="A3" i="5" l="1"/>
  <c r="M10" i="5" s="1"/>
  <c r="K189" i="5"/>
  <c r="I10" i="5" s="1"/>
  <c r="T72" i="5"/>
  <c r="S84" i="5"/>
  <c r="Y72" i="6"/>
  <c r="Y84" i="6"/>
  <c r="Z72" i="6" l="1"/>
  <c r="Z84" i="6"/>
  <c r="U72" i="5"/>
  <c r="T84" i="5"/>
  <c r="V72" i="5" l="1"/>
  <c r="U84" i="5"/>
  <c r="AA72" i="6"/>
  <c r="AA84" i="6"/>
  <c r="AB84" i="6" l="1"/>
  <c r="AB72" i="6"/>
  <c r="W72" i="5"/>
  <c r="V84" i="5"/>
  <c r="X72" i="5" l="1"/>
  <c r="W84" i="5"/>
  <c r="AC72" i="6"/>
  <c r="AC84" i="6"/>
  <c r="AD84" i="6" l="1"/>
  <c r="AD72" i="6"/>
  <c r="Y72" i="5"/>
  <c r="X84" i="5"/>
  <c r="Z72" i="5" l="1"/>
  <c r="Y84" i="5"/>
  <c r="AE72" i="6"/>
  <c r="AE84" i="6"/>
  <c r="AF72" i="6" l="1"/>
  <c r="AF84" i="6"/>
  <c r="AA72" i="5"/>
  <c r="Z84" i="5"/>
  <c r="AB72" i="5" l="1"/>
  <c r="AA84" i="5"/>
  <c r="AG72" i="6"/>
  <c r="AG84" i="6"/>
  <c r="AH72" i="6" l="1"/>
  <c r="AH84" i="6"/>
  <c r="AC72" i="5"/>
  <c r="AB84" i="5"/>
  <c r="AC84" i="5" l="1"/>
  <c r="AD72" i="5"/>
  <c r="AI72" i="6"/>
  <c r="AI84" i="6"/>
  <c r="AJ72" i="6" l="1"/>
  <c r="AJ84" i="6"/>
  <c r="AD84" i="5"/>
  <c r="AE72" i="5"/>
  <c r="AF72" i="5" l="1"/>
  <c r="AE84" i="5"/>
  <c r="AK72" i="6"/>
  <c r="AK84" i="6"/>
  <c r="AL72" i="6" l="1"/>
  <c r="AL84" i="6"/>
  <c r="AF84" i="5"/>
  <c r="AG72" i="5"/>
  <c r="AH72" i="5" l="1"/>
  <c r="AG84" i="5"/>
  <c r="AM72" i="6"/>
  <c r="AM84" i="6"/>
  <c r="AN72" i="6" l="1"/>
  <c r="AN84" i="6"/>
  <c r="AI72" i="5"/>
  <c r="AH84" i="5"/>
  <c r="AJ72" i="5" l="1"/>
  <c r="AI84" i="5"/>
  <c r="AO72" i="6"/>
  <c r="AO84" i="6"/>
  <c r="AP72" i="6" l="1"/>
  <c r="AP84" i="6"/>
  <c r="AK72" i="5"/>
  <c r="AJ84" i="5"/>
  <c r="AL72" i="5" l="1"/>
  <c r="AK84" i="5"/>
  <c r="AQ84" i="6"/>
  <c r="AQ72" i="6"/>
  <c r="AR72" i="6" l="1"/>
  <c r="AR84" i="6"/>
  <c r="AM72" i="5"/>
  <c r="AL84" i="5"/>
  <c r="AN72" i="5" l="1"/>
  <c r="AM84" i="5"/>
  <c r="AS84" i="6"/>
  <c r="AS72" i="6"/>
  <c r="AT84" i="6" l="1"/>
  <c r="AT72" i="6"/>
  <c r="AO72" i="5"/>
  <c r="AN84" i="5"/>
  <c r="AP72" i="5" l="1"/>
  <c r="AO84" i="5"/>
  <c r="AU72" i="6"/>
  <c r="AU84" i="6"/>
  <c r="AV72" i="6" l="1"/>
  <c r="AV84" i="6"/>
  <c r="AQ72" i="5"/>
  <c r="AP84" i="5"/>
  <c r="AR72" i="5" l="1"/>
  <c r="AQ84" i="5"/>
  <c r="AW72" i="6"/>
  <c r="AW84" i="6"/>
  <c r="AX72" i="6" l="1"/>
  <c r="AX84" i="6"/>
  <c r="AS72" i="5"/>
  <c r="AR84" i="5"/>
  <c r="AT72" i="5" l="1"/>
  <c r="AS84" i="5"/>
  <c r="AY72" i="6"/>
  <c r="AY84" i="6"/>
  <c r="AZ72" i="6" l="1"/>
  <c r="AZ84" i="6"/>
  <c r="AU72" i="5"/>
  <c r="AT84" i="5"/>
  <c r="AV72" i="5" l="1"/>
  <c r="AU84" i="5"/>
  <c r="BA72" i="6"/>
  <c r="BA84" i="6"/>
  <c r="BB72" i="6" l="1"/>
  <c r="BB84" i="6"/>
  <c r="AW72" i="5"/>
  <c r="AV84" i="5"/>
  <c r="AX72" i="5" l="1"/>
  <c r="AW84" i="5"/>
  <c r="BC72" i="6"/>
  <c r="BC84" i="6"/>
  <c r="BD72" i="6" l="1"/>
  <c r="BD84" i="6"/>
  <c r="AY72" i="5"/>
  <c r="AX84" i="5"/>
  <c r="AZ72" i="5" l="1"/>
  <c r="AY84" i="5"/>
  <c r="BE72" i="6"/>
  <c r="BE84" i="6"/>
  <c r="BF84" i="6" l="1"/>
  <c r="BF72" i="6"/>
  <c r="BA72" i="5"/>
  <c r="AZ84" i="5"/>
  <c r="BG84" i="6" l="1"/>
  <c r="BG72" i="6"/>
  <c r="BB72" i="5"/>
  <c r="BA84" i="5"/>
  <c r="BC72" i="5" l="1"/>
  <c r="BB84" i="5"/>
  <c r="BH84" i="6"/>
  <c r="BH72" i="6"/>
  <c r="BI84" i="6" l="1"/>
  <c r="BI72" i="6"/>
  <c r="BD72" i="5"/>
  <c r="BC84" i="5"/>
  <c r="BE72" i="5" l="1"/>
  <c r="BD84" i="5"/>
  <c r="BJ72" i="6"/>
  <c r="BJ84" i="6"/>
  <c r="BK72" i="6" l="1"/>
  <c r="BK84" i="6"/>
  <c r="BE84" i="5"/>
  <c r="BF72" i="5"/>
  <c r="BF84" i="5" l="1"/>
  <c r="BG72" i="5"/>
  <c r="BL72" i="6"/>
  <c r="BL84" i="6"/>
  <c r="BH72" i="5" l="1"/>
  <c r="BG84" i="5"/>
  <c r="BM72" i="6"/>
  <c r="BM84" i="6"/>
  <c r="BN72" i="6" l="1"/>
  <c r="BN84" i="6"/>
  <c r="BI72" i="5"/>
  <c r="BH84" i="5"/>
  <c r="BJ72" i="5" l="1"/>
  <c r="BI84" i="5"/>
  <c r="BO72" i="6"/>
  <c r="BO84" i="6"/>
  <c r="BP72" i="6" l="1"/>
  <c r="BP84" i="6"/>
  <c r="BK72" i="5"/>
  <c r="BJ84" i="5"/>
  <c r="BL72" i="5" l="1"/>
  <c r="BK84" i="5"/>
  <c r="BQ72" i="6"/>
  <c r="BQ84" i="6"/>
  <c r="BR84" i="6" l="1"/>
  <c r="BR72" i="6"/>
  <c r="BM72" i="5"/>
  <c r="BL84" i="5"/>
  <c r="BN72" i="5" l="1"/>
  <c r="BM84" i="5"/>
  <c r="BS72" i="6"/>
  <c r="BS84" i="6"/>
  <c r="BT72" i="6" l="1"/>
  <c r="BT84" i="6"/>
  <c r="BO72" i="5"/>
  <c r="BN84" i="5"/>
  <c r="BP72" i="5" l="1"/>
  <c r="BO84" i="5"/>
  <c r="BU72" i="6"/>
  <c r="BU84" i="6"/>
  <c r="BV84" i="6" l="1"/>
  <c r="BV72" i="6"/>
  <c r="BQ72" i="5"/>
  <c r="BP84" i="5"/>
  <c r="BQ84" i="5" l="1"/>
  <c r="BR72" i="5"/>
  <c r="BW84" i="6"/>
  <c r="BW72" i="6"/>
  <c r="BS72" i="5" l="1"/>
  <c r="BR84" i="5"/>
  <c r="BX72" i="6"/>
  <c r="BX84" i="6"/>
  <c r="BY84" i="6" l="1"/>
  <c r="BY72" i="6"/>
  <c r="BT72" i="5"/>
  <c r="BS84" i="5"/>
  <c r="BT84" i="5" l="1"/>
  <c r="BU72" i="5"/>
  <c r="BZ72" i="6"/>
  <c r="BZ84" i="6"/>
  <c r="CA72" i="6" l="1"/>
  <c r="CA84" i="6"/>
  <c r="BU84" i="5"/>
  <c r="BV72" i="5"/>
  <c r="BW72" i="5" l="1"/>
  <c r="BV84" i="5"/>
  <c r="CB72" i="6"/>
  <c r="CB84" i="6"/>
  <c r="CC72" i="6" l="1"/>
  <c r="CC84" i="6"/>
  <c r="BX72" i="5"/>
  <c r="BW84" i="5"/>
  <c r="BY72" i="5" l="1"/>
  <c r="BX84" i="5"/>
  <c r="CD72" i="6"/>
  <c r="CD84" i="6"/>
  <c r="CE72" i="6" l="1"/>
  <c r="CE84" i="6"/>
  <c r="BZ72" i="5"/>
  <c r="BY84" i="5"/>
  <c r="CA72" i="5" l="1"/>
  <c r="BZ84" i="5"/>
  <c r="CF84" i="6"/>
  <c r="CF72" i="6"/>
  <c r="CG84" i="6" l="1"/>
  <c r="CG72" i="6"/>
  <c r="CB72" i="5"/>
  <c r="CA84" i="5"/>
  <c r="CC72" i="5" l="1"/>
  <c r="CB84" i="5"/>
  <c r="CH84" i="6"/>
  <c r="CH72" i="6"/>
  <c r="CI72" i="6" l="1"/>
  <c r="CI84" i="6"/>
  <c r="CD72" i="5"/>
  <c r="CC84" i="5"/>
  <c r="CE72" i="5" l="1"/>
  <c r="CD84" i="5"/>
  <c r="CJ84" i="6"/>
  <c r="CJ72" i="6"/>
  <c r="CK72" i="6" l="1"/>
  <c r="CK84" i="6"/>
  <c r="CE84" i="5"/>
  <c r="CF72" i="5"/>
  <c r="CF84" i="5" l="1"/>
  <c r="CG72" i="5"/>
  <c r="CL72" i="6"/>
  <c r="CL84" i="6"/>
  <c r="CM72" i="6" l="1"/>
  <c r="CM84" i="6"/>
  <c r="CG84" i="5"/>
  <c r="CH72" i="5"/>
  <c r="CI72" i="5" l="1"/>
  <c r="CH84" i="5"/>
  <c r="CN72" i="6"/>
  <c r="CN84" i="6"/>
  <c r="CO72" i="6" l="1"/>
  <c r="CO84" i="6"/>
  <c r="CJ72" i="5"/>
  <c r="CI84" i="5"/>
  <c r="CK72" i="5" l="1"/>
  <c r="CJ84" i="5"/>
  <c r="CP72" i="6"/>
  <c r="CP84" i="6"/>
  <c r="CQ72" i="6" l="1"/>
  <c r="CQ84" i="6"/>
  <c r="CL72" i="5"/>
  <c r="CK84" i="5"/>
  <c r="CM72" i="5" l="1"/>
  <c r="CL84" i="5"/>
  <c r="CR72" i="6"/>
  <c r="CR84" i="6"/>
  <c r="CS72" i="6" l="1"/>
  <c r="CS84" i="6"/>
  <c r="CN72" i="5"/>
  <c r="CM84" i="5"/>
  <c r="CO72" i="5" l="1"/>
  <c r="CN84" i="5"/>
  <c r="CT72" i="6"/>
  <c r="CT84" i="6"/>
  <c r="CU72" i="6" l="1"/>
  <c r="CU84" i="6"/>
  <c r="CP72" i="5"/>
  <c r="CO84" i="5"/>
  <c r="CQ72" i="5" l="1"/>
  <c r="CP84" i="5"/>
  <c r="CV84" i="6"/>
  <c r="CV72" i="6"/>
  <c r="CW72" i="6" l="1"/>
  <c r="CW84" i="6"/>
  <c r="CR72" i="5"/>
  <c r="CQ84" i="5"/>
  <c r="CS72" i="5" l="1"/>
  <c r="CR84" i="5"/>
  <c r="CX84" i="6"/>
  <c r="CX72" i="6"/>
  <c r="CY84" i="6" l="1"/>
  <c r="CY72" i="6"/>
  <c r="CT72" i="5"/>
  <c r="CS84" i="5"/>
  <c r="CU72" i="5" l="1"/>
  <c r="CT84" i="5"/>
  <c r="CZ72" i="6"/>
  <c r="CZ84" i="6"/>
  <c r="DA72" i="6" l="1"/>
  <c r="DA84" i="6"/>
  <c r="CV72" i="5"/>
  <c r="CU84" i="5"/>
  <c r="CV84" i="5" l="1"/>
  <c r="CW72" i="5"/>
  <c r="DB72" i="6"/>
  <c r="DB84" i="6"/>
  <c r="DC72" i="6" l="1"/>
  <c r="DC84" i="6"/>
  <c r="CW84" i="5"/>
  <c r="CX72" i="5"/>
  <c r="CX84" i="5" l="1"/>
  <c r="CY72" i="5"/>
  <c r="DD72" i="6"/>
  <c r="DD84" i="6"/>
  <c r="DE72" i="6" l="1"/>
  <c r="DE84" i="6"/>
  <c r="CZ72" i="5"/>
  <c r="CY84" i="5"/>
  <c r="DA72" i="5" l="1"/>
  <c r="CZ84" i="5"/>
  <c r="DF72" i="6"/>
  <c r="DF84" i="6"/>
  <c r="DG72" i="6" l="1"/>
  <c r="DG84" i="6"/>
  <c r="DB72" i="5"/>
  <c r="DA84" i="5"/>
  <c r="DC72" i="5" l="1"/>
  <c r="DB84" i="5"/>
  <c r="DH72" i="6"/>
  <c r="DH84" i="6"/>
  <c r="DI72" i="6" l="1"/>
  <c r="DI84" i="6"/>
  <c r="DD72" i="5"/>
  <c r="DC84" i="5"/>
  <c r="DE72" i="5" l="1"/>
  <c r="DD84" i="5"/>
  <c r="DJ84" i="6"/>
  <c r="DJ72" i="6"/>
  <c r="DK84" i="6" l="1"/>
  <c r="DK72" i="6"/>
  <c r="DF72" i="5"/>
  <c r="DE84" i="5"/>
  <c r="DG72" i="5" l="1"/>
  <c r="DF84" i="5"/>
  <c r="DL84" i="6"/>
  <c r="DL72" i="6"/>
  <c r="DM84" i="6" l="1"/>
  <c r="DM72" i="6"/>
  <c r="DH72" i="5"/>
  <c r="DG84" i="5"/>
  <c r="DI72" i="5" l="1"/>
  <c r="DH84" i="5"/>
  <c r="DJ72" i="5" l="1"/>
  <c r="DI84" i="5"/>
  <c r="DK72" i="5" l="1"/>
  <c r="DJ84" i="5"/>
  <c r="DK84" i="5" l="1"/>
  <c r="DL72" i="5"/>
  <c r="DL84" i="5" s="1"/>
</calcChain>
</file>

<file path=xl/sharedStrings.xml><?xml version="1.0" encoding="utf-8"?>
<sst xmlns="http://schemas.openxmlformats.org/spreadsheetml/2006/main" count="1571" uniqueCount="397">
  <si>
    <t>Project Initiation Workbook</t>
  </si>
  <si>
    <t>Today's Date:</t>
  </si>
  <si>
    <t>Client Company Name:</t>
  </si>
  <si>
    <t>Required</t>
  </si>
  <si>
    <t>Project Name:</t>
  </si>
  <si>
    <t>Contract Type:</t>
  </si>
  <si>
    <t>Currency:</t>
  </si>
  <si>
    <t>Planned Number of Weeks:</t>
  </si>
  <si>
    <t>INR</t>
  </si>
  <si>
    <t>Contract Type</t>
  </si>
  <si>
    <t>Fixed Fee</t>
  </si>
  <si>
    <t>T&amp;M</t>
  </si>
  <si>
    <t>Budgeted Hours:</t>
  </si>
  <si>
    <t>Budget:</t>
  </si>
  <si>
    <t>Budgeted Expenses:</t>
  </si>
  <si>
    <t>Total Resource Cost:</t>
  </si>
  <si>
    <t>Information for Project Controllers</t>
  </si>
  <si>
    <t>Total Fixed Fee</t>
  </si>
  <si>
    <t>&lt;40%</t>
  </si>
  <si>
    <t>Bad. Below our breakeven costs</t>
  </si>
  <si>
    <t>40-45%</t>
  </si>
  <si>
    <t>Not Great. Barely breakeven and minimal contribution to OROS</t>
  </si>
  <si>
    <t>45-52%</t>
  </si>
  <si>
    <t>Ok. Contributes to OROS but below targets</t>
  </si>
  <si>
    <t>52-60%</t>
  </si>
  <si>
    <t>Good. At or close to OROS targets</t>
  </si>
  <si>
    <t>Less: Total Contractor Revenue</t>
  </si>
  <si>
    <t>60%+</t>
  </si>
  <si>
    <t>Great. Above OROS target</t>
  </si>
  <si>
    <t>Project Workstream</t>
  </si>
  <si>
    <t>Standard Rate</t>
  </si>
  <si>
    <t xml:space="preserve">Normalized Rate </t>
  </si>
  <si>
    <t>Revenue at Standard</t>
  </si>
  <si>
    <t xml:space="preserve">Normalized Revenue </t>
  </si>
  <si>
    <t>Budgeted Hours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</si>
  <si>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</si>
  <si>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</si>
  <si>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</si>
  <si>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</si>
  <si>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</si>
  <si>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</si>
  <si>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</si>
  <si>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</si>
  <si>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</si>
  <si>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</si>
  <si>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</si>
  <si>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</si>
  <si>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</si>
  <si>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</si>
  <si>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</si>
  <si>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</si>
  <si>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</si>
  <si>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</si>
  <si>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</si>
  <si>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</si>
  <si>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</si>
  <si>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</si>
  <si>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</si>
  <si>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</si>
  <si>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</si>
  <si>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</si>
  <si>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</si>
  <si>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</si>
  <si>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</si>
  <si>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</si>
  <si>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</si>
  <si>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</si>
  <si>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</si>
  <si>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</si>
  <si>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</si>
  <si>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</si>
  <si>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</si>
  <si>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</si>
  <si>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</si>
  <si>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</si>
  <si>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</si>
  <si>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</si>
  <si>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</si>
  <si>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</si>
  <si>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</si>
  <si>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</si>
  <si>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</si>
  <si>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</si>
  <si>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</si>
  <si>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</si>
  <si>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</si>
  <si>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</si>
  <si>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Week 53</t>
  </si>
  <si>
    <t>Week 54</t>
  </si>
  <si>
    <t>Week 55</t>
  </si>
  <si>
    <t>Week 56</t>
  </si>
  <si>
    <t>Week 57</t>
  </si>
  <si>
    <t>Week 58</t>
  </si>
  <si>
    <t>Week 59</t>
  </si>
  <si>
    <t>Week 60</t>
  </si>
  <si>
    <t>Week 61</t>
  </si>
  <si>
    <t>Week 62</t>
  </si>
  <si>
    <t>Week 63</t>
  </si>
  <si>
    <t>Week 64</t>
  </si>
  <si>
    <t>Week 65</t>
  </si>
  <si>
    <t>Week 66</t>
  </si>
  <si>
    <t>Week 67</t>
  </si>
  <si>
    <t>Week 68</t>
  </si>
  <si>
    <t>Week 69</t>
  </si>
  <si>
    <t>Week 70</t>
  </si>
  <si>
    <t>Week 71</t>
  </si>
  <si>
    <t>Week 72</t>
  </si>
  <si>
    <t>Week 73</t>
  </si>
  <si>
    <t>Week 74</t>
  </si>
  <si>
    <t>Week 75</t>
  </si>
  <si>
    <t>Week 76</t>
  </si>
  <si>
    <t>Week 77</t>
  </si>
  <si>
    <t>Week 78</t>
  </si>
  <si>
    <t>Week 79</t>
  </si>
  <si>
    <t>Week 80</t>
  </si>
  <si>
    <t>Week 81</t>
  </si>
  <si>
    <t>Week 82</t>
  </si>
  <si>
    <t>Week 83</t>
  </si>
  <si>
    <t>Week 84</t>
  </si>
  <si>
    <t>Week 85</t>
  </si>
  <si>
    <t>Week 86</t>
  </si>
  <si>
    <t>Week 87</t>
  </si>
  <si>
    <t>Week 88</t>
  </si>
  <si>
    <t>Week 89</t>
  </si>
  <si>
    <t>Week 90</t>
  </si>
  <si>
    <t>Week 91</t>
  </si>
  <si>
    <t>Week 92</t>
  </si>
  <si>
    <t>Week 93</t>
  </si>
  <si>
    <t>Week 94</t>
  </si>
  <si>
    <t>Week 95</t>
  </si>
  <si>
    <t>Week 96</t>
  </si>
  <si>
    <t>Week 97</t>
  </si>
  <si>
    <t>Week 98</t>
  </si>
  <si>
    <t>Week 99</t>
  </si>
  <si>
    <t>Week 100</t>
  </si>
  <si>
    <t>Week 101</t>
  </si>
  <si>
    <t>Week 102</t>
  </si>
  <si>
    <t>Week 103</t>
  </si>
  <si>
    <t>Week 104</t>
  </si>
  <si>
    <t>Resource Cost (INR)</t>
  </si>
  <si>
    <t>Final Project Rate</t>
  </si>
  <si>
    <t>Margin</t>
  </si>
  <si>
    <t>Project Revenue</t>
  </si>
  <si>
    <t>Hourly Cost</t>
  </si>
  <si>
    <t>Totals (Hourly)</t>
  </si>
  <si>
    <t>Staffing Notes</t>
  </si>
  <si>
    <t>Resource Type</t>
  </si>
  <si>
    <t>Standard Rate INR Per Hour</t>
  </si>
  <si>
    <t>INR Cost Per Hour</t>
  </si>
  <si>
    <t>Resource List</t>
  </si>
  <si>
    <t>Subtotal</t>
  </si>
  <si>
    <t>Delivery Workstream</t>
  </si>
  <si>
    <t>Software and Hardware</t>
  </si>
  <si>
    <t>Line 1</t>
  </si>
  <si>
    <t>Line 2</t>
  </si>
  <si>
    <t>Line 3</t>
  </si>
  <si>
    <t>Line 4</t>
  </si>
  <si>
    <t>Line 5</t>
  </si>
  <si>
    <t>Line 6</t>
  </si>
  <si>
    <t>Line 7</t>
  </si>
  <si>
    <t>Line 8</t>
  </si>
  <si>
    <t>Line 9</t>
  </si>
  <si>
    <t>Line 10</t>
  </si>
  <si>
    <t>Line 11</t>
  </si>
  <si>
    <t>Line 12</t>
  </si>
  <si>
    <t>Line 13</t>
  </si>
  <si>
    <t>Line 14</t>
  </si>
  <si>
    <t>Line 15</t>
  </si>
  <si>
    <t>Line 16</t>
  </si>
  <si>
    <t>Line 17</t>
  </si>
  <si>
    <t>Line 18</t>
  </si>
  <si>
    <t>Line 19</t>
  </si>
  <si>
    <t>Line 20</t>
  </si>
  <si>
    <t>Line 21</t>
  </si>
  <si>
    <t>Line 22</t>
  </si>
  <si>
    <t>Line 23</t>
  </si>
  <si>
    <t>Line 24</t>
  </si>
  <si>
    <t>Line 25</t>
  </si>
  <si>
    <t>Line 26</t>
  </si>
  <si>
    <t>Line 27</t>
  </si>
  <si>
    <t>Line 28</t>
  </si>
  <si>
    <t>Line 29</t>
  </si>
  <si>
    <t>Line 30</t>
  </si>
  <si>
    <t>Line 31</t>
  </si>
  <si>
    <t>Line 32</t>
  </si>
  <si>
    <t>Line 33</t>
  </si>
  <si>
    <t>Line 34</t>
  </si>
  <si>
    <t>Line 35</t>
  </si>
  <si>
    <t>Line 36</t>
  </si>
  <si>
    <t>Line 37</t>
  </si>
  <si>
    <t>Line 38</t>
  </si>
  <si>
    <t>Line 39</t>
  </si>
  <si>
    <t>Line 40</t>
  </si>
  <si>
    <t>Line 41</t>
  </si>
  <si>
    <t>Line 42</t>
  </si>
  <si>
    <t>Line 43</t>
  </si>
  <si>
    <t>Line 44</t>
  </si>
  <si>
    <t>Line 45</t>
  </si>
  <si>
    <t>Line 46</t>
  </si>
  <si>
    <t>Line 47</t>
  </si>
  <si>
    <t>Line 48</t>
  </si>
  <si>
    <t>Line 49</t>
  </si>
  <si>
    <t>Line 50</t>
  </si>
  <si>
    <t>Line 51</t>
  </si>
  <si>
    <t>Line 52</t>
  </si>
  <si>
    <t>Line 53</t>
  </si>
  <si>
    <t>Line 54</t>
  </si>
  <si>
    <t>Line 55</t>
  </si>
  <si>
    <t>Line 56</t>
  </si>
  <si>
    <t>Line 57</t>
  </si>
  <si>
    <t>Line 58</t>
  </si>
  <si>
    <t>Line 59</t>
  </si>
  <si>
    <t>Line 60</t>
  </si>
  <si>
    <t>Line 61</t>
  </si>
  <si>
    <t>Line 62</t>
  </si>
  <si>
    <t>Line 63</t>
  </si>
  <si>
    <t>Line 64</t>
  </si>
  <si>
    <t>Line 65</t>
  </si>
  <si>
    <t>Line 66</t>
  </si>
  <si>
    <t>Line 67</t>
  </si>
  <si>
    <t>Line 68</t>
  </si>
  <si>
    <t>Line 69</t>
  </si>
  <si>
    <t>Line 70</t>
  </si>
  <si>
    <t>Line 71</t>
  </si>
  <si>
    <t>Line 72</t>
  </si>
  <si>
    <t>Line 73</t>
  </si>
  <si>
    <t>Line 74</t>
  </si>
  <si>
    <t>Line 75</t>
  </si>
  <si>
    <t>Line 76</t>
  </si>
  <si>
    <t>Line 77</t>
  </si>
  <si>
    <t>Line 78</t>
  </si>
  <si>
    <t>Line 79</t>
  </si>
  <si>
    <t>Line 80</t>
  </si>
  <si>
    <t>Line 81</t>
  </si>
  <si>
    <t>Line 82</t>
  </si>
  <si>
    <t>Line 83</t>
  </si>
  <si>
    <t>Line 84</t>
  </si>
  <si>
    <t>Line 85</t>
  </si>
  <si>
    <t>Line 86</t>
  </si>
  <si>
    <t>Line 87</t>
  </si>
  <si>
    <t>Line 88</t>
  </si>
  <si>
    <t>Line 89</t>
  </si>
  <si>
    <t>Line 90</t>
  </si>
  <si>
    <t>Line 91</t>
  </si>
  <si>
    <t>Line 92</t>
  </si>
  <si>
    <t>Line 93</t>
  </si>
  <si>
    <t>Line 94</t>
  </si>
  <si>
    <t>Line 95</t>
  </si>
  <si>
    <t>Line 96</t>
  </si>
  <si>
    <t>Line 97</t>
  </si>
  <si>
    <t>Line 98</t>
  </si>
  <si>
    <t>Line 99</t>
  </si>
  <si>
    <t>Line 100</t>
  </si>
  <si>
    <t>Line 101</t>
  </si>
  <si>
    <t>Line 102</t>
  </si>
  <si>
    <t>Line 103</t>
  </si>
  <si>
    <t>Line 104</t>
  </si>
  <si>
    <t>Total Qty</t>
  </si>
  <si>
    <t>Project Cost</t>
  </si>
  <si>
    <t>List Price</t>
  </si>
  <si>
    <t>Project Price</t>
  </si>
  <si>
    <t>Catalog Number</t>
  </si>
  <si>
    <t>Catalog Name</t>
  </si>
  <si>
    <t>Contractors</t>
  </si>
  <si>
    <t>Project Rate</t>
  </si>
  <si>
    <t>Contractor Name</t>
  </si>
  <si>
    <t>Rockwell Resources</t>
  </si>
  <si>
    <t>Rockwell Name</t>
  </si>
  <si>
    <t>Interco Hourly Cost</t>
  </si>
  <si>
    <t>Avg Hourly Rate</t>
  </si>
  <si>
    <t>Less: Total RA Interco Revenue</t>
  </si>
  <si>
    <t>Less : Total SW/HW Revenue</t>
  </si>
  <si>
    <t>Revenue at Proj Rate</t>
  </si>
  <si>
    <t>Revenue Arrural Rate (Excluding SW/HW):</t>
  </si>
  <si>
    <t>If additional rows are needed, unhide rows 26-62</t>
  </si>
  <si>
    <t>If additional rows are needed, unhide rows 77-96</t>
  </si>
  <si>
    <t>If additional rows are needed, unhide rows 112-130</t>
  </si>
  <si>
    <t>If additional rows are needed, unhide rows 146-164</t>
  </si>
  <si>
    <t>Realization Rate</t>
  </si>
  <si>
    <t>Contractor</t>
  </si>
  <si>
    <t>RA Interco</t>
  </si>
  <si>
    <t>Total Project</t>
  </si>
  <si>
    <t>INR to USD Exchange Rate</t>
  </si>
  <si>
    <t>Revenue at Project Rate</t>
  </si>
  <si>
    <t>Total SW/HW Revenue</t>
  </si>
  <si>
    <t>Total Contractor Revenue</t>
  </si>
  <si>
    <t>Total RA Interco Revenue</t>
  </si>
  <si>
    <t>Less: Billable Expenses</t>
  </si>
  <si>
    <t>Total SW/HW Revenue:</t>
  </si>
  <si>
    <t>Total Contractor Revenue:</t>
  </si>
  <si>
    <t>Total RA Interco Revenue:</t>
  </si>
  <si>
    <t>Avg Hourly Rate:</t>
  </si>
  <si>
    <t>Contractor Margin:</t>
  </si>
  <si>
    <t>RA Interco Margin:</t>
  </si>
  <si>
    <t>Total Project Margin:</t>
  </si>
  <si>
    <t>Hide</t>
  </si>
  <si>
    <t>CRM Opportunity #</t>
  </si>
  <si>
    <t>Project Expenses</t>
  </si>
  <si>
    <t>Total Expense</t>
  </si>
  <si>
    <t>Notes</t>
  </si>
  <si>
    <t>Expense Type</t>
  </si>
  <si>
    <t>Expense Cost</t>
  </si>
  <si>
    <t>Services Margin</t>
  </si>
  <si>
    <t>Services Margin:</t>
  </si>
  <si>
    <t>Total Services Revenue in USD:</t>
  </si>
  <si>
    <t>Total Services Revenue:</t>
  </si>
  <si>
    <t>Total Services Revenue</t>
  </si>
  <si>
    <t>Total Services Revenue in USD</t>
  </si>
  <si>
    <t>Discount</t>
  </si>
  <si>
    <t>SW/HW Discount</t>
  </si>
  <si>
    <t>SW/HW Discount:</t>
  </si>
  <si>
    <t>Total KL Services Revenue in USD</t>
  </si>
  <si>
    <t>If additional rows are needed, unhide rows 32-69</t>
  </si>
  <si>
    <t>If additional rows are needed, unhide rows 100-119</t>
  </si>
  <si>
    <t>If additional rows are needed, unhide rows 134-154</t>
  </si>
  <si>
    <t>If additional rows are needed, unhide rows 168-188</t>
  </si>
  <si>
    <t>Onshore (US)</t>
  </si>
  <si>
    <t>Total</t>
  </si>
  <si>
    <t>Overall</t>
  </si>
  <si>
    <t>Services</t>
  </si>
  <si>
    <t>GCC Engineer</t>
  </si>
  <si>
    <t>GCC Sr. Engineer</t>
  </si>
  <si>
    <t>GCC Project Manager</t>
  </si>
  <si>
    <t>USD Rate</t>
  </si>
  <si>
    <t>Nov 18, 2025 Version</t>
  </si>
  <si>
    <t>TBD</t>
  </si>
  <si>
    <r>
      <t>Planned St</t>
    </r>
    <r>
      <rPr>
        <b/>
        <sz val="11"/>
        <color theme="0"/>
        <rFont val="Calibri"/>
        <family val="2"/>
        <scheme val="minor"/>
      </rPr>
      <t>art Date:</t>
    </r>
  </si>
  <si>
    <r>
      <t>Planned</t>
    </r>
    <r>
      <rPr>
        <b/>
        <sz val="11"/>
        <color theme="0"/>
        <rFont val="Calibri"/>
        <family val="2"/>
        <scheme val="minor"/>
      </rPr>
      <t xml:space="preserve"> End Date:</t>
    </r>
  </si>
  <si>
    <r>
      <t xml:space="preserve">Less: Inclusive Expenses
</t>
    </r>
    <r>
      <rPr>
        <sz val="9"/>
        <color rgb="FFFFFFFF"/>
        <rFont val="Calibri"/>
        <family val="2"/>
        <scheme val="minor"/>
      </rPr>
      <t>(if Fixed Fee + Expenses, then enter 0)</t>
    </r>
  </si>
  <si>
    <t>Pranjay Kumar Singh</t>
  </si>
  <si>
    <t>Abhishek Kurup</t>
  </si>
  <si>
    <t>PIW Resource Calculation Verification — RA Bangalore</t>
  </si>
  <si>
    <t>Project: TBD   |   Generated: 19/6/2026   |   Holidays: RA Bangalore calendar</t>
  </si>
  <si>
    <t>SECTION 1: RESOURCE SUMMARY</t>
  </si>
  <si>
    <t>#</t>
  </si>
  <si>
    <t>RAID</t>
  </si>
  <si>
    <t>Resource Name</t>
  </si>
  <si>
    <t>PIW Role</t>
  </si>
  <si>
    <t>Skill Type</t>
  </si>
  <si>
    <t>Daily Rate</t>
  </si>
  <si>
    <t>Hourly Rate (÷8)</t>
  </si>
  <si>
    <t>Start Date</t>
  </si>
  <si>
    <t>End Date</t>
  </si>
  <si>
    <t>Total Net Hours</t>
  </si>
  <si>
    <t>90719446</t>
  </si>
  <si>
    <t>Commodity</t>
  </si>
  <si>
    <t>1 Jan 2026</t>
  </si>
  <si>
    <t>30 Jan 2026</t>
  </si>
  <si>
    <t>90719409</t>
  </si>
  <si>
    <t>Specialized</t>
  </si>
  <si>
    <t>15 Jan 2026</t>
  </si>
  <si>
    <t>SECTION 2: MONTHLY BREAKDOWN (Gross → Fixed Holidays → Assumed Leave → Net)</t>
  </si>
  <si>
    <t>Month</t>
  </si>
  <si>
    <t>Gross Days</t>
  </si>
  <si>
    <t>Fixed Holidays</t>
  </si>
  <si>
    <t>Assumed Leave Day</t>
  </si>
  <si>
    <t>Net Working Days</t>
  </si>
  <si>
    <t>Net Billable Hours</t>
  </si>
  <si>
    <t>Assumed Leave Week</t>
  </si>
  <si>
    <t>Comments</t>
  </si>
  <si>
    <t>Jan 2026</t>
  </si>
  <si>
    <t>Week of 29 Dec 2025</t>
  </si>
  <si>
    <t>26 Jan 2026: Republic Day</t>
  </si>
  <si>
    <t/>
  </si>
  <si>
    <t>Pranjay Kumar Singh — TOTAL</t>
  </si>
  <si>
    <t>Week of 12 Jan 2026</t>
  </si>
  <si>
    <t>Abhishek Kurup — TOTAL</t>
  </si>
  <si>
    <t>SECTION 3: HOLIDAY REFERENCE (Loaded from uploaded Excel)</t>
  </si>
  <si>
    <t>Date</t>
  </si>
  <si>
    <t>Holiday Name</t>
  </si>
  <si>
    <t>Day</t>
  </si>
  <si>
    <t>2026-01-26</t>
  </si>
  <si>
    <t>Republic Day</t>
  </si>
  <si>
    <t>Mon</t>
  </si>
  <si>
    <t>2026-03-19</t>
  </si>
  <si>
    <t>Ramzan/Ugadi/Gudi Padwa</t>
  </si>
  <si>
    <t>Thu</t>
  </si>
  <si>
    <t>2026-05-01</t>
  </si>
  <si>
    <t>Labour Day / May Day / Budha Poornima</t>
  </si>
  <si>
    <t>Fri</t>
  </si>
  <si>
    <t>2026-10-02</t>
  </si>
  <si>
    <t>Gandhi Jayanti</t>
  </si>
  <si>
    <t>2026-10-20</t>
  </si>
  <si>
    <t>Mahanavami / Vijaya Dasami</t>
  </si>
  <si>
    <t>Tue</t>
  </si>
  <si>
    <t>2026-11-10</t>
  </si>
  <si>
    <t>Balipadyami</t>
  </si>
  <si>
    <t>2026-12-25</t>
  </si>
  <si>
    <t>Christmas</t>
  </si>
  <si>
    <t>SECTION 4: ASSUMPTIONS &amp; METHODOLOGY</t>
  </si>
  <si>
    <t>• Working week: Mon–Fri, 8 hrs/day</t>
  </si>
  <si>
    <t>• Public holidays: RA Bangalore FIXED holidays only (National + Karnataka state mandatory) — restricted/optional leaves NOT included</t>
  </si>
  <si>
    <t>• Assumed leave: 1 day per calendar month per resource, deducted from the first active working week of that month</t>
  </si>
  <si>
    <t>• Partial weeks: pro-rated by actual Mon–Fri days within resource engagement range</t>
  </si>
  <si>
    <t>• Week alignment: Project weeks start on nearest preceding Monday from project start date</t>
  </si>
  <si>
    <t>• Project Rate = Daily Rate ÷ 8  (rate from RA rate card based on experience &amp; skill type)</t>
  </si>
  <si>
    <t>• Net Billable Hours = (Gross Days − Fixed Holiday Days − Assumed Leave Day) ×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</si>
</sst>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$&quot;* #,##0.00_);_(&quot;$&quot;* \(#,##0.00\);_(&quot;$&quot;* &quot;-&quot;??_);_(@_)"/>
    <numFmt numFmtId="165" formatCode="[$-409]mmmm\ d\,\ yyyy;@"/>
    <numFmt numFmtId="166" formatCode="[$$-409]\ #,##0.00;[Red]\-\([$$-409]\ #,##0.00\)"/>
    <numFmt numFmtId="167" formatCode="_([$$-409]* #,##0.00_);_([$$-409]* \(#,##0.00\);_([$$-409]* &quot;-&quot;??_);_(@_)"/>
    <numFmt numFmtId="168" formatCode="_-[$₹-820]* #,##0.00_-;\-[$₹-820]* #,##0.00_-;_-[$₹-820]* &quot;-&quot;??_-;_-@_-"/>
    <numFmt numFmtId="169" formatCode="_-[$₹-861]\ * #,##0.00_-;\-[$₹-861]\ * #,##0.00_-;_-[$₹-861]\ * &quot;-&quot;??_-;_-@_-"/>
    <numFmt numFmtId="170" formatCode="_ [$₹-445]\ * #,##0.00_ ;_ [$₹-445]\ * \-#,##0.00_ ;_ [$₹-445]\ * &quot;-&quot;??_ ;_ @_ "/>
  </numFmts>
  <fonts count="1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9"/>
      <color theme="0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9"/>
      <color rgb="FFFFFFFF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rgb="FFFF990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20"/>
      <name val="Calibri"/>
      <family val="2"/>
      <scheme val="minor"/>
    </font>
    <font>
      <b/>
      <i/>
      <sz val="10"/>
      <color indexed="60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i/>
      <sz val="1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3"/>
      <name val="Calibri"/>
      <family val="2"/>
    </font>
    <font>
      <sz val="10"/>
      <name val="Calibri"/>
      <family val="2"/>
    </font>
    <font>
      <b/>
      <sz val="11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b/>
      <sz val="11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1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b/>
      <sz val="11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</fonts>
  <fills count="1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762123"/>
        <bgColor indexed="64"/>
      </patternFill>
    </fill>
    <fill>
      <patternFill patternType="solid">
        <fgColor rgb="FFD2D8DB"/>
        <bgColor indexed="64"/>
      </patternFill>
    </fill>
    <fill>
      <patternFill patternType="solid">
        <fgColor rgb="FF3E41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solid">
        <fgColor rgb="FF2E75B6"/>
      </patternFill>
    </fill>
    <fill>
      <patternFill patternType="solid">
        <fgColor rgb="FF2E75B6"/>
      </patternFill>
    </fill>
    <fill>
      <patternFill patternType="solid">
        <fgColor rgb="FF2E75B6"/>
      </patternFill>
    </fill>
    <fill>
      <patternFill patternType="solid">
        <fgColor rgb="FF2E75B6"/>
      </patternFill>
    </fill>
    <fill>
      <patternFill patternType="solid">
        <fgColor rgb="FF2E75B6"/>
      </patternFill>
    </fill>
    <fill>
      <patternFill patternType="solid">
        <fgColor rgb="FF2E75B6"/>
      </patternFill>
    </fill>
    <fill>
      <patternFill patternType="solid">
        <fgColor rgb="FF2E75B6"/>
      </patternFill>
    </fill>
    <fill>
      <patternFill patternType="solid">
        <fgColor rgb="FF2E75B6"/>
      </patternFill>
    </fill>
    <fill>
      <patternFill patternType="solid">
        <fgColor rgb="FF2E75B6"/>
      </patternFill>
    </fill>
    <fill>
      <patternFill patternType="solid">
        <fgColor rgb="FF2E75B6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solid">
        <fgColor rgb="FFFFE6E6"/>
      </patternFill>
    </fill>
    <fill>
      <patternFill patternType="solid">
        <fgColor rgb="FFE2EFDA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solid">
        <fgColor rgb="FFFFE6E6"/>
      </patternFill>
    </fill>
    <fill>
      <patternFill patternType="solid">
        <fgColor rgb="FFE2EFDA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none">
        <fgColor auto="1"/>
        <bgColor auto="1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</fills>
  <borders count="15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/>
  </cellStyleXfs>
  <cellXfs count="259">
    <xf numFmtId="0" fontId="0" fillId="0" borderId="0" xfId="0"/>
    <xf numFmtId="0" fontId="4" fillId="0" borderId="4" xfId="0" applyFont="1" applyBorder="1" applyAlignment="1">
      <alignment vertical="center"/>
    </xf>
    <xf numFmtId="0" fontId="4" fillId="0" borderId="19" xfId="0" applyFont="1" applyBorder="1" applyAlignment="1">
      <alignment vertical="center"/>
    </xf>
    <xf numFmtId="0" fontId="5" fillId="13" borderId="21" xfId="0" applyFont="1" applyFill="1" applyBorder="1"/>
    <xf numFmtId="0" fontId="6" fillId="13" borderId="22" xfId="0" applyFont="1" applyFill="1" applyBorder="1"/>
    <xf numFmtId="0" fontId="7" fillId="6" borderId="2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2" fillId="13" borderId="28" xfId="0" applyFont="1" applyFill="1" applyBorder="1" applyAlignment="1">
      <alignment horizontal="center"/>
    </xf>
    <xf numFmtId="0" fontId="2" fillId="13" borderId="22" xfId="0" applyFont="1" applyFill="1" applyBorder="1" applyAlignment="1">
      <alignment horizontal="center"/>
    </xf>
    <xf numFmtId="0" fontId="8" fillId="3" borderId="5" xfId="0" applyFont="1" applyFill="1" applyBorder="1" applyAlignment="1" applyProtection="1">
      <alignment vertical="center"/>
      <protection hidden="1"/>
    </xf>
    <xf numFmtId="168" fontId="0" fillId="6" borderId="6" xfId="0" applyNumberFormat="1" applyFill="1" applyBorder="1" applyAlignment="1">
      <alignment horizontal="center"/>
    </xf>
    <xf numFmtId="0" fontId="8" fillId="3" borderId="2" xfId="0" applyFont="1" applyFill="1" applyBorder="1" applyAlignment="1" applyProtection="1">
      <alignment horizontal="center" vertical="center"/>
      <protection hidden="1"/>
    </xf>
    <xf numFmtId="0" fontId="8" fillId="3" borderId="7" xfId="0" applyFont="1" applyFill="1" applyBorder="1" applyAlignment="1" applyProtection="1">
      <alignment vertical="center" wrapText="1"/>
      <protection hidden="1"/>
    </xf>
    <xf numFmtId="0" fontId="10" fillId="7" borderId="0" xfId="0" applyFont="1" applyFill="1" applyAlignment="1">
      <alignment horizontal="right"/>
    </xf>
    <xf numFmtId="0" fontId="11" fillId="0" borderId="0" xfId="0" applyFont="1" applyProtection="1">
      <protection hidden="1"/>
    </xf>
    <xf numFmtId="0" fontId="8" fillId="3" borderId="7" xfId="0" applyFont="1" applyFill="1" applyBorder="1" applyAlignment="1" applyProtection="1">
      <alignment vertical="center"/>
      <protection hidden="1"/>
    </xf>
    <xf numFmtId="168" fontId="0" fillId="6" borderId="8" xfId="0" applyNumberFormat="1" applyFill="1" applyBorder="1" applyAlignment="1">
      <alignment horizontal="center"/>
    </xf>
    <xf numFmtId="0" fontId="12" fillId="8" borderId="0" xfId="0" applyFont="1" applyFill="1" applyAlignment="1">
      <alignment horizontal="right"/>
    </xf>
    <xf numFmtId="0" fontId="13" fillId="9" borderId="0" xfId="0" applyFont="1" applyFill="1" applyAlignment="1" applyProtection="1">
      <alignment horizontal="right" shrinkToFit="1"/>
      <protection locked="0" hidden="1"/>
    </xf>
    <xf numFmtId="0" fontId="14" fillId="0" borderId="0" xfId="0" applyFont="1"/>
    <xf numFmtId="0" fontId="8" fillId="3" borderId="9" xfId="0" applyFont="1" applyFill="1" applyBorder="1" applyAlignment="1" applyProtection="1">
      <alignment vertical="center"/>
      <protection hidden="1"/>
    </xf>
    <xf numFmtId="168" fontId="0" fillId="6" borderId="10" xfId="0" applyNumberFormat="1" applyFill="1" applyBorder="1" applyAlignment="1">
      <alignment horizontal="center"/>
    </xf>
    <xf numFmtId="0" fontId="15" fillId="10" borderId="0" xfId="0" applyFont="1" applyFill="1" applyAlignment="1" applyProtection="1">
      <alignment horizontal="right"/>
      <protection hidden="1"/>
    </xf>
    <xf numFmtId="166" fontId="14" fillId="0" borderId="0" xfId="0" applyNumberFormat="1" applyFont="1"/>
    <xf numFmtId="0" fontId="16" fillId="11" borderId="0" xfId="0" applyFont="1" applyFill="1" applyAlignment="1">
      <alignment horizontal="right"/>
    </xf>
    <xf numFmtId="0" fontId="8" fillId="3" borderId="9" xfId="0" applyFont="1" applyFill="1" applyBorder="1" applyAlignment="1" applyProtection="1">
      <alignment horizontal="left" vertical="center"/>
      <protection hidden="1"/>
    </xf>
    <xf numFmtId="0" fontId="8" fillId="0" borderId="0" xfId="0" applyFont="1" applyAlignment="1" applyProtection="1">
      <alignment horizontal="left" vertical="center"/>
      <protection hidden="1"/>
    </xf>
    <xf numFmtId="167" fontId="17" fillId="0" borderId="0" xfId="1" applyNumberFormat="1" applyFont="1" applyFill="1" applyBorder="1" applyAlignment="1" applyProtection="1">
      <alignment horizontal="center" vertical="center" shrinkToFit="1"/>
      <protection hidden="1"/>
    </xf>
    <xf numFmtId="0" fontId="8" fillId="3" borderId="5" xfId="0" applyFont="1" applyFill="1" applyBorder="1" applyAlignment="1" applyProtection="1">
      <alignment horizontal="center" vertical="center"/>
      <protection hidden="1"/>
    </xf>
    <xf numFmtId="14" fontId="0" fillId="6" borderId="18" xfId="0" applyNumberFormat="1" applyFill="1" applyBorder="1"/>
    <xf numFmtId="14" fontId="0" fillId="6" borderId="15" xfId="0" applyNumberFormat="1" applyFill="1" applyBorder="1"/>
    <xf numFmtId="0" fontId="0" fillId="0" borderId="15" xfId="0" applyBorder="1"/>
    <xf numFmtId="0" fontId="8" fillId="3" borderId="13" xfId="0" applyFont="1" applyFill="1" applyBorder="1" applyAlignment="1" applyProtection="1">
      <alignment horizontal="center" vertical="center" shrinkToFit="1"/>
      <protection hidden="1"/>
    </xf>
    <xf numFmtId="0" fontId="8" fillId="3" borderId="13" xfId="0" applyFont="1" applyFill="1" applyBorder="1" applyAlignment="1" applyProtection="1">
      <alignment horizontal="center" vertical="center"/>
      <protection hidden="1"/>
    </xf>
    <xf numFmtId="0" fontId="8" fillId="3" borderId="11" xfId="0" applyFont="1" applyFill="1" applyBorder="1" applyAlignment="1" applyProtection="1">
      <alignment horizontal="center" vertical="center"/>
      <protection hidden="1"/>
    </xf>
    <xf numFmtId="0" fontId="8" fillId="12" borderId="6" xfId="0" applyFont="1" applyFill="1" applyBorder="1" applyAlignment="1" applyProtection="1">
      <alignment horizontal="center" vertical="center"/>
      <protection hidden="1"/>
    </xf>
    <xf numFmtId="0" fontId="0" fillId="0" borderId="7" xfId="0" applyBorder="1"/>
    <xf numFmtId="0" fontId="0" fillId="0" borderId="2" xfId="0" applyBorder="1"/>
    <xf numFmtId="168" fontId="0" fillId="6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13" borderId="22" xfId="0" applyFill="1" applyBorder="1"/>
    <xf numFmtId="168" fontId="0" fillId="0" borderId="20" xfId="0" applyNumberFormat="1" applyBorder="1" applyAlignment="1">
      <alignment horizontal="center"/>
    </xf>
    <xf numFmtId="0" fontId="8" fillId="3" borderId="24" xfId="0" applyFont="1" applyFill="1" applyBorder="1" applyAlignment="1" applyProtection="1">
      <alignment horizontal="center" vertical="center"/>
      <protection hidden="1"/>
    </xf>
    <xf numFmtId="0" fontId="8" fillId="3" borderId="6" xfId="0" applyFont="1" applyFill="1" applyBorder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0" fillId="0" borderId="8" xfId="0" applyBorder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22" xfId="0" applyBorder="1"/>
    <xf numFmtId="166" fontId="18" fillId="3" borderId="27" xfId="0" applyNumberFormat="1" applyFont="1" applyFill="1" applyBorder="1" applyAlignment="1">
      <alignment horizontal="center" vertical="center"/>
    </xf>
    <xf numFmtId="0" fontId="18" fillId="3" borderId="25" xfId="0" applyFont="1" applyFill="1" applyBorder="1" applyAlignment="1">
      <alignment horizontal="center" vertical="center"/>
    </xf>
    <xf numFmtId="0" fontId="8" fillId="3" borderId="25" xfId="0" applyFont="1" applyFill="1" applyBorder="1" applyAlignment="1" applyProtection="1">
      <alignment horizontal="center" vertical="center"/>
      <protection hidden="1"/>
    </xf>
    <xf numFmtId="0" fontId="8" fillId="3" borderId="26" xfId="0" applyFont="1" applyFill="1" applyBorder="1" applyAlignment="1" applyProtection="1">
      <alignment horizontal="center" vertical="center"/>
      <protection hidden="1"/>
    </xf>
    <xf numFmtId="168" fontId="0" fillId="6" borderId="2" xfId="0" applyNumberFormat="1" applyFill="1" applyBorder="1"/>
    <xf numFmtId="168" fontId="0" fillId="6" borderId="18" xfId="0" applyNumberFormat="1" applyFill="1" applyBorder="1" applyAlignment="1">
      <alignment horizontal="center"/>
    </xf>
    <xf numFmtId="0" fontId="8" fillId="3" borderId="8" xfId="0" applyFont="1" applyFill="1" applyBorder="1" applyAlignment="1" applyProtection="1">
      <alignment horizontal="center" vertical="center"/>
      <protection hidden="1"/>
    </xf>
    <xf numFmtId="10" fontId="3" fillId="6" borderId="9" xfId="2" applyNumberFormat="1" applyFont="1" applyFill="1" applyBorder="1" applyAlignment="1">
      <alignment horizontal="center" vertical="center"/>
    </xf>
    <xf numFmtId="168" fontId="3" fillId="6" borderId="18" xfId="0" applyNumberFormat="1" applyFont="1" applyFill="1" applyBorder="1" applyAlignment="1">
      <alignment horizontal="center" vertical="center"/>
    </xf>
    <xf numFmtId="10" fontId="19" fillId="6" borderId="18" xfId="2" applyNumberFormat="1" applyFont="1" applyFill="1" applyBorder="1" applyAlignment="1" applyProtection="1">
      <alignment horizontal="center" vertical="center" shrinkToFit="1"/>
      <protection hidden="1"/>
    </xf>
    <xf numFmtId="10" fontId="19" fillId="4" borderId="18" xfId="2" applyNumberFormat="1" applyFont="1" applyFill="1" applyBorder="1" applyAlignment="1" applyProtection="1">
      <alignment horizontal="center" vertical="center" shrinkToFit="1"/>
      <protection hidden="1"/>
    </xf>
    <xf numFmtId="10" fontId="19" fillId="4" borderId="10" xfId="2" applyNumberFormat="1" applyFont="1" applyFill="1" applyBorder="1" applyAlignment="1" applyProtection="1">
      <alignment horizontal="center" vertical="center" shrinkToFit="1"/>
      <protection hidden="1"/>
    </xf>
    <xf numFmtId="0" fontId="8" fillId="3" borderId="12" xfId="0" applyFont="1" applyFill="1" applyBorder="1" applyAlignment="1" applyProtection="1">
      <alignment horizontal="center" vertical="center"/>
      <protection hidden="1"/>
    </xf>
    <xf numFmtId="0" fontId="3" fillId="0" borderId="22" xfId="0" applyFont="1" applyBorder="1"/>
    <xf numFmtId="0" fontId="20" fillId="0" borderId="0" xfId="0" applyFont="1"/>
    <xf numFmtId="164" fontId="7" fillId="6" borderId="10" xfId="1" applyFont="1" applyFill="1" applyBorder="1" applyAlignment="1" applyProtection="1">
      <alignment horizontal="center" vertical="center" shrinkToFit="1"/>
      <protection hidden="1"/>
    </xf>
    <xf numFmtId="0" fontId="8" fillId="3" borderId="28" xfId="0" applyFont="1" applyFill="1" applyBorder="1" applyAlignment="1" applyProtection="1">
      <alignment horizontal="center" vertical="center"/>
      <protection hidden="1"/>
    </xf>
    <xf numFmtId="0" fontId="8" fillId="3" borderId="23" xfId="0" applyFont="1" applyFill="1" applyBorder="1" applyAlignment="1" applyProtection="1">
      <alignment horizontal="center" vertical="center"/>
      <protection hidden="1"/>
    </xf>
    <xf numFmtId="168" fontId="0" fillId="0" borderId="3" xfId="0" applyNumberFormat="1" applyBorder="1" applyAlignment="1">
      <alignment horizontal="center"/>
    </xf>
    <xf numFmtId="168" fontId="0" fillId="6" borderId="14" xfId="0" applyNumberFormat="1" applyFill="1" applyBorder="1" applyAlignment="1">
      <alignment horizontal="center"/>
    </xf>
    <xf numFmtId="0" fontId="8" fillId="13" borderId="0" xfId="0" applyFont="1" applyFill="1" applyAlignment="1" applyProtection="1">
      <alignment horizontal="center" vertical="center"/>
      <protection hidden="1"/>
    </xf>
    <xf numFmtId="168" fontId="0" fillId="13" borderId="0" xfId="0" applyNumberFormat="1" applyFill="1" applyAlignment="1">
      <alignment horizontal="center"/>
    </xf>
    <xf numFmtId="0" fontId="21" fillId="2" borderId="1" xfId="0" applyFont="1" applyFill="1" applyBorder="1"/>
    <xf numFmtId="0" fontId="22" fillId="2" borderId="0" xfId="0" applyFont="1" applyFill="1" applyAlignment="1">
      <alignment horizontal="left" vertical="center"/>
    </xf>
    <xf numFmtId="0" fontId="23" fillId="3" borderId="2" xfId="0" applyFont="1" applyFill="1" applyBorder="1" applyAlignment="1" applyProtection="1">
      <alignment horizontal="right" vertical="center" shrinkToFit="1"/>
      <protection hidden="1"/>
    </xf>
    <xf numFmtId="0" fontId="24" fillId="0" borderId="0" xfId="0" applyFont="1" applyAlignment="1">
      <alignment horizontal="left" vertical="center" shrinkToFit="1"/>
    </xf>
    <xf numFmtId="0" fontId="7" fillId="0" borderId="2" xfId="0" applyFont="1" applyBorder="1" applyAlignment="1" applyProtection="1">
      <alignment horizontal="left"/>
      <protection locked="0"/>
    </xf>
    <xf numFmtId="0" fontId="23" fillId="3" borderId="3" xfId="0" applyFont="1" applyFill="1" applyBorder="1" applyAlignment="1">
      <alignment horizontal="right"/>
    </xf>
    <xf numFmtId="165" fontId="7" fillId="0" borderId="2" xfId="0" applyNumberFormat="1" applyFont="1" applyBorder="1" applyAlignment="1" applyProtection="1">
      <alignment horizontal="left"/>
      <protection locked="0"/>
    </xf>
    <xf numFmtId="0" fontId="8" fillId="5" borderId="7" xfId="0" applyFont="1" applyFill="1" applyBorder="1" applyAlignment="1">
      <alignment horizontal="right"/>
    </xf>
    <xf numFmtId="0" fontId="8" fillId="5" borderId="9" xfId="0" applyFont="1" applyFill="1" applyBorder="1" applyAlignment="1">
      <alignment horizontal="right"/>
    </xf>
    <xf numFmtId="0" fontId="8" fillId="5" borderId="31" xfId="0" applyFont="1" applyFill="1" applyBorder="1" applyAlignment="1">
      <alignment horizontal="right"/>
    </xf>
    <xf numFmtId="1" fontId="7" fillId="6" borderId="2" xfId="0" applyNumberFormat="1" applyFont="1" applyFill="1" applyBorder="1" applyAlignment="1">
      <alignment horizontal="left"/>
    </xf>
    <xf numFmtId="0" fontId="0" fillId="6" borderId="2" xfId="0" applyFill="1" applyBorder="1"/>
    <xf numFmtId="0" fontId="0" fillId="6" borderId="8" xfId="0" applyFill="1" applyBorder="1"/>
    <xf numFmtId="169" fontId="0" fillId="6" borderId="8" xfId="0" applyNumberFormat="1" applyFill="1" applyBorder="1"/>
    <xf numFmtId="164" fontId="0" fillId="6" borderId="8" xfId="1" applyFont="1" applyFill="1" applyBorder="1"/>
    <xf numFmtId="10" fontId="0" fillId="6" borderId="8" xfId="2" applyNumberFormat="1" applyFont="1" applyFill="1" applyBorder="1"/>
    <xf numFmtId="10" fontId="19" fillId="6" borderId="10" xfId="2" applyNumberFormat="1" applyFont="1" applyFill="1" applyBorder="1" applyAlignment="1" applyProtection="1">
      <alignment horizontal="center" vertical="center" shrinkToFit="1"/>
      <protection hidden="1"/>
    </xf>
    <xf numFmtId="14" fontId="0" fillId="6" borderId="25" xfId="0" applyNumberFormat="1" applyFill="1" applyBorder="1"/>
    <xf numFmtId="14" fontId="0" fillId="6" borderId="26" xfId="0" applyNumberFormat="1" applyFill="1" applyBorder="1"/>
    <xf numFmtId="0" fontId="6" fillId="13" borderId="20" xfId="0" applyFont="1" applyFill="1" applyBorder="1"/>
    <xf numFmtId="0" fontId="8" fillId="3" borderId="11" xfId="0" applyFont="1" applyFill="1" applyBorder="1" applyAlignment="1" applyProtection="1">
      <alignment horizontal="center" vertical="center" shrinkToFit="1"/>
      <protection hidden="1"/>
    </xf>
    <xf numFmtId="0" fontId="8" fillId="3" borderId="32" xfId="0" applyFont="1" applyFill="1" applyBorder="1" applyAlignment="1" applyProtection="1">
      <alignment horizontal="center" vertical="center"/>
      <protection hidden="1"/>
    </xf>
    <xf numFmtId="0" fontId="8" fillId="3" borderId="33" xfId="0" applyFont="1" applyFill="1" applyBorder="1" applyAlignment="1" applyProtection="1">
      <alignment horizontal="center" vertical="center"/>
      <protection hidden="1"/>
    </xf>
    <xf numFmtId="14" fontId="0" fillId="6" borderId="34" xfId="0" applyNumberFormat="1" applyFill="1" applyBorder="1"/>
    <xf numFmtId="0" fontId="8" fillId="3" borderId="4" xfId="0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Alignment="1">
      <alignment horizontal="center"/>
    </xf>
    <xf numFmtId="168" fontId="0" fillId="6" borderId="16" xfId="0" applyNumberFormat="1" applyFill="1" applyBorder="1" applyAlignment="1">
      <alignment horizontal="center"/>
    </xf>
    <xf numFmtId="168" fontId="0" fillId="6" borderId="22" xfId="0" applyNumberFormat="1" applyFill="1" applyBorder="1"/>
    <xf numFmtId="0" fontId="0" fillId="6" borderId="16" xfId="0" applyFill="1" applyBorder="1" applyAlignment="1">
      <alignment horizontal="center"/>
    </xf>
    <xf numFmtId="170" fontId="0" fillId="6" borderId="8" xfId="0" applyNumberFormat="1" applyFill="1" applyBorder="1" applyAlignment="1">
      <alignment horizontal="center"/>
    </xf>
    <xf numFmtId="0" fontId="23" fillId="3" borderId="0" xfId="0" applyFont="1" applyFill="1" applyAlignment="1">
      <alignment horizontal="right"/>
    </xf>
    <xf numFmtId="0" fontId="23" fillId="3" borderId="35" xfId="0" applyFont="1" applyFill="1" applyBorder="1" applyAlignment="1">
      <alignment horizontal="right"/>
    </xf>
    <xf numFmtId="0" fontId="23" fillId="3" borderId="36" xfId="0" applyFont="1" applyFill="1" applyBorder="1" applyAlignment="1">
      <alignment horizontal="right"/>
    </xf>
    <xf numFmtId="0" fontId="23" fillId="3" borderId="37" xfId="0" applyFont="1" applyFill="1" applyBorder="1" applyAlignment="1">
      <alignment horizontal="right"/>
    </xf>
    <xf numFmtId="0" fontId="23" fillId="3" borderId="38" xfId="0" applyFont="1" applyFill="1" applyBorder="1" applyAlignment="1">
      <alignment horizontal="right"/>
    </xf>
    <xf numFmtId="0" fontId="23" fillId="3" borderId="39" xfId="0" applyFont="1" applyFill="1" applyBorder="1" applyAlignment="1">
      <alignment horizontal="right"/>
    </xf>
    <xf numFmtId="0" fontId="23" fillId="3" borderId="21" xfId="0" applyFont="1" applyFill="1" applyBorder="1" applyAlignment="1">
      <alignment horizontal="right"/>
    </xf>
    <xf numFmtId="0" fontId="23" fillId="3" borderId="22" xfId="0" applyFont="1" applyFill="1" applyBorder="1" applyAlignment="1">
      <alignment horizontal="right"/>
    </xf>
    <xf numFmtId="0" fontId="23" fillId="3" borderId="20" xfId="0" applyFont="1" applyFill="1" applyBorder="1" applyAlignment="1">
      <alignment horizontal="right"/>
    </xf>
    <xf numFmtId="168" fontId="0" fillId="0" borderId="6" xfId="0" applyNumberFormat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8" fontId="0" fillId="0" borderId="3" xfId="0" applyNumberFormat="1" applyBorder="1" applyAlignment="1" applyProtection="1">
      <alignment horizontal="center"/>
      <protection locked="0"/>
    </xf>
    <xf numFmtId="168" fontId="0" fillId="0" borderId="2" xfId="0" applyNumberForma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68" fontId="0" fillId="6" borderId="2" xfId="0" applyNumberFormat="1" applyFill="1" applyBorder="1" applyAlignment="1" applyProtection="1">
      <alignment horizontal="center"/>
      <protection locked="0"/>
    </xf>
    <xf numFmtId="0" fontId="0" fillId="6" borderId="2" xfId="0" applyFill="1" applyBorder="1" applyAlignment="1" applyProtection="1">
      <alignment horizontal="center"/>
      <protection locked="0"/>
    </xf>
    <xf numFmtId="14" fontId="0" fillId="6" borderId="2" xfId="0" applyNumberFormat="1" applyFill="1" applyBorder="1"/>
    <xf numFmtId="168" fontId="0" fillId="13" borderId="11" xfId="0" applyNumberFormat="1" applyFill="1" applyBorder="1" applyAlignment="1">
      <alignment horizontal="center"/>
    </xf>
    <xf numFmtId="168" fontId="0" fillId="13" borderId="2" xfId="0" applyNumberFormat="1" applyFill="1" applyBorder="1" applyAlignment="1">
      <alignment horizontal="center"/>
    </xf>
    <xf numFmtId="0" fontId="2" fillId="13" borderId="1" xfId="0" applyFont="1" applyFill="1" applyBorder="1" applyAlignment="1">
      <alignment horizontal="center"/>
    </xf>
    <xf numFmtId="10" fontId="0" fillId="6" borderId="2" xfId="2" applyNumberFormat="1" applyFont="1" applyFill="1" applyBorder="1" applyAlignment="1">
      <alignment horizontal="center"/>
    </xf>
    <xf numFmtId="10" fontId="0" fillId="6" borderId="18" xfId="2" applyNumberFormat="1" applyFont="1" applyFill="1" applyBorder="1" applyAlignment="1">
      <alignment horizontal="center"/>
    </xf>
    <xf numFmtId="9" fontId="0" fillId="6" borderId="14" xfId="2" applyFont="1" applyFill="1" applyBorder="1" applyAlignment="1">
      <alignment horizontal="center"/>
    </xf>
    <xf numFmtId="9" fontId="0" fillId="6" borderId="22" xfId="2" applyFont="1" applyFill="1" applyBorder="1" applyAlignment="1">
      <alignment horizontal="center"/>
    </xf>
    <xf numFmtId="0" fontId="26" fillId="0" borderId="0" xfId="0" applyFont="1"/>
    <xf numFmtId="0" fontId="19" fillId="0" borderId="2" xfId="3" applyFont="1" applyBorder="1" applyAlignment="1">
      <alignment vertical="center" wrapText="1"/>
    </xf>
    <xf numFmtId="1" fontId="0" fillId="0" borderId="2" xfId="0" applyNumberFormat="1" applyBorder="1"/>
    <xf numFmtId="2" fontId="0" fillId="0" borderId="2" xfId="0" applyNumberFormat="1" applyBorder="1"/>
    <xf numFmtId="0" fontId="8" fillId="3" borderId="0" xfId="0" applyFont="1" applyFill="1" applyAlignment="1" applyProtection="1">
      <alignment horizontal="center" vertical="center"/>
      <protection hidden="1"/>
    </xf>
    <xf numFmtId="0" fontId="27" fillId="13" borderId="22" xfId="0" applyFont="1" applyFill="1" applyBorder="1" applyAlignment="1">
      <alignment horizontal="center"/>
    </xf>
    <xf numFmtId="2" fontId="0" fillId="0" borderId="0" xfId="0" applyNumberFormat="1"/>
    <xf numFmtId="0" fontId="4" fillId="0" borderId="39" xfId="0" applyFont="1" applyBorder="1" applyAlignment="1">
      <alignment vertical="center"/>
    </xf>
    <xf numFmtId="0" fontId="28" fillId="14" borderId="40" xfId="0" applyFont="1" applyFill="1" applyBorder="1"/>
    <xf numFmtId="0" fontId="29" fillId="15" borderId="41" xfId="0" applyFont="1" applyFill="1" applyBorder="1"/>
    <xf numFmtId="0" fontId="30" fillId="16" borderId="42" xfId="0" applyFont="1" applyFill="1" applyBorder="1"/>
    <xf numFmtId="0" fontId="31" fillId="17" borderId="43" xfId="0" applyFont="1" applyFill="1" applyBorder="1"/>
    <xf numFmtId="0" fontId="32" fillId="18" borderId="44" xfId="0" applyFont="1" applyFill="1" applyBorder="1"/>
    <xf numFmtId="0" fontId="33" fillId="19" borderId="45" xfId="0" applyFont="1" applyFill="1" applyBorder="1"/>
    <xf numFmtId="0" fontId="34" fillId="20" borderId="46" xfId="0" applyFont="1" applyFill="1" applyBorder="1"/>
    <xf numFmtId="0" fontId="35" fillId="21" borderId="47" xfId="0" applyFont="1" applyFill="1" applyBorder="1"/>
    <xf numFmtId="0" fontId="36" fillId="22" borderId="48" xfId="0" applyFont="1" applyFill="1" applyBorder="1"/>
    <xf numFmtId="0" fontId="37" fillId="23" borderId="49" xfId="0" applyFont="1" applyFill="1" applyBorder="1"/>
    <xf numFmtId="0" fontId="38" fillId="24" borderId="50" xfId="0" applyFont="1" applyFill="1" applyBorder="1"/>
    <xf numFmtId="0" fontId="39" fillId="25" borderId="51" xfId="0" applyFont="1" applyFill="1" applyBorder="1"/>
    <xf numFmtId="0" fontId="40" fillId="26" borderId="52" xfId="0" applyFont="1" applyFill="1" applyBorder="1"/>
    <xf numFmtId="0" fontId="41" fillId="27" borderId="53" xfId="0" applyFont="1" applyFill="1" applyBorder="1"/>
    <xf numFmtId="0" fontId="42" fillId="28" borderId="54" xfId="0" applyFont="1" applyFill="1" applyBorder="1"/>
    <xf numFmtId="0" fontId="43" fillId="29" borderId="55" xfId="0" applyFont="1" applyFill="1" applyBorder="1"/>
    <xf numFmtId="0" fontId="44" fillId="30" borderId="56" xfId="0" applyFont="1" applyFill="1" applyBorder="1"/>
    <xf numFmtId="0" fontId="45" fillId="31" borderId="57" xfId="0" applyFont="1" applyFill="1" applyBorder="1"/>
    <xf numFmtId="0" fontId="46" fillId="32" borderId="58" xfId="0" applyFont="1" applyFill="1" applyBorder="1" applyAlignment="1">
      <alignment horizontal="center"/>
    </xf>
    <xf numFmtId="0" fontId="47" fillId="33" borderId="59" xfId="0" applyFont="1" applyFill="1" applyBorder="1" applyAlignment="1">
      <alignment horizontal="center"/>
    </xf>
    <xf numFmtId="0" fontId="48" fillId="34" borderId="60" xfId="0" applyFont="1" applyFill="1" applyBorder="1" applyAlignment="1">
      <alignment horizontal="center"/>
    </xf>
    <xf numFmtId="0" fontId="49" fillId="35" borderId="61" xfId="0" applyFont="1" applyFill="1" applyBorder="1" applyAlignment="1">
      <alignment horizontal="center"/>
    </xf>
    <xf numFmtId="0" fontId="50" fillId="36" borderId="62" xfId="0" applyFont="1" applyFill="1" applyBorder="1" applyAlignment="1">
      <alignment horizontal="center"/>
    </xf>
    <xf numFmtId="0" fontId="51" fillId="37" borderId="63" xfId="0" applyFont="1" applyFill="1" applyBorder="1"/>
    <xf numFmtId="0" fontId="52" fillId="38" borderId="64" xfId="0" applyFont="1" applyFill="1" applyBorder="1"/>
    <xf numFmtId="0" fontId="53" fillId="39" borderId="65" xfId="0" applyFont="1" applyFill="1" applyBorder="1"/>
    <xf numFmtId="0" fontId="54" fillId="40" borderId="66" xfId="0" applyFont="1" applyFill="1" applyBorder="1"/>
    <xf numFmtId="0" fontId="55" fillId="41" borderId="67" xfId="0" applyFont="1" applyFill="1" applyBorder="1"/>
    <xf numFmtId="0" fontId="56" fillId="42" borderId="68" xfId="0" applyFont="1" applyFill="1" applyBorder="1" applyAlignment="1">
      <alignment horizontal="center"/>
    </xf>
    <xf numFmtId="0" fontId="57" fillId="43" borderId="69" xfId="0" applyFont="1" applyFill="1" applyBorder="1" applyAlignment="1">
      <alignment horizontal="center"/>
    </xf>
    <xf numFmtId="0" fontId="58" fillId="44" borderId="70" xfId="0" applyFont="1" applyFill="1" applyBorder="1" applyAlignment="1">
      <alignment horizontal="center"/>
    </xf>
    <xf numFmtId="0" fontId="59" fillId="45" borderId="71" xfId="0" applyFont="1" applyFill="1" applyBorder="1" applyAlignment="1">
      <alignment horizontal="center"/>
    </xf>
    <xf numFmtId="0" fontId="60" fillId="46" borderId="72" xfId="0" applyFont="1" applyFill="1" applyBorder="1" applyAlignment="1">
      <alignment horizontal="center"/>
    </xf>
    <xf numFmtId="0" fontId="61" fillId="47" borderId="73" xfId="0" applyFont="1" applyFill="1" applyBorder="1"/>
    <xf numFmtId="0" fontId="62" fillId="48" borderId="74" xfId="0" applyFont="1" applyFill="1" applyBorder="1"/>
    <xf numFmtId="0" fontId="63" fillId="49" borderId="75" xfId="0" applyFont="1" applyFill="1" applyBorder="1"/>
    <xf numFmtId="0" fontId="64" fillId="50" borderId="76" xfId="0" applyFont="1" applyFill="1" applyBorder="1"/>
    <xf numFmtId="0" fontId="65" fillId="51" borderId="77" xfId="0" applyFont="1" applyFill="1" applyBorder="1"/>
    <xf numFmtId="0" fontId="66" fillId="52" borderId="78" xfId="0" applyFont="1" applyFill="1" applyBorder="1"/>
    <xf numFmtId="0" fontId="67" fillId="53" borderId="79" xfId="0" applyFont="1" applyFill="1" applyBorder="1"/>
    <xf numFmtId="0" fontId="68" fillId="54" borderId="80" xfId="0" applyFont="1" applyFill="1" applyBorder="1"/>
    <xf numFmtId="0" fontId="69" fillId="55" borderId="81" xfId="0" applyFont="1" applyFill="1" applyBorder="1"/>
    <xf numFmtId="0" fontId="70" fillId="56" borderId="82" xfId="0" applyFont="1" applyFill="1" applyBorder="1"/>
    <xf numFmtId="0" fontId="71" fillId="57" borderId="83" xfId="0" applyFont="1" applyFill="1" applyBorder="1"/>
    <xf numFmtId="0" fontId="72" fillId="58" borderId="84" xfId="0" applyFont="1" applyFill="1" applyBorder="1"/>
    <xf numFmtId="0" fontId="73" fillId="59" borderId="85" xfId="0" applyFont="1" applyFill="1" applyBorder="1"/>
    <xf numFmtId="0" fontId="74" fillId="60" borderId="86" xfId="0" applyFont="1" applyFill="1" applyBorder="1"/>
    <xf numFmtId="0" fontId="75" fillId="61" borderId="87" xfId="0" applyFont="1" applyFill="1" applyBorder="1" applyAlignment="1">
      <alignment horizontal="center"/>
    </xf>
    <xf numFmtId="0" fontId="76" fillId="62" borderId="88" xfId="0" applyFont="1" applyFill="1" applyBorder="1"/>
    <xf numFmtId="0" fontId="77" fillId="63" borderId="89" xfId="0" applyFont="1" applyFill="1" applyBorder="1"/>
    <xf numFmtId="0" fontId="78" fillId="64" borderId="90" xfId="0" applyFont="1" applyFill="1" applyBorder="1" applyAlignment="1">
      <alignment horizontal="center"/>
    </xf>
    <xf numFmtId="0" fontId="79" fillId="65" borderId="91" xfId="0" applyFont="1" applyFill="1" applyBorder="1" applyAlignment="1">
      <alignment horizontal="center"/>
    </xf>
    <xf numFmtId="0" fontId="80" fillId="66" borderId="92" xfId="0" applyFont="1" applyFill="1" applyBorder="1"/>
    <xf numFmtId="0" fontId="81" fillId="67" borderId="93" xfId="0" applyFont="1" applyFill="1" applyBorder="1"/>
    <xf numFmtId="0" fontId="82" fillId="68" borderId="94" xfId="0" applyFont="1" applyFill="1" applyBorder="1"/>
    <xf numFmtId="0" fontId="83" fillId="69" borderId="95" xfId="0" applyFont="1" applyFill="1" applyBorder="1"/>
    <xf numFmtId="0" fontId="84" fillId="70" borderId="96" xfId="0" applyFont="1" applyFill="1" applyBorder="1"/>
    <xf numFmtId="0" fontId="85" fillId="71" borderId="97" xfId="0" applyFont="1" applyFill="1" applyBorder="1"/>
    <xf numFmtId="0" fontId="86" fillId="72" borderId="98" xfId="0" applyFont="1" applyFill="1" applyBorder="1"/>
    <xf numFmtId="0" fontId="87" fillId="73" borderId="99" xfId="0" applyFont="1" applyFill="1" applyBorder="1"/>
    <xf numFmtId="0" fontId="88" fillId="74" borderId="100" xfId="0" applyFont="1" applyFill="1" applyBorder="1"/>
    <xf numFmtId="0" fontId="89" fillId="75" borderId="101" xfId="0" applyFont="1" applyFill="1" applyBorder="1"/>
    <xf numFmtId="0" fontId="90" fillId="76" borderId="102" xfId="0" applyFont="1" applyFill="1" applyBorder="1"/>
    <xf numFmtId="0" fontId="91" fillId="77" borderId="103" xfId="0" applyFont="1" applyFill="1" applyBorder="1"/>
    <xf numFmtId="0" fontId="92" fillId="78" borderId="104" xfId="0" applyFont="1" applyFill="1" applyBorder="1"/>
    <xf numFmtId="0" fontId="93" fillId="79" borderId="105" xfId="0" applyFont="1" applyFill="1" applyBorder="1"/>
    <xf numFmtId="0" fontId="94" fillId="80" borderId="106" xfId="0" applyFont="1" applyFill="1" applyBorder="1"/>
    <xf numFmtId="0" fontId="95" fillId="81" borderId="107" xfId="0" applyFont="1" applyFill="1" applyBorder="1" applyAlignment="1">
      <alignment horizontal="center"/>
    </xf>
    <xf numFmtId="0" fontId="96" fillId="82" borderId="108" xfId="0" applyFont="1" applyFill="1" applyBorder="1"/>
    <xf numFmtId="0" fontId="97" fillId="83" borderId="109" xfId="0" applyFont="1" applyFill="1" applyBorder="1"/>
    <xf numFmtId="0" fontId="98" fillId="84" borderId="110" xfId="0" applyFont="1" applyFill="1" applyBorder="1" applyAlignment="1">
      <alignment horizontal="center"/>
    </xf>
    <xf numFmtId="0" fontId="99" fillId="85" borderId="111" xfId="0" applyFont="1" applyFill="1" applyBorder="1" applyAlignment="1">
      <alignment horizontal="center"/>
    </xf>
    <xf numFmtId="0" fontId="100" fillId="86" borderId="112" xfId="0" applyFont="1" applyFill="1" applyBorder="1"/>
    <xf numFmtId="0" fontId="101" fillId="87" borderId="113" xfId="0" applyFont="1" applyFill="1" applyBorder="1"/>
    <xf numFmtId="0" fontId="102" fillId="88" borderId="114" xfId="0" applyFont="1" applyFill="1" applyBorder="1"/>
    <xf numFmtId="0" fontId="103" fillId="89" borderId="115" xfId="0" applyFont="1" applyFill="1" applyBorder="1"/>
    <xf numFmtId="0" fontId="104" fillId="90" borderId="116" xfId="0" applyFont="1" applyFill="1" applyBorder="1"/>
    <xf numFmtId="0" fontId="105" fillId="91" borderId="117" xfId="0" applyFont="1" applyFill="1" applyBorder="1"/>
    <xf numFmtId="0" fontId="106" fillId="92" borderId="118" xfId="0" applyFont="1" applyFill="1" applyBorder="1"/>
    <xf numFmtId="0" fontId="107" fillId="93" borderId="119" xfId="0" applyFont="1" applyFill="1" applyBorder="1"/>
    <xf numFmtId="0" fontId="108" fillId="94" borderId="120" xfId="0" applyFont="1" applyFill="1" applyBorder="1"/>
    <xf numFmtId="0" fontId="109" fillId="95" borderId="121" xfId="0" applyFont="1" applyFill="1" applyBorder="1"/>
    <xf numFmtId="0" fontId="110" fillId="96" borderId="122" xfId="0" applyFont="1" applyFill="1" applyBorder="1"/>
    <xf numFmtId="0" fontId="111" fillId="97" borderId="123" xfId="0" applyFont="1" applyFill="1" applyBorder="1"/>
    <xf numFmtId="0" fontId="112" fillId="98" borderId="124" xfId="0" applyFont="1" applyFill="1" applyBorder="1"/>
    <xf numFmtId="0" fontId="113" fillId="99" borderId="125" xfId="0" applyFont="1" applyFill="1" applyBorder="1"/>
    <xf numFmtId="0" fontId="114" fillId="100" borderId="126" xfId="0" applyFont="1" applyFill="1" applyBorder="1"/>
    <xf numFmtId="0" fontId="115" fillId="101" borderId="127" xfId="0" applyFont="1" applyFill="1" applyBorder="1"/>
    <xf numFmtId="0" fontId="116" fillId="102" borderId="128" xfId="0" applyFont="1" applyFill="1" applyBorder="1"/>
    <xf numFmtId="0" fontId="117" fillId="103" borderId="129" xfId="0" applyFont="1" applyFill="1" applyBorder="1"/>
    <xf numFmtId="0" fontId="118" fillId="104" borderId="130" xfId="0" applyFont="1" applyFill="1" applyBorder="1"/>
    <xf numFmtId="0" fontId="119" fillId="105" borderId="131" xfId="0" applyFont="1" applyFill="1" applyBorder="1"/>
    <xf numFmtId="0" fontId="120" fillId="106" borderId="132" xfId="0" applyFont="1" applyFill="1" applyBorder="1"/>
    <xf numFmtId="0" fontId="121" fillId="107" borderId="133" xfId="0" applyFont="1" applyFill="1" applyBorder="1"/>
    <xf numFmtId="0" fontId="122" fillId="108" borderId="134" xfId="0" applyFont="1" applyFill="1" applyBorder="1"/>
    <xf numFmtId="0" fontId="123" fillId="109" borderId="135" xfId="0" applyFont="1" applyFill="1" applyBorder="1"/>
    <xf numFmtId="0" fontId="124" fillId="110" borderId="136" xfId="0" applyFont="1" applyFill="1" applyBorder="1"/>
    <xf numFmtId="0" fontId="125" fillId="111" borderId="137" xfId="0" applyFont="1" applyFill="1" applyBorder="1"/>
    <xf numFmtId="0" fontId="126" fillId="112" borderId="138" xfId="0" applyFont="1" applyFill="1" applyBorder="1"/>
    <xf numFmtId="0" fontId="127" fillId="113" borderId="139" xfId="0" applyFont="1" applyFill="1" applyBorder="1"/>
    <xf numFmtId="0" fontId="128" fillId="114" borderId="140" xfId="0" applyFont="1" applyFill="1" applyBorder="1"/>
    <xf numFmtId="0" fontId="129" fillId="115" borderId="141" xfId="0" applyFont="1" applyFill="1" applyBorder="1"/>
    <xf numFmtId="0" fontId="130" fillId="116" borderId="142" xfId="0" applyFont="1" applyFill="1" applyBorder="1"/>
    <xf numFmtId="0" fontId="131" fillId="117" borderId="143" xfId="0" applyFont="1" applyFill="1" applyBorder="1"/>
    <xf numFmtId="0" fontId="132" fillId="118" borderId="144" xfId="0" applyFont="1" applyFill="1" applyBorder="1"/>
    <xf numFmtId="0" fontId="133" fillId="119" borderId="145" xfId="0" applyFont="1" applyFill="1" applyBorder="1"/>
    <xf numFmtId="0" fontId="134" fillId="120" borderId="146" xfId="0" applyFont="1" applyFill="1" applyBorder="1"/>
    <xf numFmtId="0" fontId="135" fillId="121" borderId="147" xfId="0" applyFont="1" applyFill="1" applyBorder="1"/>
    <xf numFmtId="0" fontId="136" fillId="122" borderId="148" xfId="0" applyFont="1" applyFill="1" applyBorder="1"/>
    <xf numFmtId="0" fontId="137" fillId="123" borderId="149" xfId="0" applyFont="1" applyFill="1" applyBorder="1"/>
    <xf numFmtId="0" fontId="138" fillId="124" borderId="150" xfId="0" applyFont="1" applyFill="1" applyBorder="1"/>
    <xf numFmtId="0" fontId="139" fillId="125" borderId="151" xfId="0" applyFont="1" applyFill="1" applyBorder="1"/>
    <xf numFmtId="0" fontId="140" fillId="126" borderId="152" xfId="0" applyFont="1" applyFill="1" applyBorder="1"/>
    <xf numFmtId="0" fontId="141" fillId="127" borderId="153" xfId="0" applyFont="1" applyFill="1" applyBorder="1"/>
    <xf numFmtId="0" fontId="142" fillId="128" borderId="154" xfId="0" applyFont="1" applyFill="1" applyBorder="1"/>
    <xf numFmtId="0" fontId="143" fillId="129" borderId="155" xfId="0" applyFont="1" applyFill="1" applyBorder="1"/>
    <xf numFmtId="0" fontId="144" fillId="130" borderId="156" xfId="0" applyFont="1" applyFill="1" applyBorder="1"/>
    <xf numFmtId="0" fontId="19" fillId="0" borderId="5" xfId="0" applyFont="1" applyBorder="1" applyAlignment="1">
      <alignment horizontal="center" wrapText="1"/>
    </xf>
    <xf numFmtId="0" fontId="19" fillId="0" borderId="6" xfId="0" applyFont="1" applyBorder="1" applyAlignment="1">
      <alignment horizontal="center" wrapText="1"/>
    </xf>
    <xf numFmtId="0" fontId="2" fillId="13" borderId="29" xfId="0" applyFont="1" applyFill="1" applyBorder="1" applyAlignment="1">
      <alignment horizontal="center"/>
    </xf>
    <xf numFmtId="0" fontId="2" fillId="13" borderId="30" xfId="0" applyFont="1" applyFill="1" applyBorder="1" applyAlignment="1">
      <alignment horizontal="center"/>
    </xf>
    <xf numFmtId="0" fontId="2" fillId="13" borderId="17" xfId="0" applyFont="1" applyFill="1" applyBorder="1" applyAlignment="1">
      <alignment horizontal="center"/>
    </xf>
    <xf numFmtId="0" fontId="8" fillId="3" borderId="0" xfId="0" applyFont="1" applyFill="1" applyAlignment="1" applyProtection="1">
      <alignment horizontal="center" vertical="center"/>
      <protection hidden="1"/>
    </xf>
  </cellXfs>
  <cellStyles count="4">
    <cellStyle name="Currency" xfId="1" builtinId="4"/>
    <cellStyle name="Normal" xfId="0" builtinId="0"/>
    <cellStyle name="Normal 2" xfId="3" xr:uid="{0F09646A-E67F-4A2F-8A6C-147B2C95675E}"/>
    <cellStyle name="Percent" xfId="2" builtinId="5"/>
  </cellStyles>
  <dxfs count="12">
    <dxf>
      <font>
        <color rgb="FF92D050"/>
      </font>
      <fill>
        <patternFill>
          <bgColor rgb="FF00B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rgb="FF92D050"/>
      </font>
      <fill>
        <patternFill>
          <bgColor rgb="FF00B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b val="0"/>
        <i val="0"/>
        <strike val="0"/>
        <u val="none"/>
        <color theme="0" tint="-0.34998626667073579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u val="none"/>
        <color theme="0" tint="-0.34998626667073579"/>
      </font>
      <numFmt numFmtId="0" formatCode="General"/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381000</xdr:colOff>
          <xdr:row>8</xdr:row>
          <xdr:rowOff>76200</xdr:rowOff>
        </xdr:from>
        <xdr:to>
          <xdr:col>10</xdr:col>
          <xdr:colOff>260350</xdr:colOff>
          <xdr:row>10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.%20PIW%20-%2008Nov2023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Page"/>
      <sheetName val="T&amp;M"/>
      <sheetName val="Fixed Fee"/>
      <sheetName val="Data"/>
      <sheetName val="DataValidation"/>
      <sheetName val="1"/>
    </sheet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F6E2B-6DC4-4EC9-9B83-EE8E355A6C62}">
  <sheetPr codeName="Sheet1"/>
  <dimension ref="A2:K31"/>
  <sheetViews>
    <sheetView showGridLines="0" workbookViewId="0">
      <selection activeCell="C1" sqref="C1"/>
    </sheetView>
  </sheetViews>
  <sheetFormatPr defaultRowHeight="14.5" x14ac:dyDescent="0.35"/>
  <cols>
    <col min="1" max="1" width="27.36328125" bestFit="1" customWidth="1"/>
    <col min="2" max="2" width="48.36328125" bestFit="1" customWidth="1"/>
    <col min="3" max="3" width="9.90625" bestFit="1" customWidth="1"/>
  </cols>
  <sheetData>
    <row r="2" spans="1:11" ht="26" x14ac:dyDescent="0.6">
      <c r="A2" s="71" t="s">
        <v>0</v>
      </c>
      <c r="C2" s="72"/>
    </row>
    <row r="3" spans="1:11" x14ac:dyDescent="0.35">
      <c r="A3" s="73" t="s">
        <v>1</v>
      </c>
      <c r="B3" s="120">
        <f ca="1">TODAY()</f>
        <v>46192</v>
      </c>
      <c r="C3" s="74"/>
    </row>
    <row r="4" spans="1:11" x14ac:dyDescent="0.35">
      <c r="A4" s="73" t="s">
        <v>2</v>
      </c>
      <c r="B4" s="75" t="s">
        <v>325</v>
      </c>
      <c r="C4" s="74" t="s">
        <v>3</v>
      </c>
    </row>
    <row r="5" spans="1:11" x14ac:dyDescent="0.35">
      <c r="A5" s="73" t="s">
        <v>4</v>
      </c>
      <c r="B5" s="75" t="s">
        <v>325</v>
      </c>
      <c r="C5" s="74" t="s">
        <v>3</v>
      </c>
    </row>
    <row r="6" spans="1:11" x14ac:dyDescent="0.35">
      <c r="A6" s="73" t="s">
        <v>296</v>
      </c>
      <c r="B6" s="75" t="s">
        <v>325</v>
      </c>
      <c r="C6" s="74" t="s">
        <v>3</v>
      </c>
    </row>
    <row r="7" spans="1:11" x14ac:dyDescent="0.35">
      <c r="A7" s="76" t="s">
        <v>5</v>
      </c>
      <c r="B7" s="112" t="s">
        <v>11</v>
      </c>
      <c r="C7" s="74" t="s">
        <v>3</v>
      </c>
    </row>
    <row r="8" spans="1:11" ht="15" thickBot="1" x14ac:dyDescent="0.4">
      <c r="A8" s="76" t="s">
        <v>6</v>
      </c>
      <c r="B8" s="82" t="s">
        <v>8</v>
      </c>
      <c r="C8" s="74" t="s">
        <v>3</v>
      </c>
    </row>
    <row r="9" spans="1:11" x14ac:dyDescent="0.35">
      <c r="A9" s="76" t="s">
        <v>326</v>
      </c>
      <c r="B9" s="77">
        <v>46020.229166666664</v>
      </c>
      <c r="C9" s="74" t="s">
        <v>3</v>
      </c>
      <c r="I9" s="102"/>
      <c r="J9" s="103"/>
      <c r="K9" s="104"/>
    </row>
    <row r="10" spans="1:11" x14ac:dyDescent="0.35">
      <c r="A10" s="76" t="s">
        <v>327</v>
      </c>
      <c r="B10" s="77">
        <v>46052.229166666664</v>
      </c>
      <c r="C10" s="74" t="s">
        <v>3</v>
      </c>
      <c r="I10" s="105"/>
      <c r="J10" s="101"/>
      <c r="K10" s="106"/>
    </row>
    <row r="11" spans="1:11" ht="15" thickBot="1" x14ac:dyDescent="0.4">
      <c r="A11" s="76" t="s">
        <v>7</v>
      </c>
      <c r="B11" s="81">
        <f>IF(OR(B9="",B10=""),"Enter a Planned Start and End Date in the cells above",ROUNDUP(((B10-B9)/7),0))</f>
        <v>5</v>
      </c>
      <c r="C11" s="74"/>
      <c r="I11" s="107"/>
      <c r="J11" s="108"/>
      <c r="K11" s="109"/>
    </row>
    <row r="14" spans="1:11" ht="15" thickBot="1" x14ac:dyDescent="0.4"/>
    <row r="15" spans="1:11" x14ac:dyDescent="0.35">
      <c r="A15" s="253" t="s">
        <v>16</v>
      </c>
      <c r="B15" s="254"/>
    </row>
    <row r="16" spans="1:11" x14ac:dyDescent="0.35">
      <c r="A16" s="78" t="s">
        <v>12</v>
      </c>
      <c r="B16" s="83">
        <f>IF($B$7="Fixed Fee",'Fixed Fee'!L189,'T&amp;M'!M191)</f>
        <v>240</v>
      </c>
    </row>
    <row r="17" spans="1:3" x14ac:dyDescent="0.35">
      <c r="A17" s="78" t="s">
        <v>13</v>
      </c>
      <c r="B17" s="84">
        <f>IF($B$7="Fixed Fee",'Fixed Fee'!F9,'T&amp;M'!F9)</f>
        <v>701530</v>
      </c>
    </row>
    <row r="18" spans="1:3" x14ac:dyDescent="0.35">
      <c r="A18" s="78" t="s">
        <v>14</v>
      </c>
      <c r="B18" s="84">
        <f>IF($B$7="Fixed Fee",'Fixed Fee'!F10,'T&amp;M'!F10)</f>
        <v>0</v>
      </c>
    </row>
    <row r="19" spans="1:3" x14ac:dyDescent="0.35">
      <c r="A19" s="78" t="s">
        <v>288</v>
      </c>
      <c r="B19" s="84">
        <f>IF($B$7="Fixed Fee",'Fixed Fee'!F11,'T&amp;M'!F11)</f>
        <v>0</v>
      </c>
    </row>
    <row r="20" spans="1:3" x14ac:dyDescent="0.35">
      <c r="A20" s="78" t="s">
        <v>289</v>
      </c>
      <c r="B20" s="84">
        <f>IF($B$7="Fixed Fee",'Fixed Fee'!F12,'T&amp;M'!F12)</f>
        <v>0</v>
      </c>
    </row>
    <row r="21" spans="1:3" x14ac:dyDescent="0.35">
      <c r="A21" s="78" t="s">
        <v>290</v>
      </c>
      <c r="B21" s="84">
        <f>IF($B$7="Fixed Fee",'Fixed Fee'!F13,'T&amp;M'!F13)</f>
        <v>0</v>
      </c>
    </row>
    <row r="22" spans="1:3" x14ac:dyDescent="0.35">
      <c r="A22" s="78" t="s">
        <v>305</v>
      </c>
      <c r="B22" s="84">
        <f>IF($B$7="Fixed Fee",'Fixed Fee'!F15,'T&amp;M'!F15)</f>
        <v>701530</v>
      </c>
    </row>
    <row r="23" spans="1:3" x14ac:dyDescent="0.35">
      <c r="A23" s="78" t="s">
        <v>304</v>
      </c>
      <c r="B23" s="85">
        <f>IF($B$7="Fixed Fee",'Fixed Fee'!F16,'T&amp;M'!F16)</f>
        <v>9119.89</v>
      </c>
    </row>
    <row r="24" spans="1:3" x14ac:dyDescent="0.35">
      <c r="A24" s="78" t="s">
        <v>278</v>
      </c>
      <c r="B24" s="86">
        <f>IF($B$7="Fixed Fee",'Fixed Fee'!H10,'T&amp;M'!H10)</f>
        <v>2.0158908045977011</v>
      </c>
    </row>
    <row r="25" spans="1:3" x14ac:dyDescent="0.35">
      <c r="A25" s="78" t="s">
        <v>291</v>
      </c>
      <c r="B25" s="84">
        <f>IF($B$7="Fixed Fee",'Fixed Fee'!I10,'T&amp;M'!I10)</f>
        <v>2923.0416666666665</v>
      </c>
    </row>
    <row r="26" spans="1:3" hidden="1" x14ac:dyDescent="0.35">
      <c r="A26" s="78" t="s">
        <v>15</v>
      </c>
      <c r="B26" s="84">
        <f>IF($B$7="Fixed Fee",'Fixed Fee'!DM70,'T&amp;M'!DN70)</f>
        <v>240000</v>
      </c>
      <c r="C26" t="s">
        <v>295</v>
      </c>
    </row>
    <row r="27" spans="1:3" hidden="1" x14ac:dyDescent="0.35">
      <c r="A27" s="78" t="s">
        <v>310</v>
      </c>
      <c r="B27" s="86" t="str">
        <f>IF($B$7="Fixed Fee",'Fixed Fee'!J10,'T&amp;M'!J10)</f>
        <v>-</v>
      </c>
      <c r="C27" t="s">
        <v>295</v>
      </c>
    </row>
    <row r="28" spans="1:3" ht="15" hidden="1" thickBot="1" x14ac:dyDescent="0.4">
      <c r="A28" s="79" t="s">
        <v>292</v>
      </c>
      <c r="B28" s="86" t="str">
        <f>IF($B$7="Fixed Fee",'Fixed Fee'!K10,'T&amp;M'!K10)</f>
        <v>-</v>
      </c>
      <c r="C28" t="s">
        <v>295</v>
      </c>
    </row>
    <row r="29" spans="1:3" hidden="1" x14ac:dyDescent="0.35">
      <c r="A29" s="80" t="s">
        <v>293</v>
      </c>
      <c r="B29" s="86" t="str">
        <f>IF($B$7="Fixed Fee",'Fixed Fee'!L10,'T&amp;M'!L10)</f>
        <v>-</v>
      </c>
      <c r="C29" t="s">
        <v>295</v>
      </c>
    </row>
    <row r="30" spans="1:3" hidden="1" x14ac:dyDescent="0.35">
      <c r="A30" s="80" t="s">
        <v>303</v>
      </c>
      <c r="B30" s="86">
        <f>IF($B$7="Fixed Fee",'Fixed Fee'!A3,'T&amp;M'!A3)</f>
        <v>0.65789061052271469</v>
      </c>
      <c r="C30" t="s">
        <v>295</v>
      </c>
    </row>
    <row r="31" spans="1:3" hidden="1" x14ac:dyDescent="0.35">
      <c r="A31" s="80" t="s">
        <v>294</v>
      </c>
      <c r="B31" s="86" t="str">
        <f>IF($B$7="Fixed Fee",'Fixed Fee'!B3,'T&amp;M'!B3)</f>
        <v>-</v>
      </c>
      <c r="C31" t="s">
        <v>295</v>
      </c>
    </row>
  </sheetData>
  <sheetProtection algorithmName="SHA-512" hashValue="hjvbzn+6A5MN4Dlt5/i8OvEtFUJ36Vii5Vyc03fh1s1iEUkc5o+oPVfQmSXhbmMWgY8senhoE72s2tuk3iJM7A==" saltValue="ebq0zIwqo469cpKB69fwNQ==" spinCount="100000" sheet="1" objects="1" scenarios="1" sort="0" autoFilter="0" pivotTables="0"/>
  <mergeCells count="1">
    <mergeCell ref="A15:B15"/>
  </mergeCells>
  <conditionalFormatting sqref="B4:B6">
    <cfRule type="beginsWith" dxfId="11" priority="2" operator="beginsWith" text="Enter a">
      <formula>LEFT(B4,LEN("Enter a"))="Enter a"</formula>
    </cfRule>
  </conditionalFormatting>
  <conditionalFormatting sqref="B9:B11">
    <cfRule type="beginsWith" dxfId="10" priority="1" operator="beginsWith" text="Enter a">
      <formula>LEFT(B9,LEN("Enter a"))="Enter a"</formula>
    </cfRule>
  </conditionalFormatting>
  <dataValidations count="4">
    <dataValidation type="date" allowBlank="1" showInputMessage="1" showErrorMessage="1" error="Please enter a valid date." sqref="B3" xr:uid="{15EE5015-7066-476C-B34E-7E762D8CD964}">
      <formula1>38718</formula1>
      <formula2>73051</formula2>
    </dataValidation>
    <dataValidation type="custom" allowBlank="1" showInputMessage="1" showErrorMessage="1" sqref="B11" xr:uid="{75D1C325-FA36-4327-A700-7D46B0CDA230}">
      <formula1>IF(OR(B9="",B10=""),"Enter a Planned Start and End Date in the cells above",ROUNDUP(((B10-B9)/7),0))</formula1>
    </dataValidation>
    <dataValidation type="date" operator="greaterThan" allowBlank="1" showInputMessage="1" showErrorMessage="1" error="Please enter a valid date, and a date not before the planned start date. " sqref="B10" xr:uid="{EEE44A24-CA8B-4CA3-85D9-209A77509E9A}">
      <formula1>B9</formula1>
    </dataValidation>
    <dataValidation type="date" allowBlank="1" showInputMessage="1" showErrorMessage="1" error="Please enter a valid date. " sqref="B9" xr:uid="{77BA18B7-3B67-41BC-A177-C7EAA5074705}">
      <formula1>38718</formula1>
      <formula2>109574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tartNow">
                <anchor moveWithCells="1" sizeWithCells="1">
                  <from>
                    <xdr:col>8</xdr:col>
                    <xdr:colOff>381000</xdr:colOff>
                    <xdr:row>8</xdr:row>
                    <xdr:rowOff>76200</xdr:rowOff>
                  </from>
                  <to>
                    <xdr:col>10</xdr:col>
                    <xdr:colOff>260350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42100B-EDB0-4D90-A1C3-28D59537357D}">
          <x14:formula1>
            <xm:f>'Data Validation'!$B$3:$B$4</xm:f>
          </x14:formula1>
          <xm:sqref>B7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BD842-DEB0-40A9-A0F9-9FE55EE76A06}">
  <sheetPr codeName="Sheet2"/>
  <dimension ref="A1:DM190"/>
  <sheetViews>
    <sheetView showGridLines="0" zoomScale="80" zoomScaleNormal="80" workbookViewId="0">
      <pane ySplit="16" topLeftCell="A17" activePane="bottomLeft" state="frozen"/>
      <selection pane="bottomLeft" activeCell="G8" sqref="G8"/>
    </sheetView>
  </sheetViews>
  <sheetFormatPr defaultRowHeight="14.5" x14ac:dyDescent="0.35"/>
  <cols>
    <col min="1" max="4" width="8.90625" hidden="1" customWidth="1"/>
    <col min="5" max="5" width="35.6328125" bestFit="1" customWidth="1"/>
    <col min="6" max="6" width="19.90625" bestFit="1" customWidth="1"/>
    <col min="7" max="7" width="21.36328125" bestFit="1" customWidth="1"/>
    <col min="8" max="8" width="19.08984375" bestFit="1" customWidth="1"/>
    <col min="9" max="9" width="17.08984375" bestFit="1" customWidth="1"/>
    <col min="10" max="10" width="20.36328125" customWidth="1"/>
    <col min="11" max="11" width="20.6328125" bestFit="1" customWidth="1"/>
    <col min="12" max="12" width="15.54296875" bestFit="1" customWidth="1"/>
    <col min="13" max="117" width="13" customWidth="1"/>
  </cols>
  <sheetData>
    <row r="1" spans="1:14" hidden="1" x14ac:dyDescent="0.35"/>
    <row r="2" spans="1:14" hidden="1" x14ac:dyDescent="0.35">
      <c r="A2" s="11" t="s">
        <v>302</v>
      </c>
      <c r="B2" s="55" t="s">
        <v>281</v>
      </c>
      <c r="C2" s="13" t="s">
        <v>18</v>
      </c>
      <c r="D2" s="14" t="s">
        <v>19</v>
      </c>
    </row>
    <row r="3" spans="1:14" ht="15" hidden="1" thickBot="1" x14ac:dyDescent="0.4">
      <c r="A3" s="59" t="str">
        <f>IFERROR((K70-DM70)/K70,"-")</f>
        <v>-</v>
      </c>
      <c r="B3" s="60" t="str">
        <f>IFERROR((F9-DM70-J152-J186-F10-F11)/(F9-F10-F11),"-")</f>
        <v>-</v>
      </c>
      <c r="C3" s="17" t="s">
        <v>20</v>
      </c>
      <c r="D3" s="14" t="s">
        <v>21</v>
      </c>
    </row>
    <row r="4" spans="1:14" hidden="1" x14ac:dyDescent="0.35">
      <c r="C4" s="18" t="s">
        <v>22</v>
      </c>
      <c r="D4" s="19" t="s">
        <v>23</v>
      </c>
    </row>
    <row r="5" spans="1:14" hidden="1" x14ac:dyDescent="0.35">
      <c r="C5" s="22" t="s">
        <v>24</v>
      </c>
      <c r="D5" s="14" t="s">
        <v>25</v>
      </c>
    </row>
    <row r="6" spans="1:14" hidden="1" x14ac:dyDescent="0.35">
      <c r="C6" s="24" t="s">
        <v>27</v>
      </c>
      <c r="D6" s="19" t="s">
        <v>28</v>
      </c>
    </row>
    <row r="7" spans="1:14" x14ac:dyDescent="0.35">
      <c r="G7" s="128" t="s">
        <v>324</v>
      </c>
    </row>
    <row r="8" spans="1:14" ht="15" thickBot="1" x14ac:dyDescent="0.4">
      <c r="H8" s="62"/>
      <c r="I8" s="62"/>
      <c r="J8" s="48"/>
      <c r="K8" s="258" t="s">
        <v>141</v>
      </c>
      <c r="L8" s="258"/>
      <c r="M8" s="258"/>
      <c r="N8" s="258"/>
    </row>
    <row r="9" spans="1:14" x14ac:dyDescent="0.35">
      <c r="E9" s="9" t="s">
        <v>17</v>
      </c>
      <c r="F9" s="110"/>
      <c r="H9" s="65" t="s">
        <v>278</v>
      </c>
      <c r="I9" s="34" t="s">
        <v>269</v>
      </c>
      <c r="J9" s="34" t="s">
        <v>309</v>
      </c>
      <c r="K9" s="11" t="s">
        <v>279</v>
      </c>
      <c r="L9" s="55" t="s">
        <v>280</v>
      </c>
      <c r="M9" s="132" t="s">
        <v>319</v>
      </c>
      <c r="N9" s="132" t="s">
        <v>317</v>
      </c>
    </row>
    <row r="10" spans="1:14" ht="25.5" thickBot="1" x14ac:dyDescent="0.4">
      <c r="E10" s="12" t="s">
        <v>328</v>
      </c>
      <c r="F10" s="100">
        <f>K84</f>
        <v>0</v>
      </c>
      <c r="H10" s="56">
        <f>IFERROR(F15/J70,"-")</f>
        <v>0</v>
      </c>
      <c r="I10" s="57">
        <f>IFERROR(K189/L189,"-")</f>
        <v>0</v>
      </c>
      <c r="J10" s="58" t="str">
        <f>J118</f>
        <v>-</v>
      </c>
      <c r="K10" s="58" t="str">
        <f>IFERROR((K152-J152)/K152,"-")</f>
        <v>-</v>
      </c>
      <c r="L10" s="87" t="str">
        <f>IFERROR((K186-J186)/K186,"-")</f>
        <v>-</v>
      </c>
      <c r="M10" s="58" t="str">
        <f>A3</f>
        <v>-</v>
      </c>
      <c r="N10" s="58" t="str">
        <f>B3</f>
        <v>-</v>
      </c>
    </row>
    <row r="11" spans="1:14" x14ac:dyDescent="0.35">
      <c r="E11" s="15" t="s">
        <v>271</v>
      </c>
      <c r="F11" s="16">
        <f>K118</f>
        <v>0</v>
      </c>
    </row>
    <row r="12" spans="1:14" x14ac:dyDescent="0.35">
      <c r="E12" s="15" t="s">
        <v>26</v>
      </c>
      <c r="F12" s="16">
        <f>K152</f>
        <v>0</v>
      </c>
    </row>
    <row r="13" spans="1:14" ht="15" thickBot="1" x14ac:dyDescent="0.4">
      <c r="E13" s="20" t="s">
        <v>270</v>
      </c>
      <c r="F13" s="21">
        <f>K186</f>
        <v>0</v>
      </c>
    </row>
    <row r="14" spans="1:14" ht="15" thickBot="1" x14ac:dyDescent="0.4">
      <c r="E14" s="19"/>
      <c r="F14" s="23"/>
    </row>
    <row r="15" spans="1:14" x14ac:dyDescent="0.35">
      <c r="E15" s="9" t="s">
        <v>306</v>
      </c>
      <c r="F15" s="10">
        <f>F9-F10-F11-F12-F13</f>
        <v>0</v>
      </c>
    </row>
    <row r="16" spans="1:14" ht="15" thickBot="1" x14ac:dyDescent="0.4">
      <c r="E16" s="25" t="s">
        <v>307</v>
      </c>
      <c r="F16" s="64">
        <f>F15*'Data Validation'!D3</f>
        <v>0</v>
      </c>
    </row>
    <row r="17" spans="5:117" ht="16" thickBot="1" x14ac:dyDescent="0.4">
      <c r="E17" s="26"/>
      <c r="F17" s="27"/>
    </row>
    <row r="18" spans="5:117" ht="15" thickBot="1" x14ac:dyDescent="0.4">
      <c r="E18" s="28" t="s">
        <v>151</v>
      </c>
      <c r="M18" s="29">
        <f>FrontPage!B9</f>
        <v>46020.229166666664</v>
      </c>
      <c r="N18" s="30">
        <f>M18+7</f>
        <v>46027.229166666664</v>
      </c>
      <c r="O18" s="30">
        <f t="shared" ref="O18:BZ18" si="0">N18+7</f>
        <v>46034.229166666664</v>
      </c>
      <c r="P18" s="30">
        <f t="shared" si="0"/>
        <v>46041.229166666664</v>
      </c>
      <c r="Q18" s="30">
        <f t="shared" si="0"/>
        <v>46048.229166666664</v>
      </c>
      <c r="R18" s="30">
        <f t="shared" si="0"/>
        <v>46055.229166666664</v>
      </c>
      <c r="S18" s="30">
        <f t="shared" si="0"/>
        <v>46062.229166666664</v>
      </c>
      <c r="T18" s="30">
        <f t="shared" si="0"/>
        <v>46069.229166666664</v>
      </c>
      <c r="U18" s="30">
        <f t="shared" si="0"/>
        <v>46076.229166666664</v>
      </c>
      <c r="V18" s="30">
        <f t="shared" si="0"/>
        <v>46083.229166666664</v>
      </c>
      <c r="W18" s="30">
        <f t="shared" si="0"/>
        <v>46090.229166666664</v>
      </c>
      <c r="X18" s="30">
        <f t="shared" si="0"/>
        <v>46097.229166666664</v>
      </c>
      <c r="Y18" s="30">
        <f t="shared" si="0"/>
        <v>46104.229166666664</v>
      </c>
      <c r="Z18" s="30">
        <f t="shared" si="0"/>
        <v>46111.229166666664</v>
      </c>
      <c r="AA18" s="30">
        <f t="shared" si="0"/>
        <v>46118.229166666664</v>
      </c>
      <c r="AB18" s="30">
        <f t="shared" si="0"/>
        <v>46125.229166666664</v>
      </c>
      <c r="AC18" s="30">
        <f t="shared" si="0"/>
        <v>46132.229166666664</v>
      </c>
      <c r="AD18" s="30">
        <f t="shared" si="0"/>
        <v>46139.229166666664</v>
      </c>
      <c r="AE18" s="30">
        <f t="shared" si="0"/>
        <v>46146.229166666664</v>
      </c>
      <c r="AF18" s="30">
        <f t="shared" si="0"/>
        <v>46153.229166666664</v>
      </c>
      <c r="AG18" s="30">
        <f t="shared" si="0"/>
        <v>46160.229166666664</v>
      </c>
      <c r="AH18" s="30">
        <f t="shared" si="0"/>
        <v>46167.229166666664</v>
      </c>
      <c r="AI18" s="30">
        <f t="shared" si="0"/>
        <v>46174.229166666664</v>
      </c>
      <c r="AJ18" s="30">
        <f t="shared" si="0"/>
        <v>46181.229166666664</v>
      </c>
      <c r="AK18" s="30">
        <f t="shared" si="0"/>
        <v>46188.229166666664</v>
      </c>
      <c r="AL18" s="30">
        <f t="shared" si="0"/>
        <v>46195.229166666664</v>
      </c>
      <c r="AM18" s="30">
        <f t="shared" si="0"/>
        <v>46202.229166666664</v>
      </c>
      <c r="AN18" s="30">
        <f t="shared" si="0"/>
        <v>46209.229166666664</v>
      </c>
      <c r="AO18" s="30">
        <f t="shared" si="0"/>
        <v>46216.229166666664</v>
      </c>
      <c r="AP18" s="30">
        <f t="shared" si="0"/>
        <v>46223.229166666664</v>
      </c>
      <c r="AQ18" s="30">
        <f t="shared" si="0"/>
        <v>46230.229166666664</v>
      </c>
      <c r="AR18" s="30">
        <f t="shared" si="0"/>
        <v>46237.229166666664</v>
      </c>
      <c r="AS18" s="30">
        <f t="shared" si="0"/>
        <v>46244.229166666664</v>
      </c>
      <c r="AT18" s="30">
        <f t="shared" si="0"/>
        <v>46251.229166666664</v>
      </c>
      <c r="AU18" s="30">
        <f t="shared" si="0"/>
        <v>46258.229166666664</v>
      </c>
      <c r="AV18" s="30">
        <f t="shared" si="0"/>
        <v>46265.229166666664</v>
      </c>
      <c r="AW18" s="30">
        <f t="shared" si="0"/>
        <v>46272.229166666664</v>
      </c>
      <c r="AX18" s="30">
        <f t="shared" si="0"/>
        <v>46279.229166666664</v>
      </c>
      <c r="AY18" s="30">
        <f t="shared" si="0"/>
        <v>46286.229166666664</v>
      </c>
      <c r="AZ18" s="30">
        <f t="shared" si="0"/>
        <v>46293.229166666664</v>
      </c>
      <c r="BA18" s="30">
        <f t="shared" si="0"/>
        <v>46300.229166666664</v>
      </c>
      <c r="BB18" s="30">
        <f t="shared" si="0"/>
        <v>46307.229166666664</v>
      </c>
      <c r="BC18" s="30">
        <f t="shared" si="0"/>
        <v>46314.229166666664</v>
      </c>
      <c r="BD18" s="30">
        <f t="shared" si="0"/>
        <v>46321.229166666664</v>
      </c>
      <c r="BE18" s="30">
        <f t="shared" si="0"/>
        <v>46328.229166666664</v>
      </c>
      <c r="BF18" s="30">
        <f t="shared" si="0"/>
        <v>46335.229166666664</v>
      </c>
      <c r="BG18" s="30">
        <f t="shared" si="0"/>
        <v>46342.229166666664</v>
      </c>
      <c r="BH18" s="30">
        <f t="shared" si="0"/>
        <v>46349.229166666664</v>
      </c>
      <c r="BI18" s="30">
        <f t="shared" si="0"/>
        <v>46356.229166666664</v>
      </c>
      <c r="BJ18" s="30">
        <f t="shared" si="0"/>
        <v>46363.229166666664</v>
      </c>
      <c r="BK18" s="30">
        <f t="shared" si="0"/>
        <v>46370.229166666664</v>
      </c>
      <c r="BL18" s="30">
        <f t="shared" si="0"/>
        <v>46377.229166666664</v>
      </c>
      <c r="BM18" s="30">
        <f t="shared" si="0"/>
        <v>46384.229166666664</v>
      </c>
      <c r="BN18" s="30">
        <f t="shared" si="0"/>
        <v>46391.229166666664</v>
      </c>
      <c r="BO18" s="30">
        <f t="shared" si="0"/>
        <v>46398.229166666664</v>
      </c>
      <c r="BP18" s="30">
        <f t="shared" si="0"/>
        <v>46405.229166666664</v>
      </c>
      <c r="BQ18" s="30">
        <f t="shared" si="0"/>
        <v>46412.229166666664</v>
      </c>
      <c r="BR18" s="30">
        <f t="shared" si="0"/>
        <v>46419.229166666664</v>
      </c>
      <c r="BS18" s="30">
        <f t="shared" si="0"/>
        <v>46426.229166666664</v>
      </c>
      <c r="BT18" s="30">
        <f t="shared" si="0"/>
        <v>46433.229166666664</v>
      </c>
      <c r="BU18" s="30">
        <f t="shared" si="0"/>
        <v>46440.229166666664</v>
      </c>
      <c r="BV18" s="30">
        <f t="shared" si="0"/>
        <v>46447.229166666664</v>
      </c>
      <c r="BW18" s="30">
        <f t="shared" si="0"/>
        <v>46454.229166666664</v>
      </c>
      <c r="BX18" s="30">
        <f t="shared" si="0"/>
        <v>46461.229166666664</v>
      </c>
      <c r="BY18" s="30">
        <f t="shared" si="0"/>
        <v>46468.229166666664</v>
      </c>
      <c r="BZ18" s="30">
        <f t="shared" si="0"/>
        <v>46475.229166666664</v>
      </c>
      <c r="CA18" s="30">
        <f t="shared" ref="CA18:DL18" si="1">BZ18+7</f>
        <v>46482.229166666664</v>
      </c>
      <c r="CB18" s="30">
        <f t="shared" si="1"/>
        <v>46489.229166666664</v>
      </c>
      <c r="CC18" s="30">
        <f t="shared" si="1"/>
        <v>46496.229166666664</v>
      </c>
      <c r="CD18" s="30">
        <f t="shared" si="1"/>
        <v>46503.229166666664</v>
      </c>
      <c r="CE18" s="30">
        <f t="shared" si="1"/>
        <v>46510.229166666664</v>
      </c>
      <c r="CF18" s="30">
        <f t="shared" si="1"/>
        <v>46517.229166666664</v>
      </c>
      <c r="CG18" s="30">
        <f t="shared" si="1"/>
        <v>46524.229166666664</v>
      </c>
      <c r="CH18" s="30">
        <f t="shared" si="1"/>
        <v>46531.229166666664</v>
      </c>
      <c r="CI18" s="30">
        <f t="shared" si="1"/>
        <v>46538.229166666664</v>
      </c>
      <c r="CJ18" s="30">
        <f t="shared" si="1"/>
        <v>46545.229166666664</v>
      </c>
      <c r="CK18" s="30">
        <f t="shared" si="1"/>
        <v>46552.229166666664</v>
      </c>
      <c r="CL18" s="30">
        <f t="shared" si="1"/>
        <v>46559.229166666664</v>
      </c>
      <c r="CM18" s="30">
        <f t="shared" si="1"/>
        <v>46566.229166666664</v>
      </c>
      <c r="CN18" s="30">
        <f t="shared" si="1"/>
        <v>46573.229166666664</v>
      </c>
      <c r="CO18" s="30">
        <f t="shared" si="1"/>
        <v>46580.229166666664</v>
      </c>
      <c r="CP18" s="30">
        <f t="shared" si="1"/>
        <v>46587.229166666664</v>
      </c>
      <c r="CQ18" s="30">
        <f t="shared" si="1"/>
        <v>46594.229166666664</v>
      </c>
      <c r="CR18" s="30">
        <f t="shared" si="1"/>
        <v>46601.229166666664</v>
      </c>
      <c r="CS18" s="30">
        <f t="shared" si="1"/>
        <v>46608.229166666664</v>
      </c>
      <c r="CT18" s="30">
        <f t="shared" si="1"/>
        <v>46615.229166666664</v>
      </c>
      <c r="CU18" s="30">
        <f t="shared" si="1"/>
        <v>46622.229166666664</v>
      </c>
      <c r="CV18" s="30">
        <f t="shared" si="1"/>
        <v>46629.229166666664</v>
      </c>
      <c r="CW18" s="30">
        <f t="shared" si="1"/>
        <v>46636.229166666664</v>
      </c>
      <c r="CX18" s="30">
        <f t="shared" si="1"/>
        <v>46643.229166666664</v>
      </c>
      <c r="CY18" s="30">
        <f t="shared" si="1"/>
        <v>46650.229166666664</v>
      </c>
      <c r="CZ18" s="30">
        <f t="shared" si="1"/>
        <v>46657.229166666664</v>
      </c>
      <c r="DA18" s="30">
        <f t="shared" si="1"/>
        <v>46664.229166666664</v>
      </c>
      <c r="DB18" s="30">
        <f t="shared" si="1"/>
        <v>46671.229166666664</v>
      </c>
      <c r="DC18" s="30">
        <f t="shared" si="1"/>
        <v>46678.229166666664</v>
      </c>
      <c r="DD18" s="30">
        <f t="shared" si="1"/>
        <v>46685.229166666664</v>
      </c>
      <c r="DE18" s="30">
        <f t="shared" si="1"/>
        <v>46692.229166666664</v>
      </c>
      <c r="DF18" s="30">
        <f t="shared" si="1"/>
        <v>46699.229166666664</v>
      </c>
      <c r="DG18" s="30">
        <f t="shared" si="1"/>
        <v>46706.229166666664</v>
      </c>
      <c r="DH18" s="30">
        <f t="shared" si="1"/>
        <v>46713.229166666664</v>
      </c>
      <c r="DI18" s="30">
        <f t="shared" si="1"/>
        <v>46720.229166666664</v>
      </c>
      <c r="DJ18" s="30">
        <f t="shared" si="1"/>
        <v>46727.229166666664</v>
      </c>
      <c r="DK18" s="30">
        <f t="shared" si="1"/>
        <v>46734.229166666664</v>
      </c>
      <c r="DL18" s="30">
        <f t="shared" si="1"/>
        <v>46741.229166666664</v>
      </c>
      <c r="DM18" s="31"/>
    </row>
    <row r="19" spans="5:117" s="19" customFormat="1" ht="30" customHeight="1" x14ac:dyDescent="0.3">
      <c r="E19" s="28" t="s">
        <v>29</v>
      </c>
      <c r="F19" s="32" t="s">
        <v>145</v>
      </c>
      <c r="G19" s="32" t="s">
        <v>146</v>
      </c>
      <c r="H19" s="33" t="s">
        <v>30</v>
      </c>
      <c r="I19" s="33" t="s">
        <v>31</v>
      </c>
      <c r="J19" s="33" t="s">
        <v>32</v>
      </c>
      <c r="K19" s="33" t="s">
        <v>33</v>
      </c>
      <c r="L19" s="33" t="s">
        <v>34</v>
      </c>
      <c r="M19" s="34" t="s">
        <v>35</v>
      </c>
      <c r="N19" s="33" t="s">
        <v>36</v>
      </c>
      <c r="O19" s="33" t="s">
        <v>37</v>
      </c>
      <c r="P19" s="33" t="s">
        <v>38</v>
      </c>
      <c r="Q19" s="33" t="s">
        <v>39</v>
      </c>
      <c r="R19" s="33" t="s">
        <v>40</v>
      </c>
      <c r="S19" s="33" t="s">
        <v>41</v>
      </c>
      <c r="T19" s="33" t="s">
        <v>42</v>
      </c>
      <c r="U19" s="33" t="s">
        <v>43</v>
      </c>
      <c r="V19" s="33" t="s">
        <v>44</v>
      </c>
      <c r="W19" s="33" t="s">
        <v>45</v>
      </c>
      <c r="X19" s="33" t="s">
        <v>46</v>
      </c>
      <c r="Y19" s="33" t="s">
        <v>47</v>
      </c>
      <c r="Z19" s="33" t="s">
        <v>48</v>
      </c>
      <c r="AA19" s="33" t="s">
        <v>49</v>
      </c>
      <c r="AB19" s="33" t="s">
        <v>50</v>
      </c>
      <c r="AC19" s="33" t="s">
        <v>51</v>
      </c>
      <c r="AD19" s="33" t="s">
        <v>52</v>
      </c>
      <c r="AE19" s="33" t="s">
        <v>53</v>
      </c>
      <c r="AF19" s="33" t="s">
        <v>54</v>
      </c>
      <c r="AG19" s="33" t="s">
        <v>55</v>
      </c>
      <c r="AH19" s="33" t="s">
        <v>56</v>
      </c>
      <c r="AI19" s="33" t="s">
        <v>57</v>
      </c>
      <c r="AJ19" s="33" t="s">
        <v>58</v>
      </c>
      <c r="AK19" s="33" t="s">
        <v>59</v>
      </c>
      <c r="AL19" s="33" t="s">
        <v>60</v>
      </c>
      <c r="AM19" s="33" t="s">
        <v>61</v>
      </c>
      <c r="AN19" s="33" t="s">
        <v>62</v>
      </c>
      <c r="AO19" s="33" t="s">
        <v>63</v>
      </c>
      <c r="AP19" s="33" t="s">
        <v>64</v>
      </c>
      <c r="AQ19" s="33" t="s">
        <v>65</v>
      </c>
      <c r="AR19" s="33" t="s">
        <v>66</v>
      </c>
      <c r="AS19" s="33" t="s">
        <v>67</v>
      </c>
      <c r="AT19" s="33" t="s">
        <v>68</v>
      </c>
      <c r="AU19" s="33" t="s">
        <v>69</v>
      </c>
      <c r="AV19" s="33" t="s">
        <v>70</v>
      </c>
      <c r="AW19" s="33" t="s">
        <v>71</v>
      </c>
      <c r="AX19" s="33" t="s">
        <v>72</v>
      </c>
      <c r="AY19" s="33" t="s">
        <v>73</v>
      </c>
      <c r="AZ19" s="33" t="s">
        <v>74</v>
      </c>
      <c r="BA19" s="33" t="s">
        <v>75</v>
      </c>
      <c r="BB19" s="33" t="s">
        <v>76</v>
      </c>
      <c r="BC19" s="33" t="s">
        <v>77</v>
      </c>
      <c r="BD19" s="33" t="s">
        <v>78</v>
      </c>
      <c r="BE19" s="33" t="s">
        <v>79</v>
      </c>
      <c r="BF19" s="33" t="s">
        <v>80</v>
      </c>
      <c r="BG19" s="33" t="s">
        <v>81</v>
      </c>
      <c r="BH19" s="33" t="s">
        <v>82</v>
      </c>
      <c r="BI19" s="33" t="s">
        <v>83</v>
      </c>
      <c r="BJ19" s="33" t="s">
        <v>84</v>
      </c>
      <c r="BK19" s="33" t="s">
        <v>85</v>
      </c>
      <c r="BL19" s="33" t="s">
        <v>86</v>
      </c>
      <c r="BM19" s="33" t="s">
        <v>87</v>
      </c>
      <c r="BN19" s="33" t="s">
        <v>88</v>
      </c>
      <c r="BO19" s="33" t="s">
        <v>89</v>
      </c>
      <c r="BP19" s="33" t="s">
        <v>90</v>
      </c>
      <c r="BQ19" s="33" t="s">
        <v>91</v>
      </c>
      <c r="BR19" s="33" t="s">
        <v>92</v>
      </c>
      <c r="BS19" s="33" t="s">
        <v>93</v>
      </c>
      <c r="BT19" s="33" t="s">
        <v>94</v>
      </c>
      <c r="BU19" s="33" t="s">
        <v>95</v>
      </c>
      <c r="BV19" s="33" t="s">
        <v>96</v>
      </c>
      <c r="BW19" s="33" t="s">
        <v>97</v>
      </c>
      <c r="BX19" s="33" t="s">
        <v>98</v>
      </c>
      <c r="BY19" s="33" t="s">
        <v>99</v>
      </c>
      <c r="BZ19" s="33" t="s">
        <v>100</v>
      </c>
      <c r="CA19" s="33" t="s">
        <v>101</v>
      </c>
      <c r="CB19" s="33" t="s">
        <v>102</v>
      </c>
      <c r="CC19" s="33" t="s">
        <v>103</v>
      </c>
      <c r="CD19" s="33" t="s">
        <v>104</v>
      </c>
      <c r="CE19" s="33" t="s">
        <v>105</v>
      </c>
      <c r="CF19" s="33" t="s">
        <v>106</v>
      </c>
      <c r="CG19" s="33" t="s">
        <v>107</v>
      </c>
      <c r="CH19" s="33" t="s">
        <v>108</v>
      </c>
      <c r="CI19" s="33" t="s">
        <v>109</v>
      </c>
      <c r="CJ19" s="33" t="s">
        <v>110</v>
      </c>
      <c r="CK19" s="33" t="s">
        <v>111</v>
      </c>
      <c r="CL19" s="33" t="s">
        <v>112</v>
      </c>
      <c r="CM19" s="33" t="s">
        <v>113</v>
      </c>
      <c r="CN19" s="33" t="s">
        <v>114</v>
      </c>
      <c r="CO19" s="33" t="s">
        <v>115</v>
      </c>
      <c r="CP19" s="33" t="s">
        <v>116</v>
      </c>
      <c r="CQ19" s="33" t="s">
        <v>117</v>
      </c>
      <c r="CR19" s="33" t="s">
        <v>118</v>
      </c>
      <c r="CS19" s="33" t="s">
        <v>119</v>
      </c>
      <c r="CT19" s="33" t="s">
        <v>120</v>
      </c>
      <c r="CU19" s="33" t="s">
        <v>121</v>
      </c>
      <c r="CV19" s="33" t="s">
        <v>122</v>
      </c>
      <c r="CW19" s="33" t="s">
        <v>123</v>
      </c>
      <c r="CX19" s="33" t="s">
        <v>124</v>
      </c>
      <c r="CY19" s="33" t="s">
        <v>125</v>
      </c>
      <c r="CZ19" s="33" t="s">
        <v>126</v>
      </c>
      <c r="DA19" s="33" t="s">
        <v>127</v>
      </c>
      <c r="DB19" s="33" t="s">
        <v>128</v>
      </c>
      <c r="DC19" s="33" t="s">
        <v>129</v>
      </c>
      <c r="DD19" s="33" t="s">
        <v>130</v>
      </c>
      <c r="DE19" s="33" t="s">
        <v>131</v>
      </c>
      <c r="DF19" s="33" t="s">
        <v>132</v>
      </c>
      <c r="DG19" s="33" t="s">
        <v>133</v>
      </c>
      <c r="DH19" s="33" t="s">
        <v>134</v>
      </c>
      <c r="DI19" s="33" t="s">
        <v>135</v>
      </c>
      <c r="DJ19" s="33" t="s">
        <v>136</v>
      </c>
      <c r="DK19" s="33" t="s">
        <v>137</v>
      </c>
      <c r="DL19" s="33" t="s">
        <v>138</v>
      </c>
      <c r="DM19" s="35" t="s">
        <v>139</v>
      </c>
    </row>
    <row r="20" spans="5:117" x14ac:dyDescent="0.35">
      <c r="E20" s="111"/>
      <c r="F20" s="112" t="s">
        <v>329</v>
      </c>
      <c r="G20" s="112" t="s">
        <v>320</v>
      </c>
      <c r="H20" s="38">
        <f t="shared" ref="H20:H51" si="2">IFERROR(VLOOKUP(G20,Resource_List,2,FALSE),0)</f>
        <v>1450</v>
      </c>
      <c r="I20" s="38">
        <f>IFERROR($H$10*H20,0)</f>
        <v>0</v>
      </c>
      <c r="J20" s="38">
        <f t="shared" ref="J20:J51" si="3">H20*L20</f>
        <v>232000</v>
      </c>
      <c r="K20" s="38">
        <f t="shared" ref="K20:K51" si="4">I20*L20</f>
        <v>0</v>
      </c>
      <c r="L20" s="39">
        <f>SUM(M20:DL20)</f>
        <v>160</v>
      </c>
      <c r="M20" s="113">
        <v>8</v>
      </c>
      <c r="N20" s="113">
        <v>40</v>
      </c>
      <c r="O20" s="113">
        <v>40</v>
      </c>
      <c r="P20" s="113">
        <v>40</v>
      </c>
      <c r="Q20" s="113">
        <v>32</v>
      </c>
      <c r="R20" s="113"/>
      <c r="S20" s="113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  <c r="AW20" s="113"/>
      <c r="AX20" s="113"/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13"/>
      <c r="BK20" s="113"/>
      <c r="BL20" s="113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  <c r="BY20" s="113"/>
      <c r="BZ20" s="113"/>
      <c r="CA20" s="113"/>
      <c r="CB20" s="113"/>
      <c r="CC20" s="113"/>
      <c r="CD20" s="113"/>
      <c r="CE20" s="113"/>
      <c r="CF20" s="113"/>
      <c r="CG20" s="113"/>
      <c r="CH20" s="113"/>
      <c r="CI20" s="113"/>
      <c r="CJ20" s="113"/>
      <c r="CK20" s="113"/>
      <c r="CL20" s="113"/>
      <c r="CM20" s="113"/>
      <c r="CN20" s="113"/>
      <c r="CO20" s="113"/>
      <c r="CP20" s="113"/>
      <c r="CQ20" s="113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3"/>
      <c r="DE20" s="113"/>
      <c r="DF20" s="113"/>
      <c r="DG20" s="113"/>
      <c r="DH20" s="113"/>
      <c r="DI20" s="113"/>
      <c r="DJ20" s="113"/>
      <c r="DK20" s="113"/>
      <c r="DL20" s="113"/>
      <c r="DM20" s="16">
        <f t="shared" ref="DM20:DM51" si="5">IFERROR((L20*VLOOKUP(G20,Resource_List,3,FALSE)),0)</f>
        <v>160000</v>
      </c>
    </row>
    <row r="21" spans="5:117" x14ac:dyDescent="0.35">
      <c r="E21" s="111"/>
      <c r="F21" s="112" t="s">
        <v>330</v>
      </c>
      <c r="G21" s="112" t="s">
        <v>320</v>
      </c>
      <c r="H21" s="38">
        <f t="shared" si="2"/>
        <v>1450</v>
      </c>
      <c r="I21" s="38">
        <f t="shared" ref="I21:I69" si="6">IFERROR($H$10*H21,0)</f>
        <v>0</v>
      </c>
      <c r="J21" s="38">
        <f t="shared" si="3"/>
        <v>116000</v>
      </c>
      <c r="K21" s="38">
        <f t="shared" si="4"/>
        <v>0</v>
      </c>
      <c r="L21" s="39">
        <f t="shared" ref="L21:L69" si="7">SUM(M21:DL21)</f>
        <v>80</v>
      </c>
      <c r="M21" s="113"/>
      <c r="N21" s="113"/>
      <c r="O21" s="113">
        <v>8</v>
      </c>
      <c r="P21" s="113">
        <v>40</v>
      </c>
      <c r="Q21" s="113">
        <v>32</v>
      </c>
      <c r="R21" s="113"/>
      <c r="S21" s="113"/>
      <c r="T21" s="113"/>
      <c r="U21" s="113"/>
      <c r="V21" s="113"/>
      <c r="W21" s="113"/>
      <c r="X21" s="113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  <c r="AU21" s="113"/>
      <c r="AV21" s="113"/>
      <c r="AW21" s="113"/>
      <c r="AX21" s="113"/>
      <c r="AY21" s="113"/>
      <c r="AZ21" s="113"/>
      <c r="BA21" s="113"/>
      <c r="BB21" s="113"/>
      <c r="BC21" s="113"/>
      <c r="BD21" s="113"/>
      <c r="BE21" s="113"/>
      <c r="BF21" s="113"/>
      <c r="BG21" s="113"/>
      <c r="BH21" s="113"/>
      <c r="BI21" s="113"/>
      <c r="BJ21" s="113"/>
      <c r="BK21" s="113"/>
      <c r="BL21" s="113"/>
      <c r="BM21" s="113"/>
      <c r="BN21" s="113"/>
      <c r="BO21" s="113"/>
      <c r="BP21" s="113"/>
      <c r="BQ21" s="113"/>
      <c r="BR21" s="113"/>
      <c r="BS21" s="113"/>
      <c r="BT21" s="113"/>
      <c r="BU21" s="113"/>
      <c r="BV21" s="113"/>
      <c r="BW21" s="113"/>
      <c r="BX21" s="113"/>
      <c r="BY21" s="113"/>
      <c r="BZ21" s="113"/>
      <c r="CA21" s="113"/>
      <c r="CB21" s="113"/>
      <c r="CC21" s="113"/>
      <c r="CD21" s="113"/>
      <c r="CE21" s="113"/>
      <c r="CF21" s="113"/>
      <c r="CG21" s="113"/>
      <c r="CH21" s="113"/>
      <c r="CI21" s="113"/>
      <c r="CJ21" s="113"/>
      <c r="CK21" s="113"/>
      <c r="CL21" s="113"/>
      <c r="CM21" s="113"/>
      <c r="CN21" s="113"/>
      <c r="CO21" s="113"/>
      <c r="CP21" s="113"/>
      <c r="CQ21" s="113"/>
      <c r="CR21" s="113"/>
      <c r="CS21" s="113"/>
      <c r="CT21" s="113"/>
      <c r="CU21" s="113"/>
      <c r="CV21" s="113"/>
      <c r="CW21" s="113"/>
      <c r="CX21" s="113"/>
      <c r="CY21" s="113"/>
      <c r="CZ21" s="113"/>
      <c r="DA21" s="113"/>
      <c r="DB21" s="113"/>
      <c r="DC21" s="113"/>
      <c r="DD21" s="113"/>
      <c r="DE21" s="113"/>
      <c r="DF21" s="113"/>
      <c r="DG21" s="113"/>
      <c r="DH21" s="113"/>
      <c r="DI21" s="113"/>
      <c r="DJ21" s="113"/>
      <c r="DK21" s="113"/>
      <c r="DL21" s="113"/>
      <c r="DM21" s="16">
        <f t="shared" si="5"/>
        <v>80000</v>
      </c>
    </row>
    <row r="22" spans="5:117" x14ac:dyDescent="0.35">
      <c r="E22" s="111"/>
      <c r="F22" s="112"/>
      <c r="G22" s="112"/>
      <c r="H22" s="38">
        <f t="shared" si="2"/>
        <v>0</v>
      </c>
      <c r="I22" s="38">
        <f t="shared" si="6"/>
        <v>0</v>
      </c>
      <c r="J22" s="38">
        <f t="shared" si="3"/>
        <v>0</v>
      </c>
      <c r="K22" s="38">
        <f t="shared" si="4"/>
        <v>0</v>
      </c>
      <c r="L22" s="39">
        <f t="shared" si="7"/>
        <v>0</v>
      </c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  <c r="AW22" s="113"/>
      <c r="AX22" s="113"/>
      <c r="AY22" s="113"/>
      <c r="AZ22" s="113"/>
      <c r="BA22" s="113"/>
      <c r="BB22" s="113"/>
      <c r="BC22" s="113"/>
      <c r="BD22" s="113"/>
      <c r="BE22" s="113"/>
      <c r="BF22" s="113"/>
      <c r="BG22" s="113"/>
      <c r="BH22" s="113"/>
      <c r="BI22" s="113"/>
      <c r="BJ22" s="113"/>
      <c r="BK22" s="113"/>
      <c r="BL22" s="113"/>
      <c r="BM22" s="113"/>
      <c r="BN22" s="113"/>
      <c r="BO22" s="113"/>
      <c r="BP22" s="113"/>
      <c r="BQ22" s="113"/>
      <c r="BR22" s="113"/>
      <c r="BS22" s="113"/>
      <c r="BT22" s="113"/>
      <c r="BU22" s="113"/>
      <c r="BV22" s="113"/>
      <c r="BW22" s="113"/>
      <c r="BX22" s="113"/>
      <c r="BY22" s="113"/>
      <c r="BZ22" s="113"/>
      <c r="CA22" s="113"/>
      <c r="CB22" s="113"/>
      <c r="CC22" s="113"/>
      <c r="CD22" s="113"/>
      <c r="CE22" s="113"/>
      <c r="CF22" s="113"/>
      <c r="CG22" s="113"/>
      <c r="CH22" s="113"/>
      <c r="CI22" s="113"/>
      <c r="CJ22" s="113"/>
      <c r="CK22" s="113"/>
      <c r="CL22" s="113"/>
      <c r="CM22" s="113"/>
      <c r="CN22" s="113"/>
      <c r="CO22" s="113"/>
      <c r="CP22" s="113"/>
      <c r="CQ22" s="113"/>
      <c r="CR22" s="113"/>
      <c r="CS22" s="113"/>
      <c r="CT22" s="113"/>
      <c r="CU22" s="113"/>
      <c r="CV22" s="113"/>
      <c r="CW22" s="113"/>
      <c r="CX22" s="113"/>
      <c r="CY22" s="113"/>
      <c r="CZ22" s="113"/>
      <c r="DA22" s="113"/>
      <c r="DB22" s="113"/>
      <c r="DC22" s="113"/>
      <c r="DD22" s="113"/>
      <c r="DE22" s="113"/>
      <c r="DF22" s="113"/>
      <c r="DG22" s="113"/>
      <c r="DH22" s="113"/>
      <c r="DI22" s="113"/>
      <c r="DJ22" s="113"/>
      <c r="DK22" s="113"/>
      <c r="DL22" s="113"/>
      <c r="DM22" s="16">
        <f t="shared" si="5"/>
        <v>0</v>
      </c>
    </row>
    <row r="23" spans="5:117" x14ac:dyDescent="0.35">
      <c r="E23" s="111"/>
      <c r="F23" s="112"/>
      <c r="G23" s="112"/>
      <c r="H23" s="38">
        <f t="shared" si="2"/>
        <v>0</v>
      </c>
      <c r="I23" s="38">
        <f t="shared" si="6"/>
        <v>0</v>
      </c>
      <c r="J23" s="38">
        <f t="shared" si="3"/>
        <v>0</v>
      </c>
      <c r="K23" s="38">
        <f t="shared" si="4"/>
        <v>0</v>
      </c>
      <c r="L23" s="39">
        <f t="shared" si="7"/>
        <v>0</v>
      </c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  <c r="AC23" s="113"/>
      <c r="AD23" s="11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  <c r="AU23" s="113"/>
      <c r="AV23" s="113"/>
      <c r="AW23" s="113"/>
      <c r="AX23" s="113"/>
      <c r="AY23" s="113"/>
      <c r="AZ23" s="113"/>
      <c r="BA23" s="113"/>
      <c r="BB23" s="113"/>
      <c r="BC23" s="113"/>
      <c r="BD23" s="113"/>
      <c r="BE23" s="113"/>
      <c r="BF23" s="113"/>
      <c r="BG23" s="113"/>
      <c r="BH23" s="113"/>
      <c r="BI23" s="113"/>
      <c r="BJ23" s="113"/>
      <c r="BK23" s="113"/>
      <c r="BL23" s="113"/>
      <c r="BM23" s="113"/>
      <c r="BN23" s="113"/>
      <c r="BO23" s="113"/>
      <c r="BP23" s="113"/>
      <c r="BQ23" s="113"/>
      <c r="BR23" s="113"/>
      <c r="BS23" s="113"/>
      <c r="BT23" s="113"/>
      <c r="BU23" s="113"/>
      <c r="BV23" s="113"/>
      <c r="BW23" s="113"/>
      <c r="BX23" s="113"/>
      <c r="BY23" s="113"/>
      <c r="BZ23" s="113"/>
      <c r="CA23" s="113"/>
      <c r="CB23" s="113"/>
      <c r="CC23" s="113"/>
      <c r="CD23" s="113"/>
      <c r="CE23" s="113"/>
      <c r="CF23" s="113"/>
      <c r="CG23" s="113"/>
      <c r="CH23" s="113"/>
      <c r="CI23" s="113"/>
      <c r="CJ23" s="113"/>
      <c r="CK23" s="113"/>
      <c r="CL23" s="113"/>
      <c r="CM23" s="113"/>
      <c r="CN23" s="113"/>
      <c r="CO23" s="113"/>
      <c r="CP23" s="113"/>
      <c r="CQ23" s="113"/>
      <c r="CR23" s="113"/>
      <c r="CS23" s="113"/>
      <c r="CT23" s="113"/>
      <c r="CU23" s="113"/>
      <c r="CV23" s="113"/>
      <c r="CW23" s="113"/>
      <c r="CX23" s="113"/>
      <c r="CY23" s="113"/>
      <c r="CZ23" s="113"/>
      <c r="DA23" s="113"/>
      <c r="DB23" s="113"/>
      <c r="DC23" s="113"/>
      <c r="DD23" s="113"/>
      <c r="DE23" s="113"/>
      <c r="DF23" s="113"/>
      <c r="DG23" s="113"/>
      <c r="DH23" s="113"/>
      <c r="DI23" s="113"/>
      <c r="DJ23" s="113"/>
      <c r="DK23" s="113"/>
      <c r="DL23" s="113"/>
      <c r="DM23" s="16">
        <f t="shared" si="5"/>
        <v>0</v>
      </c>
    </row>
    <row r="24" spans="5:117" x14ac:dyDescent="0.35">
      <c r="E24" s="111"/>
      <c r="F24" s="112"/>
      <c r="G24" s="112"/>
      <c r="H24" s="38">
        <f t="shared" si="2"/>
        <v>0</v>
      </c>
      <c r="I24" s="38">
        <f t="shared" si="6"/>
        <v>0</v>
      </c>
      <c r="J24" s="38">
        <f t="shared" si="3"/>
        <v>0</v>
      </c>
      <c r="K24" s="38">
        <f t="shared" si="4"/>
        <v>0</v>
      </c>
      <c r="L24" s="39">
        <f t="shared" si="7"/>
        <v>0</v>
      </c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  <c r="AC24" s="113"/>
      <c r="AD24" s="11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  <c r="AU24" s="113"/>
      <c r="AV24" s="113"/>
      <c r="AW24" s="113"/>
      <c r="AX24" s="113"/>
      <c r="AY24" s="113"/>
      <c r="AZ24" s="113"/>
      <c r="BA24" s="113"/>
      <c r="BB24" s="113"/>
      <c r="BC24" s="113"/>
      <c r="BD24" s="113"/>
      <c r="BE24" s="113"/>
      <c r="BF24" s="113"/>
      <c r="BG24" s="113"/>
      <c r="BH24" s="113"/>
      <c r="BI24" s="113"/>
      <c r="BJ24" s="113"/>
      <c r="BK24" s="113"/>
      <c r="BL24" s="113"/>
      <c r="BM24" s="113"/>
      <c r="BN24" s="113"/>
      <c r="BO24" s="113"/>
      <c r="BP24" s="113"/>
      <c r="BQ24" s="113"/>
      <c r="BR24" s="113"/>
      <c r="BS24" s="113"/>
      <c r="BT24" s="113"/>
      <c r="BU24" s="113"/>
      <c r="BV24" s="113"/>
      <c r="BW24" s="113"/>
      <c r="BX24" s="113"/>
      <c r="BY24" s="113"/>
      <c r="BZ24" s="113"/>
      <c r="CA24" s="113"/>
      <c r="CB24" s="113"/>
      <c r="CC24" s="113"/>
      <c r="CD24" s="113"/>
      <c r="CE24" s="113"/>
      <c r="CF24" s="113"/>
      <c r="CG24" s="113"/>
      <c r="CH24" s="113"/>
      <c r="CI24" s="113"/>
      <c r="CJ24" s="113"/>
      <c r="CK24" s="113"/>
      <c r="CL24" s="113"/>
      <c r="CM24" s="113"/>
      <c r="CN24" s="113"/>
      <c r="CO24" s="113"/>
      <c r="CP24" s="113"/>
      <c r="CQ24" s="113"/>
      <c r="CR24" s="113"/>
      <c r="CS24" s="113"/>
      <c r="CT24" s="113"/>
      <c r="CU24" s="113"/>
      <c r="CV24" s="113"/>
      <c r="CW24" s="113"/>
      <c r="CX24" s="113"/>
      <c r="CY24" s="113"/>
      <c r="CZ24" s="113"/>
      <c r="DA24" s="113"/>
      <c r="DB24" s="113"/>
      <c r="DC24" s="113"/>
      <c r="DD24" s="113"/>
      <c r="DE24" s="113"/>
      <c r="DF24" s="113"/>
      <c r="DG24" s="113"/>
      <c r="DH24" s="113"/>
      <c r="DI24" s="113"/>
      <c r="DJ24" s="113"/>
      <c r="DK24" s="113"/>
      <c r="DL24" s="113"/>
      <c r="DM24" s="16">
        <f t="shared" si="5"/>
        <v>0</v>
      </c>
    </row>
    <row r="25" spans="5:117" x14ac:dyDescent="0.35">
      <c r="E25" s="111"/>
      <c r="F25" s="112"/>
      <c r="G25" s="112"/>
      <c r="H25" s="38">
        <f t="shared" si="2"/>
        <v>0</v>
      </c>
      <c r="I25" s="38">
        <f t="shared" si="6"/>
        <v>0</v>
      </c>
      <c r="J25" s="38">
        <f t="shared" si="3"/>
        <v>0</v>
      </c>
      <c r="K25" s="38">
        <f t="shared" si="4"/>
        <v>0</v>
      </c>
      <c r="L25" s="39">
        <f t="shared" si="7"/>
        <v>0</v>
      </c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11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  <c r="AW25" s="113"/>
      <c r="AX25" s="113"/>
      <c r="AY25" s="113"/>
      <c r="AZ25" s="113"/>
      <c r="BA25" s="113"/>
      <c r="BB25" s="113"/>
      <c r="BC25" s="113"/>
      <c r="BD25" s="113"/>
      <c r="BE25" s="113"/>
      <c r="BF25" s="113"/>
      <c r="BG25" s="113"/>
      <c r="BH25" s="113"/>
      <c r="BI25" s="113"/>
      <c r="BJ25" s="113"/>
      <c r="BK25" s="113"/>
      <c r="BL25" s="113"/>
      <c r="BM25" s="113"/>
      <c r="BN25" s="113"/>
      <c r="BO25" s="113"/>
      <c r="BP25" s="113"/>
      <c r="BQ25" s="113"/>
      <c r="BR25" s="113"/>
      <c r="BS25" s="113"/>
      <c r="BT25" s="113"/>
      <c r="BU25" s="113"/>
      <c r="BV25" s="113"/>
      <c r="BW25" s="113"/>
      <c r="BX25" s="113"/>
      <c r="BY25" s="113"/>
      <c r="BZ25" s="113"/>
      <c r="CA25" s="113"/>
      <c r="CB25" s="113"/>
      <c r="CC25" s="113"/>
      <c r="CD25" s="113"/>
      <c r="CE25" s="113"/>
      <c r="CF25" s="113"/>
      <c r="CG25" s="113"/>
      <c r="CH25" s="113"/>
      <c r="CI25" s="113"/>
      <c r="CJ25" s="113"/>
      <c r="CK25" s="113"/>
      <c r="CL25" s="113"/>
      <c r="CM25" s="113"/>
      <c r="CN25" s="113"/>
      <c r="CO25" s="113"/>
      <c r="CP25" s="113"/>
      <c r="CQ25" s="113"/>
      <c r="CR25" s="113"/>
      <c r="CS25" s="113"/>
      <c r="CT25" s="113"/>
      <c r="CU25" s="113"/>
      <c r="CV25" s="113"/>
      <c r="CW25" s="113"/>
      <c r="CX25" s="113"/>
      <c r="CY25" s="113"/>
      <c r="CZ25" s="113"/>
      <c r="DA25" s="113"/>
      <c r="DB25" s="113"/>
      <c r="DC25" s="113"/>
      <c r="DD25" s="113"/>
      <c r="DE25" s="113"/>
      <c r="DF25" s="113"/>
      <c r="DG25" s="113"/>
      <c r="DH25" s="113"/>
      <c r="DI25" s="113"/>
      <c r="DJ25" s="113"/>
      <c r="DK25" s="113"/>
      <c r="DL25" s="113"/>
      <c r="DM25" s="16">
        <f t="shared" si="5"/>
        <v>0</v>
      </c>
    </row>
    <row r="26" spans="5:117" x14ac:dyDescent="0.35">
      <c r="E26" s="111"/>
      <c r="F26" s="112"/>
      <c r="G26" s="112"/>
      <c r="H26" s="38">
        <f t="shared" si="2"/>
        <v>0</v>
      </c>
      <c r="I26" s="38">
        <f t="shared" si="6"/>
        <v>0</v>
      </c>
      <c r="J26" s="38">
        <f t="shared" si="3"/>
        <v>0</v>
      </c>
      <c r="K26" s="38">
        <f t="shared" si="4"/>
        <v>0</v>
      </c>
      <c r="L26" s="39">
        <f t="shared" si="7"/>
        <v>0</v>
      </c>
      <c r="M26" s="113"/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13"/>
      <c r="AW26" s="113"/>
      <c r="AX26" s="113"/>
      <c r="AY26" s="113"/>
      <c r="AZ26" s="113"/>
      <c r="BA26" s="113"/>
      <c r="BB26" s="113"/>
      <c r="BC26" s="113"/>
      <c r="BD26" s="113"/>
      <c r="BE26" s="113"/>
      <c r="BF26" s="113"/>
      <c r="BG26" s="113"/>
      <c r="BH26" s="113"/>
      <c r="BI26" s="113"/>
      <c r="BJ26" s="113"/>
      <c r="BK26" s="113"/>
      <c r="BL26" s="113"/>
      <c r="BM26" s="113"/>
      <c r="BN26" s="113"/>
      <c r="BO26" s="113"/>
      <c r="BP26" s="113"/>
      <c r="BQ26" s="113"/>
      <c r="BR26" s="113"/>
      <c r="BS26" s="113"/>
      <c r="BT26" s="113"/>
      <c r="BU26" s="113"/>
      <c r="BV26" s="113"/>
      <c r="BW26" s="113"/>
      <c r="BX26" s="113"/>
      <c r="BY26" s="113"/>
      <c r="BZ26" s="113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  <c r="CN26" s="113"/>
      <c r="CO26" s="113"/>
      <c r="CP26" s="113"/>
      <c r="CQ26" s="113"/>
      <c r="CR26" s="113"/>
      <c r="CS26" s="113"/>
      <c r="CT26" s="113"/>
      <c r="CU26" s="113"/>
      <c r="CV26" s="113"/>
      <c r="CW26" s="113"/>
      <c r="CX26" s="113"/>
      <c r="CY26" s="113"/>
      <c r="CZ26" s="113"/>
      <c r="DA26" s="113"/>
      <c r="DB26" s="113"/>
      <c r="DC26" s="113"/>
      <c r="DD26" s="113"/>
      <c r="DE26" s="113"/>
      <c r="DF26" s="113"/>
      <c r="DG26" s="113"/>
      <c r="DH26" s="113"/>
      <c r="DI26" s="113"/>
      <c r="DJ26" s="113"/>
      <c r="DK26" s="113"/>
      <c r="DL26" s="113"/>
      <c r="DM26" s="16">
        <f t="shared" si="5"/>
        <v>0</v>
      </c>
    </row>
    <row r="27" spans="5:117" x14ac:dyDescent="0.35">
      <c r="E27" s="111"/>
      <c r="F27" s="112"/>
      <c r="G27" s="112"/>
      <c r="H27" s="38">
        <f t="shared" si="2"/>
        <v>0</v>
      </c>
      <c r="I27" s="38">
        <f t="shared" si="6"/>
        <v>0</v>
      </c>
      <c r="J27" s="38">
        <f t="shared" si="3"/>
        <v>0</v>
      </c>
      <c r="K27" s="38">
        <f t="shared" si="4"/>
        <v>0</v>
      </c>
      <c r="L27" s="39">
        <f t="shared" si="7"/>
        <v>0</v>
      </c>
      <c r="M27" s="113"/>
      <c r="N27" s="113"/>
      <c r="O27" s="113"/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113"/>
      <c r="AA27" s="113"/>
      <c r="AB27" s="113"/>
      <c r="AC27" s="113"/>
      <c r="AD27" s="11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  <c r="AW27" s="113"/>
      <c r="AX27" s="113"/>
      <c r="AY27" s="113"/>
      <c r="AZ27" s="113"/>
      <c r="BA27" s="113"/>
      <c r="BB27" s="113"/>
      <c r="BC27" s="113"/>
      <c r="BD27" s="113"/>
      <c r="BE27" s="113"/>
      <c r="BF27" s="113"/>
      <c r="BG27" s="113"/>
      <c r="BH27" s="113"/>
      <c r="BI27" s="113"/>
      <c r="BJ27" s="113"/>
      <c r="BK27" s="113"/>
      <c r="BL27" s="113"/>
      <c r="BM27" s="113"/>
      <c r="BN27" s="113"/>
      <c r="BO27" s="113"/>
      <c r="BP27" s="113"/>
      <c r="BQ27" s="113"/>
      <c r="BR27" s="113"/>
      <c r="BS27" s="113"/>
      <c r="BT27" s="113"/>
      <c r="BU27" s="113"/>
      <c r="BV27" s="113"/>
      <c r="BW27" s="113"/>
      <c r="BX27" s="113"/>
      <c r="BY27" s="113"/>
      <c r="BZ27" s="113"/>
      <c r="CA27" s="113"/>
      <c r="CB27" s="113"/>
      <c r="CC27" s="113"/>
      <c r="CD27" s="113"/>
      <c r="CE27" s="113"/>
      <c r="CF27" s="113"/>
      <c r="CG27" s="113"/>
      <c r="CH27" s="113"/>
      <c r="CI27" s="113"/>
      <c r="CJ27" s="113"/>
      <c r="CK27" s="113"/>
      <c r="CL27" s="113"/>
      <c r="CM27" s="113"/>
      <c r="CN27" s="113"/>
      <c r="CO27" s="113"/>
      <c r="CP27" s="113"/>
      <c r="CQ27" s="113"/>
      <c r="CR27" s="113"/>
      <c r="CS27" s="113"/>
      <c r="CT27" s="113"/>
      <c r="CU27" s="113"/>
      <c r="CV27" s="113"/>
      <c r="CW27" s="113"/>
      <c r="CX27" s="113"/>
      <c r="CY27" s="113"/>
      <c r="CZ27" s="113"/>
      <c r="DA27" s="113"/>
      <c r="DB27" s="113"/>
      <c r="DC27" s="113"/>
      <c r="DD27" s="113"/>
      <c r="DE27" s="113"/>
      <c r="DF27" s="113"/>
      <c r="DG27" s="113"/>
      <c r="DH27" s="113"/>
      <c r="DI27" s="113"/>
      <c r="DJ27" s="113"/>
      <c r="DK27" s="113"/>
      <c r="DL27" s="113"/>
      <c r="DM27" s="16">
        <f t="shared" si="5"/>
        <v>0</v>
      </c>
    </row>
    <row r="28" spans="5:117" x14ac:dyDescent="0.35">
      <c r="E28" s="111"/>
      <c r="F28" s="112"/>
      <c r="G28" s="112"/>
      <c r="H28" s="38">
        <f t="shared" si="2"/>
        <v>0</v>
      </c>
      <c r="I28" s="38">
        <f t="shared" si="6"/>
        <v>0</v>
      </c>
      <c r="J28" s="38">
        <f t="shared" si="3"/>
        <v>0</v>
      </c>
      <c r="K28" s="38">
        <f t="shared" si="4"/>
        <v>0</v>
      </c>
      <c r="L28" s="39">
        <f t="shared" si="7"/>
        <v>0</v>
      </c>
      <c r="M28" s="113"/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  <c r="AW28" s="113"/>
      <c r="AX28" s="113"/>
      <c r="AY28" s="113"/>
      <c r="AZ28" s="113"/>
      <c r="BA28" s="113"/>
      <c r="BB28" s="113"/>
      <c r="BC28" s="113"/>
      <c r="BD28" s="113"/>
      <c r="BE28" s="113"/>
      <c r="BF28" s="113"/>
      <c r="BG28" s="113"/>
      <c r="BH28" s="113"/>
      <c r="BI28" s="113"/>
      <c r="BJ28" s="113"/>
      <c r="BK28" s="113"/>
      <c r="BL28" s="113"/>
      <c r="BM28" s="113"/>
      <c r="BN28" s="113"/>
      <c r="BO28" s="113"/>
      <c r="BP28" s="113"/>
      <c r="BQ28" s="113"/>
      <c r="BR28" s="113"/>
      <c r="BS28" s="113"/>
      <c r="BT28" s="113"/>
      <c r="BU28" s="113"/>
      <c r="BV28" s="113"/>
      <c r="BW28" s="113"/>
      <c r="BX28" s="113"/>
      <c r="BY28" s="113"/>
      <c r="BZ28" s="113"/>
      <c r="CA28" s="113"/>
      <c r="CB28" s="113"/>
      <c r="CC28" s="113"/>
      <c r="CD28" s="113"/>
      <c r="CE28" s="113"/>
      <c r="CF28" s="113"/>
      <c r="CG28" s="113"/>
      <c r="CH28" s="113"/>
      <c r="CI28" s="113"/>
      <c r="CJ28" s="113"/>
      <c r="CK28" s="113"/>
      <c r="CL28" s="113"/>
      <c r="CM28" s="113"/>
      <c r="CN28" s="113"/>
      <c r="CO28" s="113"/>
      <c r="CP28" s="113"/>
      <c r="CQ28" s="113"/>
      <c r="CR28" s="113"/>
      <c r="CS28" s="113"/>
      <c r="CT28" s="113"/>
      <c r="CU28" s="113"/>
      <c r="CV28" s="113"/>
      <c r="CW28" s="113"/>
      <c r="CX28" s="113"/>
      <c r="CY28" s="113"/>
      <c r="CZ28" s="113"/>
      <c r="DA28" s="113"/>
      <c r="DB28" s="113"/>
      <c r="DC28" s="113"/>
      <c r="DD28" s="113"/>
      <c r="DE28" s="113"/>
      <c r="DF28" s="113"/>
      <c r="DG28" s="113"/>
      <c r="DH28" s="113"/>
      <c r="DI28" s="113"/>
      <c r="DJ28" s="113"/>
      <c r="DK28" s="113"/>
      <c r="DL28" s="113"/>
      <c r="DM28" s="16">
        <f t="shared" si="5"/>
        <v>0</v>
      </c>
    </row>
    <row r="29" spans="5:117" x14ac:dyDescent="0.35">
      <c r="E29" s="111"/>
      <c r="F29" s="112"/>
      <c r="G29" s="112"/>
      <c r="H29" s="38">
        <f t="shared" si="2"/>
        <v>0</v>
      </c>
      <c r="I29" s="38">
        <f t="shared" si="6"/>
        <v>0</v>
      </c>
      <c r="J29" s="38">
        <f t="shared" si="3"/>
        <v>0</v>
      </c>
      <c r="K29" s="38">
        <f t="shared" si="4"/>
        <v>0</v>
      </c>
      <c r="L29" s="39">
        <f t="shared" si="7"/>
        <v>0</v>
      </c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113"/>
      <c r="AA29" s="113"/>
      <c r="AB29" s="113"/>
      <c r="AC29" s="113"/>
      <c r="AD29" s="11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  <c r="AW29" s="113"/>
      <c r="AX29" s="113"/>
      <c r="AY29" s="113"/>
      <c r="AZ29" s="113"/>
      <c r="BA29" s="113"/>
      <c r="BB29" s="113"/>
      <c r="BC29" s="113"/>
      <c r="BD29" s="113"/>
      <c r="BE29" s="113"/>
      <c r="BF29" s="113"/>
      <c r="BG29" s="113"/>
      <c r="BH29" s="113"/>
      <c r="BI29" s="113"/>
      <c r="BJ29" s="113"/>
      <c r="BK29" s="113"/>
      <c r="BL29" s="113"/>
      <c r="BM29" s="113"/>
      <c r="BN29" s="113"/>
      <c r="BO29" s="113"/>
      <c r="BP29" s="113"/>
      <c r="BQ29" s="113"/>
      <c r="BR29" s="113"/>
      <c r="BS29" s="113"/>
      <c r="BT29" s="113"/>
      <c r="BU29" s="113"/>
      <c r="BV29" s="113"/>
      <c r="BW29" s="113"/>
      <c r="BX29" s="113"/>
      <c r="BY29" s="113"/>
      <c r="BZ29" s="113"/>
      <c r="CA29" s="113"/>
      <c r="CB29" s="113"/>
      <c r="CC29" s="113"/>
      <c r="CD29" s="113"/>
      <c r="CE29" s="113"/>
      <c r="CF29" s="113"/>
      <c r="CG29" s="113"/>
      <c r="CH29" s="113"/>
      <c r="CI29" s="113"/>
      <c r="CJ29" s="113"/>
      <c r="CK29" s="113"/>
      <c r="CL29" s="113"/>
      <c r="CM29" s="113"/>
      <c r="CN29" s="113"/>
      <c r="CO29" s="113"/>
      <c r="CP29" s="113"/>
      <c r="CQ29" s="113"/>
      <c r="CR29" s="113"/>
      <c r="CS29" s="113"/>
      <c r="CT29" s="113"/>
      <c r="CU29" s="113"/>
      <c r="CV29" s="113"/>
      <c r="CW29" s="113"/>
      <c r="CX29" s="113"/>
      <c r="CY29" s="113"/>
      <c r="CZ29" s="113"/>
      <c r="DA29" s="113"/>
      <c r="DB29" s="113"/>
      <c r="DC29" s="113"/>
      <c r="DD29" s="113"/>
      <c r="DE29" s="113"/>
      <c r="DF29" s="113"/>
      <c r="DG29" s="113"/>
      <c r="DH29" s="113"/>
      <c r="DI29" s="113"/>
      <c r="DJ29" s="113"/>
      <c r="DK29" s="113"/>
      <c r="DL29" s="113"/>
      <c r="DM29" s="16">
        <f t="shared" si="5"/>
        <v>0</v>
      </c>
    </row>
    <row r="30" spans="5:117" x14ac:dyDescent="0.35">
      <c r="E30" s="111"/>
      <c r="F30" s="112"/>
      <c r="G30" s="112"/>
      <c r="H30" s="38">
        <f t="shared" si="2"/>
        <v>0</v>
      </c>
      <c r="I30" s="38">
        <f t="shared" si="6"/>
        <v>0</v>
      </c>
      <c r="J30" s="38">
        <f t="shared" si="3"/>
        <v>0</v>
      </c>
      <c r="K30" s="38">
        <f t="shared" si="4"/>
        <v>0</v>
      </c>
      <c r="L30" s="39">
        <f t="shared" si="7"/>
        <v>0</v>
      </c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  <c r="AU30" s="113"/>
      <c r="AV30" s="113"/>
      <c r="AW30" s="113"/>
      <c r="AX30" s="113"/>
      <c r="AY30" s="113"/>
      <c r="AZ30" s="113"/>
      <c r="BA30" s="113"/>
      <c r="BB30" s="113"/>
      <c r="BC30" s="113"/>
      <c r="BD30" s="113"/>
      <c r="BE30" s="113"/>
      <c r="BF30" s="113"/>
      <c r="BG30" s="113"/>
      <c r="BH30" s="113"/>
      <c r="BI30" s="113"/>
      <c r="BJ30" s="113"/>
      <c r="BK30" s="113"/>
      <c r="BL30" s="113"/>
      <c r="BM30" s="113"/>
      <c r="BN30" s="113"/>
      <c r="BO30" s="113"/>
      <c r="BP30" s="113"/>
      <c r="BQ30" s="113"/>
      <c r="BR30" s="113"/>
      <c r="BS30" s="113"/>
      <c r="BT30" s="113"/>
      <c r="BU30" s="113"/>
      <c r="BV30" s="113"/>
      <c r="BW30" s="113"/>
      <c r="BX30" s="113"/>
      <c r="BY30" s="113"/>
      <c r="BZ30" s="113"/>
      <c r="CA30" s="113"/>
      <c r="CB30" s="113"/>
      <c r="CC30" s="113"/>
      <c r="CD30" s="113"/>
      <c r="CE30" s="113"/>
      <c r="CF30" s="113"/>
      <c r="CG30" s="113"/>
      <c r="CH30" s="113"/>
      <c r="CI30" s="113"/>
      <c r="CJ30" s="113"/>
      <c r="CK30" s="113"/>
      <c r="CL30" s="113"/>
      <c r="CM30" s="113"/>
      <c r="CN30" s="113"/>
      <c r="CO30" s="113"/>
      <c r="CP30" s="113"/>
      <c r="CQ30" s="113"/>
      <c r="CR30" s="113"/>
      <c r="CS30" s="113"/>
      <c r="CT30" s="113"/>
      <c r="CU30" s="113"/>
      <c r="CV30" s="113"/>
      <c r="CW30" s="113"/>
      <c r="CX30" s="113"/>
      <c r="CY30" s="113"/>
      <c r="CZ30" s="113"/>
      <c r="DA30" s="113"/>
      <c r="DB30" s="113"/>
      <c r="DC30" s="113"/>
      <c r="DD30" s="113"/>
      <c r="DE30" s="113"/>
      <c r="DF30" s="113"/>
      <c r="DG30" s="113"/>
      <c r="DH30" s="113"/>
      <c r="DI30" s="113"/>
      <c r="DJ30" s="113"/>
      <c r="DK30" s="113"/>
      <c r="DL30" s="113"/>
      <c r="DM30" s="16">
        <f t="shared" si="5"/>
        <v>0</v>
      </c>
    </row>
    <row r="31" spans="5:117" x14ac:dyDescent="0.35">
      <c r="E31" s="111"/>
      <c r="F31" s="112"/>
      <c r="G31" s="112"/>
      <c r="H31" s="38">
        <f t="shared" si="2"/>
        <v>0</v>
      </c>
      <c r="I31" s="38">
        <f t="shared" si="6"/>
        <v>0</v>
      </c>
      <c r="J31" s="38">
        <f t="shared" si="3"/>
        <v>0</v>
      </c>
      <c r="K31" s="38">
        <f t="shared" si="4"/>
        <v>0</v>
      </c>
      <c r="L31" s="39">
        <f t="shared" si="7"/>
        <v>0</v>
      </c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11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  <c r="AU31" s="113"/>
      <c r="AV31" s="113"/>
      <c r="AW31" s="113"/>
      <c r="AX31" s="113"/>
      <c r="AY31" s="113"/>
      <c r="AZ31" s="113"/>
      <c r="BA31" s="113"/>
      <c r="BB31" s="113"/>
      <c r="BC31" s="113"/>
      <c r="BD31" s="113"/>
      <c r="BE31" s="113"/>
      <c r="BF31" s="113"/>
      <c r="BG31" s="113"/>
      <c r="BH31" s="113"/>
      <c r="BI31" s="113"/>
      <c r="BJ31" s="113"/>
      <c r="BK31" s="113"/>
      <c r="BL31" s="113"/>
      <c r="BM31" s="113"/>
      <c r="BN31" s="113"/>
      <c r="BO31" s="113"/>
      <c r="BP31" s="113"/>
      <c r="BQ31" s="113"/>
      <c r="BR31" s="113"/>
      <c r="BS31" s="113"/>
      <c r="BT31" s="113"/>
      <c r="BU31" s="113"/>
      <c r="BV31" s="113"/>
      <c r="BW31" s="113"/>
      <c r="BX31" s="113"/>
      <c r="BY31" s="113"/>
      <c r="BZ31" s="113"/>
      <c r="CA31" s="113"/>
      <c r="CB31" s="113"/>
      <c r="CC31" s="113"/>
      <c r="CD31" s="113"/>
      <c r="CE31" s="113"/>
      <c r="CF31" s="113"/>
      <c r="CG31" s="113"/>
      <c r="CH31" s="113"/>
      <c r="CI31" s="113"/>
      <c r="CJ31" s="113"/>
      <c r="CK31" s="113"/>
      <c r="CL31" s="113"/>
      <c r="CM31" s="113"/>
      <c r="CN31" s="113"/>
      <c r="CO31" s="113"/>
      <c r="CP31" s="113"/>
      <c r="CQ31" s="113"/>
      <c r="CR31" s="113"/>
      <c r="CS31" s="113"/>
      <c r="CT31" s="113"/>
      <c r="CU31" s="113"/>
      <c r="CV31" s="113"/>
      <c r="CW31" s="113"/>
      <c r="CX31" s="113"/>
      <c r="CY31" s="113"/>
      <c r="CZ31" s="113"/>
      <c r="DA31" s="113"/>
      <c r="DB31" s="113"/>
      <c r="DC31" s="113"/>
      <c r="DD31" s="113"/>
      <c r="DE31" s="113"/>
      <c r="DF31" s="113"/>
      <c r="DG31" s="113"/>
      <c r="DH31" s="113"/>
      <c r="DI31" s="113"/>
      <c r="DJ31" s="113"/>
      <c r="DK31" s="113"/>
      <c r="DL31" s="113"/>
      <c r="DM31" s="16">
        <f t="shared" si="5"/>
        <v>0</v>
      </c>
    </row>
    <row r="32" spans="5:117" x14ac:dyDescent="0.35">
      <c r="E32" s="111"/>
      <c r="F32" s="112"/>
      <c r="G32" s="112"/>
      <c r="H32" s="38">
        <f t="shared" si="2"/>
        <v>0</v>
      </c>
      <c r="I32" s="38">
        <f t="shared" si="6"/>
        <v>0</v>
      </c>
      <c r="J32" s="38">
        <f t="shared" si="3"/>
        <v>0</v>
      </c>
      <c r="K32" s="38">
        <f t="shared" si="4"/>
        <v>0</v>
      </c>
      <c r="L32" s="39">
        <f t="shared" si="7"/>
        <v>0</v>
      </c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13"/>
      <c r="AP32" s="113"/>
      <c r="AQ32" s="113"/>
      <c r="AR32" s="113"/>
      <c r="AS32" s="113"/>
      <c r="AT32" s="113"/>
      <c r="AU32" s="113"/>
      <c r="AV32" s="113"/>
      <c r="AW32" s="113"/>
      <c r="AX32" s="113"/>
      <c r="AY32" s="113"/>
      <c r="AZ32" s="113"/>
      <c r="BA32" s="113"/>
      <c r="BB32" s="113"/>
      <c r="BC32" s="113"/>
      <c r="BD32" s="113"/>
      <c r="BE32" s="113"/>
      <c r="BF32" s="113"/>
      <c r="BG32" s="113"/>
      <c r="BH32" s="113"/>
      <c r="BI32" s="113"/>
      <c r="BJ32" s="113"/>
      <c r="BK32" s="113"/>
      <c r="BL32" s="113"/>
      <c r="BM32" s="113"/>
      <c r="BN32" s="113"/>
      <c r="BO32" s="113"/>
      <c r="BP32" s="113"/>
      <c r="BQ32" s="113"/>
      <c r="BR32" s="113"/>
      <c r="BS32" s="113"/>
      <c r="BT32" s="113"/>
      <c r="BU32" s="113"/>
      <c r="BV32" s="113"/>
      <c r="BW32" s="113"/>
      <c r="BX32" s="113"/>
      <c r="BY32" s="113"/>
      <c r="BZ32" s="113"/>
      <c r="CA32" s="113"/>
      <c r="CB32" s="113"/>
      <c r="CC32" s="113"/>
      <c r="CD32" s="113"/>
      <c r="CE32" s="113"/>
      <c r="CF32" s="113"/>
      <c r="CG32" s="113"/>
      <c r="CH32" s="113"/>
      <c r="CI32" s="113"/>
      <c r="CJ32" s="113"/>
      <c r="CK32" s="113"/>
      <c r="CL32" s="113"/>
      <c r="CM32" s="113"/>
      <c r="CN32" s="113"/>
      <c r="CO32" s="113"/>
      <c r="CP32" s="113"/>
      <c r="CQ32" s="113"/>
      <c r="CR32" s="113"/>
      <c r="CS32" s="113"/>
      <c r="CT32" s="113"/>
      <c r="CU32" s="113"/>
      <c r="CV32" s="113"/>
      <c r="CW32" s="113"/>
      <c r="CX32" s="113"/>
      <c r="CY32" s="113"/>
      <c r="CZ32" s="113"/>
      <c r="DA32" s="113"/>
      <c r="DB32" s="113"/>
      <c r="DC32" s="113"/>
      <c r="DD32" s="113"/>
      <c r="DE32" s="113"/>
      <c r="DF32" s="113"/>
      <c r="DG32" s="113"/>
      <c r="DH32" s="113"/>
      <c r="DI32" s="113"/>
      <c r="DJ32" s="113"/>
      <c r="DK32" s="113"/>
      <c r="DL32" s="113"/>
      <c r="DM32" s="16">
        <f t="shared" si="5"/>
        <v>0</v>
      </c>
    </row>
    <row r="33" spans="5:117" hidden="1" x14ac:dyDescent="0.35">
      <c r="E33" s="111"/>
      <c r="F33" s="112"/>
      <c r="G33" s="112"/>
      <c r="H33" s="38">
        <f t="shared" si="2"/>
        <v>0</v>
      </c>
      <c r="I33" s="38">
        <f t="shared" si="6"/>
        <v>0</v>
      </c>
      <c r="J33" s="38">
        <f t="shared" si="3"/>
        <v>0</v>
      </c>
      <c r="K33" s="38">
        <f t="shared" si="4"/>
        <v>0</v>
      </c>
      <c r="L33" s="39">
        <f t="shared" si="7"/>
        <v>0</v>
      </c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11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13"/>
      <c r="AP33" s="113"/>
      <c r="AQ33" s="113"/>
      <c r="AR33" s="113"/>
      <c r="AS33" s="113"/>
      <c r="AT33" s="113"/>
      <c r="AU33" s="113"/>
      <c r="AV33" s="113"/>
      <c r="AW33" s="113"/>
      <c r="AX33" s="113"/>
      <c r="AY33" s="113"/>
      <c r="AZ33" s="113"/>
      <c r="BA33" s="113"/>
      <c r="BB33" s="113"/>
      <c r="BC33" s="113"/>
      <c r="BD33" s="113"/>
      <c r="BE33" s="113"/>
      <c r="BF33" s="113"/>
      <c r="BG33" s="113"/>
      <c r="BH33" s="113"/>
      <c r="BI33" s="113"/>
      <c r="BJ33" s="113"/>
      <c r="BK33" s="113"/>
      <c r="BL33" s="113"/>
      <c r="BM33" s="113"/>
      <c r="BN33" s="113"/>
      <c r="BO33" s="113"/>
      <c r="BP33" s="113"/>
      <c r="BQ33" s="113"/>
      <c r="BR33" s="113"/>
      <c r="BS33" s="113"/>
      <c r="BT33" s="113"/>
      <c r="BU33" s="113"/>
      <c r="BV33" s="113"/>
      <c r="BW33" s="113"/>
      <c r="BX33" s="113"/>
      <c r="BY33" s="113"/>
      <c r="BZ33" s="113"/>
      <c r="CA33" s="113"/>
      <c r="CB33" s="113"/>
      <c r="CC33" s="113"/>
      <c r="CD33" s="113"/>
      <c r="CE33" s="113"/>
      <c r="CF33" s="113"/>
      <c r="CG33" s="113"/>
      <c r="CH33" s="113"/>
      <c r="CI33" s="113"/>
      <c r="CJ33" s="113"/>
      <c r="CK33" s="113"/>
      <c r="CL33" s="113"/>
      <c r="CM33" s="113"/>
      <c r="CN33" s="113"/>
      <c r="CO33" s="113"/>
      <c r="CP33" s="113"/>
      <c r="CQ33" s="113"/>
      <c r="CR33" s="113"/>
      <c r="CS33" s="113"/>
      <c r="CT33" s="113"/>
      <c r="CU33" s="113"/>
      <c r="CV33" s="113"/>
      <c r="CW33" s="113"/>
      <c r="CX33" s="113"/>
      <c r="CY33" s="113"/>
      <c r="CZ33" s="113"/>
      <c r="DA33" s="113"/>
      <c r="DB33" s="113"/>
      <c r="DC33" s="113"/>
      <c r="DD33" s="113"/>
      <c r="DE33" s="113"/>
      <c r="DF33" s="113"/>
      <c r="DG33" s="113"/>
      <c r="DH33" s="113"/>
      <c r="DI33" s="113"/>
      <c r="DJ33" s="113"/>
      <c r="DK33" s="113"/>
      <c r="DL33" s="113"/>
      <c r="DM33" s="16">
        <f t="shared" si="5"/>
        <v>0</v>
      </c>
    </row>
    <row r="34" spans="5:117" hidden="1" x14ac:dyDescent="0.35">
      <c r="E34" s="111"/>
      <c r="F34" s="112"/>
      <c r="G34" s="112"/>
      <c r="H34" s="38">
        <f t="shared" si="2"/>
        <v>0</v>
      </c>
      <c r="I34" s="38">
        <f t="shared" si="6"/>
        <v>0</v>
      </c>
      <c r="J34" s="38">
        <f t="shared" si="3"/>
        <v>0</v>
      </c>
      <c r="K34" s="38">
        <f t="shared" si="4"/>
        <v>0</v>
      </c>
      <c r="L34" s="39">
        <f t="shared" si="7"/>
        <v>0</v>
      </c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11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13"/>
      <c r="AP34" s="113"/>
      <c r="AQ34" s="113"/>
      <c r="AR34" s="113"/>
      <c r="AS34" s="113"/>
      <c r="AT34" s="113"/>
      <c r="AU34" s="113"/>
      <c r="AV34" s="113"/>
      <c r="AW34" s="113"/>
      <c r="AX34" s="113"/>
      <c r="AY34" s="113"/>
      <c r="AZ34" s="113"/>
      <c r="BA34" s="113"/>
      <c r="BB34" s="113"/>
      <c r="BC34" s="113"/>
      <c r="BD34" s="113"/>
      <c r="BE34" s="113"/>
      <c r="BF34" s="113"/>
      <c r="BG34" s="113"/>
      <c r="BH34" s="113"/>
      <c r="BI34" s="113"/>
      <c r="BJ34" s="113"/>
      <c r="BK34" s="113"/>
      <c r="BL34" s="113"/>
      <c r="BM34" s="113"/>
      <c r="BN34" s="113"/>
      <c r="BO34" s="113"/>
      <c r="BP34" s="113"/>
      <c r="BQ34" s="113"/>
      <c r="BR34" s="113"/>
      <c r="BS34" s="113"/>
      <c r="BT34" s="113"/>
      <c r="BU34" s="113"/>
      <c r="BV34" s="113"/>
      <c r="BW34" s="113"/>
      <c r="BX34" s="113"/>
      <c r="BY34" s="113"/>
      <c r="BZ34" s="113"/>
      <c r="CA34" s="113"/>
      <c r="CB34" s="113"/>
      <c r="CC34" s="113"/>
      <c r="CD34" s="113"/>
      <c r="CE34" s="113"/>
      <c r="CF34" s="113"/>
      <c r="CG34" s="113"/>
      <c r="CH34" s="113"/>
      <c r="CI34" s="113"/>
      <c r="CJ34" s="113"/>
      <c r="CK34" s="113"/>
      <c r="CL34" s="113"/>
      <c r="CM34" s="113"/>
      <c r="CN34" s="113"/>
      <c r="CO34" s="113"/>
      <c r="CP34" s="113"/>
      <c r="CQ34" s="113"/>
      <c r="CR34" s="113"/>
      <c r="CS34" s="113"/>
      <c r="CT34" s="113"/>
      <c r="CU34" s="113"/>
      <c r="CV34" s="113"/>
      <c r="CW34" s="113"/>
      <c r="CX34" s="113"/>
      <c r="CY34" s="113"/>
      <c r="CZ34" s="113"/>
      <c r="DA34" s="113"/>
      <c r="DB34" s="113"/>
      <c r="DC34" s="113"/>
      <c r="DD34" s="113"/>
      <c r="DE34" s="113"/>
      <c r="DF34" s="113"/>
      <c r="DG34" s="113"/>
      <c r="DH34" s="113"/>
      <c r="DI34" s="113"/>
      <c r="DJ34" s="113"/>
      <c r="DK34" s="113"/>
      <c r="DL34" s="113"/>
      <c r="DM34" s="16">
        <f t="shared" si="5"/>
        <v>0</v>
      </c>
    </row>
    <row r="35" spans="5:117" hidden="1" x14ac:dyDescent="0.35">
      <c r="E35" s="111"/>
      <c r="F35" s="112"/>
      <c r="G35" s="112"/>
      <c r="H35" s="38">
        <f t="shared" si="2"/>
        <v>0</v>
      </c>
      <c r="I35" s="38">
        <f t="shared" si="6"/>
        <v>0</v>
      </c>
      <c r="J35" s="38">
        <f t="shared" si="3"/>
        <v>0</v>
      </c>
      <c r="K35" s="38">
        <f t="shared" si="4"/>
        <v>0</v>
      </c>
      <c r="L35" s="39">
        <f t="shared" si="7"/>
        <v>0</v>
      </c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11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  <c r="AU35" s="113"/>
      <c r="AV35" s="113"/>
      <c r="AW35" s="113"/>
      <c r="AX35" s="113"/>
      <c r="AY35" s="113"/>
      <c r="AZ35" s="113"/>
      <c r="BA35" s="113"/>
      <c r="BB35" s="113"/>
      <c r="BC35" s="113"/>
      <c r="BD35" s="113"/>
      <c r="BE35" s="113"/>
      <c r="BF35" s="113"/>
      <c r="BG35" s="113"/>
      <c r="BH35" s="113"/>
      <c r="BI35" s="113"/>
      <c r="BJ35" s="113"/>
      <c r="BK35" s="113"/>
      <c r="BL35" s="113"/>
      <c r="BM35" s="113"/>
      <c r="BN35" s="113"/>
      <c r="BO35" s="113"/>
      <c r="BP35" s="113"/>
      <c r="BQ35" s="113"/>
      <c r="BR35" s="113"/>
      <c r="BS35" s="113"/>
      <c r="BT35" s="113"/>
      <c r="BU35" s="113"/>
      <c r="BV35" s="113"/>
      <c r="BW35" s="113"/>
      <c r="BX35" s="113"/>
      <c r="BY35" s="113"/>
      <c r="BZ35" s="113"/>
      <c r="CA35" s="113"/>
      <c r="CB35" s="113"/>
      <c r="CC35" s="113"/>
      <c r="CD35" s="113"/>
      <c r="CE35" s="113"/>
      <c r="CF35" s="113"/>
      <c r="CG35" s="113"/>
      <c r="CH35" s="113"/>
      <c r="CI35" s="113"/>
      <c r="CJ35" s="113"/>
      <c r="CK35" s="113"/>
      <c r="CL35" s="113"/>
      <c r="CM35" s="113"/>
      <c r="CN35" s="113"/>
      <c r="CO35" s="113"/>
      <c r="CP35" s="113"/>
      <c r="CQ35" s="113"/>
      <c r="CR35" s="113"/>
      <c r="CS35" s="113"/>
      <c r="CT35" s="113"/>
      <c r="CU35" s="113"/>
      <c r="CV35" s="113"/>
      <c r="CW35" s="113"/>
      <c r="CX35" s="113"/>
      <c r="CY35" s="113"/>
      <c r="CZ35" s="113"/>
      <c r="DA35" s="113"/>
      <c r="DB35" s="113"/>
      <c r="DC35" s="113"/>
      <c r="DD35" s="113"/>
      <c r="DE35" s="113"/>
      <c r="DF35" s="113"/>
      <c r="DG35" s="113"/>
      <c r="DH35" s="113"/>
      <c r="DI35" s="113"/>
      <c r="DJ35" s="113"/>
      <c r="DK35" s="113"/>
      <c r="DL35" s="113"/>
      <c r="DM35" s="16">
        <f t="shared" si="5"/>
        <v>0</v>
      </c>
    </row>
    <row r="36" spans="5:117" hidden="1" x14ac:dyDescent="0.35">
      <c r="E36" s="111"/>
      <c r="F36" s="112"/>
      <c r="G36" s="112"/>
      <c r="H36" s="38">
        <f t="shared" si="2"/>
        <v>0</v>
      </c>
      <c r="I36" s="38">
        <f t="shared" si="6"/>
        <v>0</v>
      </c>
      <c r="J36" s="38">
        <f t="shared" si="3"/>
        <v>0</v>
      </c>
      <c r="K36" s="38">
        <f t="shared" si="4"/>
        <v>0</v>
      </c>
      <c r="L36" s="39">
        <f t="shared" si="7"/>
        <v>0</v>
      </c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11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13"/>
      <c r="AP36" s="113"/>
      <c r="AQ36" s="113"/>
      <c r="AR36" s="113"/>
      <c r="AS36" s="113"/>
      <c r="AT36" s="113"/>
      <c r="AU36" s="113"/>
      <c r="AV36" s="113"/>
      <c r="AW36" s="113"/>
      <c r="AX36" s="113"/>
      <c r="AY36" s="113"/>
      <c r="AZ36" s="113"/>
      <c r="BA36" s="113"/>
      <c r="BB36" s="113"/>
      <c r="BC36" s="113"/>
      <c r="BD36" s="113"/>
      <c r="BE36" s="113"/>
      <c r="BF36" s="113"/>
      <c r="BG36" s="113"/>
      <c r="BH36" s="113"/>
      <c r="BI36" s="113"/>
      <c r="BJ36" s="113"/>
      <c r="BK36" s="113"/>
      <c r="BL36" s="113"/>
      <c r="BM36" s="113"/>
      <c r="BN36" s="113"/>
      <c r="BO36" s="113"/>
      <c r="BP36" s="113"/>
      <c r="BQ36" s="113"/>
      <c r="BR36" s="113"/>
      <c r="BS36" s="113"/>
      <c r="BT36" s="113"/>
      <c r="BU36" s="113"/>
      <c r="BV36" s="113"/>
      <c r="BW36" s="113"/>
      <c r="BX36" s="113"/>
      <c r="BY36" s="113"/>
      <c r="BZ36" s="113"/>
      <c r="CA36" s="113"/>
      <c r="CB36" s="113"/>
      <c r="CC36" s="113"/>
      <c r="CD36" s="113"/>
      <c r="CE36" s="113"/>
      <c r="CF36" s="113"/>
      <c r="CG36" s="113"/>
      <c r="CH36" s="113"/>
      <c r="CI36" s="113"/>
      <c r="CJ36" s="113"/>
      <c r="CK36" s="113"/>
      <c r="CL36" s="113"/>
      <c r="CM36" s="113"/>
      <c r="CN36" s="113"/>
      <c r="CO36" s="113"/>
      <c r="CP36" s="113"/>
      <c r="CQ36" s="113"/>
      <c r="CR36" s="113"/>
      <c r="CS36" s="113"/>
      <c r="CT36" s="113"/>
      <c r="CU36" s="113"/>
      <c r="CV36" s="113"/>
      <c r="CW36" s="113"/>
      <c r="CX36" s="113"/>
      <c r="CY36" s="113"/>
      <c r="CZ36" s="113"/>
      <c r="DA36" s="113"/>
      <c r="DB36" s="113"/>
      <c r="DC36" s="113"/>
      <c r="DD36" s="113"/>
      <c r="DE36" s="113"/>
      <c r="DF36" s="113"/>
      <c r="DG36" s="113"/>
      <c r="DH36" s="113"/>
      <c r="DI36" s="113"/>
      <c r="DJ36" s="113"/>
      <c r="DK36" s="113"/>
      <c r="DL36" s="113"/>
      <c r="DM36" s="16">
        <f t="shared" si="5"/>
        <v>0</v>
      </c>
    </row>
    <row r="37" spans="5:117" hidden="1" x14ac:dyDescent="0.35">
      <c r="E37" s="111"/>
      <c r="F37" s="112"/>
      <c r="G37" s="112"/>
      <c r="H37" s="38">
        <f t="shared" si="2"/>
        <v>0</v>
      </c>
      <c r="I37" s="38">
        <f t="shared" si="6"/>
        <v>0</v>
      </c>
      <c r="J37" s="38">
        <f t="shared" si="3"/>
        <v>0</v>
      </c>
      <c r="K37" s="38">
        <f t="shared" si="4"/>
        <v>0</v>
      </c>
      <c r="L37" s="39">
        <f t="shared" si="7"/>
        <v>0</v>
      </c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113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  <c r="AW37" s="113"/>
      <c r="AX37" s="113"/>
      <c r="AY37" s="113"/>
      <c r="AZ37" s="113"/>
      <c r="BA37" s="113"/>
      <c r="BB37" s="113"/>
      <c r="BC37" s="113"/>
      <c r="BD37" s="113"/>
      <c r="BE37" s="113"/>
      <c r="BF37" s="113"/>
      <c r="BG37" s="113"/>
      <c r="BH37" s="113"/>
      <c r="BI37" s="113"/>
      <c r="BJ37" s="113"/>
      <c r="BK37" s="113"/>
      <c r="BL37" s="113"/>
      <c r="BM37" s="113"/>
      <c r="BN37" s="113"/>
      <c r="BO37" s="113"/>
      <c r="BP37" s="113"/>
      <c r="BQ37" s="113"/>
      <c r="BR37" s="113"/>
      <c r="BS37" s="113"/>
      <c r="BT37" s="113"/>
      <c r="BU37" s="113"/>
      <c r="BV37" s="113"/>
      <c r="BW37" s="113"/>
      <c r="BX37" s="113"/>
      <c r="BY37" s="113"/>
      <c r="BZ37" s="113"/>
      <c r="CA37" s="113"/>
      <c r="CB37" s="113"/>
      <c r="CC37" s="113"/>
      <c r="CD37" s="113"/>
      <c r="CE37" s="113"/>
      <c r="CF37" s="113"/>
      <c r="CG37" s="113"/>
      <c r="CH37" s="113"/>
      <c r="CI37" s="113"/>
      <c r="CJ37" s="113"/>
      <c r="CK37" s="113"/>
      <c r="CL37" s="113"/>
      <c r="CM37" s="113"/>
      <c r="CN37" s="113"/>
      <c r="CO37" s="113"/>
      <c r="CP37" s="113"/>
      <c r="CQ37" s="113"/>
      <c r="CR37" s="113"/>
      <c r="CS37" s="113"/>
      <c r="CT37" s="113"/>
      <c r="CU37" s="113"/>
      <c r="CV37" s="113"/>
      <c r="CW37" s="113"/>
      <c r="CX37" s="113"/>
      <c r="CY37" s="113"/>
      <c r="CZ37" s="113"/>
      <c r="DA37" s="113"/>
      <c r="DB37" s="113"/>
      <c r="DC37" s="113"/>
      <c r="DD37" s="113"/>
      <c r="DE37" s="113"/>
      <c r="DF37" s="113"/>
      <c r="DG37" s="113"/>
      <c r="DH37" s="113"/>
      <c r="DI37" s="113"/>
      <c r="DJ37" s="113"/>
      <c r="DK37" s="113"/>
      <c r="DL37" s="113"/>
      <c r="DM37" s="16">
        <f t="shared" si="5"/>
        <v>0</v>
      </c>
    </row>
    <row r="38" spans="5:117" hidden="1" x14ac:dyDescent="0.35">
      <c r="E38" s="111"/>
      <c r="F38" s="112"/>
      <c r="G38" s="112"/>
      <c r="H38" s="38">
        <f t="shared" si="2"/>
        <v>0</v>
      </c>
      <c r="I38" s="38">
        <f t="shared" si="6"/>
        <v>0</v>
      </c>
      <c r="J38" s="38">
        <f t="shared" si="3"/>
        <v>0</v>
      </c>
      <c r="K38" s="38">
        <f t="shared" si="4"/>
        <v>0</v>
      </c>
      <c r="L38" s="39">
        <f t="shared" si="7"/>
        <v>0</v>
      </c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13"/>
      <c r="AP38" s="113"/>
      <c r="AQ38" s="113"/>
      <c r="AR38" s="113"/>
      <c r="AS38" s="113"/>
      <c r="AT38" s="113"/>
      <c r="AU38" s="113"/>
      <c r="AV38" s="113"/>
      <c r="AW38" s="113"/>
      <c r="AX38" s="113"/>
      <c r="AY38" s="113"/>
      <c r="AZ38" s="113"/>
      <c r="BA38" s="113"/>
      <c r="BB38" s="113"/>
      <c r="BC38" s="113"/>
      <c r="BD38" s="113"/>
      <c r="BE38" s="113"/>
      <c r="BF38" s="113"/>
      <c r="BG38" s="113"/>
      <c r="BH38" s="113"/>
      <c r="BI38" s="113"/>
      <c r="BJ38" s="113"/>
      <c r="BK38" s="113"/>
      <c r="BL38" s="113"/>
      <c r="BM38" s="113"/>
      <c r="BN38" s="113"/>
      <c r="BO38" s="113"/>
      <c r="BP38" s="113"/>
      <c r="BQ38" s="113"/>
      <c r="BR38" s="113"/>
      <c r="BS38" s="113"/>
      <c r="BT38" s="113"/>
      <c r="BU38" s="113"/>
      <c r="BV38" s="113"/>
      <c r="BW38" s="113"/>
      <c r="BX38" s="113"/>
      <c r="BY38" s="113"/>
      <c r="BZ38" s="113"/>
      <c r="CA38" s="113"/>
      <c r="CB38" s="113"/>
      <c r="CC38" s="113"/>
      <c r="CD38" s="113"/>
      <c r="CE38" s="113"/>
      <c r="CF38" s="113"/>
      <c r="CG38" s="113"/>
      <c r="CH38" s="113"/>
      <c r="CI38" s="113"/>
      <c r="CJ38" s="113"/>
      <c r="CK38" s="113"/>
      <c r="CL38" s="113"/>
      <c r="CM38" s="113"/>
      <c r="CN38" s="113"/>
      <c r="CO38" s="113"/>
      <c r="CP38" s="113"/>
      <c r="CQ38" s="113"/>
      <c r="CR38" s="113"/>
      <c r="CS38" s="113"/>
      <c r="CT38" s="113"/>
      <c r="CU38" s="113"/>
      <c r="CV38" s="113"/>
      <c r="CW38" s="113"/>
      <c r="CX38" s="113"/>
      <c r="CY38" s="113"/>
      <c r="CZ38" s="113"/>
      <c r="DA38" s="113"/>
      <c r="DB38" s="113"/>
      <c r="DC38" s="113"/>
      <c r="DD38" s="113"/>
      <c r="DE38" s="113"/>
      <c r="DF38" s="113"/>
      <c r="DG38" s="113"/>
      <c r="DH38" s="113"/>
      <c r="DI38" s="113"/>
      <c r="DJ38" s="113"/>
      <c r="DK38" s="113"/>
      <c r="DL38" s="113"/>
      <c r="DM38" s="16">
        <f t="shared" si="5"/>
        <v>0</v>
      </c>
    </row>
    <row r="39" spans="5:117" hidden="1" x14ac:dyDescent="0.35">
      <c r="E39" s="111"/>
      <c r="F39" s="112"/>
      <c r="G39" s="112"/>
      <c r="H39" s="38">
        <f t="shared" si="2"/>
        <v>0</v>
      </c>
      <c r="I39" s="38">
        <f t="shared" si="6"/>
        <v>0</v>
      </c>
      <c r="J39" s="38">
        <f t="shared" si="3"/>
        <v>0</v>
      </c>
      <c r="K39" s="38">
        <f t="shared" si="4"/>
        <v>0</v>
      </c>
      <c r="L39" s="39">
        <f t="shared" si="7"/>
        <v>0</v>
      </c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113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13"/>
      <c r="AP39" s="113"/>
      <c r="AQ39" s="113"/>
      <c r="AR39" s="113"/>
      <c r="AS39" s="113"/>
      <c r="AT39" s="113"/>
      <c r="AU39" s="113"/>
      <c r="AV39" s="113"/>
      <c r="AW39" s="113"/>
      <c r="AX39" s="113"/>
      <c r="AY39" s="113"/>
      <c r="AZ39" s="113"/>
      <c r="BA39" s="113"/>
      <c r="BB39" s="113"/>
      <c r="BC39" s="113"/>
      <c r="BD39" s="113"/>
      <c r="BE39" s="113"/>
      <c r="BF39" s="113"/>
      <c r="BG39" s="113"/>
      <c r="BH39" s="113"/>
      <c r="BI39" s="113"/>
      <c r="BJ39" s="113"/>
      <c r="BK39" s="113"/>
      <c r="BL39" s="113"/>
      <c r="BM39" s="113"/>
      <c r="BN39" s="113"/>
      <c r="BO39" s="113"/>
      <c r="BP39" s="113"/>
      <c r="BQ39" s="113"/>
      <c r="BR39" s="113"/>
      <c r="BS39" s="113"/>
      <c r="BT39" s="113"/>
      <c r="BU39" s="113"/>
      <c r="BV39" s="113"/>
      <c r="BW39" s="113"/>
      <c r="BX39" s="113"/>
      <c r="BY39" s="113"/>
      <c r="BZ39" s="113"/>
      <c r="CA39" s="113"/>
      <c r="CB39" s="113"/>
      <c r="CC39" s="113"/>
      <c r="CD39" s="113"/>
      <c r="CE39" s="113"/>
      <c r="CF39" s="113"/>
      <c r="CG39" s="113"/>
      <c r="CH39" s="113"/>
      <c r="CI39" s="113"/>
      <c r="CJ39" s="113"/>
      <c r="CK39" s="113"/>
      <c r="CL39" s="113"/>
      <c r="CM39" s="113"/>
      <c r="CN39" s="113"/>
      <c r="CO39" s="113"/>
      <c r="CP39" s="113"/>
      <c r="CQ39" s="113"/>
      <c r="CR39" s="113"/>
      <c r="CS39" s="113"/>
      <c r="CT39" s="113"/>
      <c r="CU39" s="113"/>
      <c r="CV39" s="113"/>
      <c r="CW39" s="113"/>
      <c r="CX39" s="113"/>
      <c r="CY39" s="113"/>
      <c r="CZ39" s="113"/>
      <c r="DA39" s="113"/>
      <c r="DB39" s="113"/>
      <c r="DC39" s="113"/>
      <c r="DD39" s="113"/>
      <c r="DE39" s="113"/>
      <c r="DF39" s="113"/>
      <c r="DG39" s="113"/>
      <c r="DH39" s="113"/>
      <c r="DI39" s="113"/>
      <c r="DJ39" s="113"/>
      <c r="DK39" s="113"/>
      <c r="DL39" s="113"/>
      <c r="DM39" s="16">
        <f t="shared" si="5"/>
        <v>0</v>
      </c>
    </row>
    <row r="40" spans="5:117" hidden="1" x14ac:dyDescent="0.35">
      <c r="E40" s="111"/>
      <c r="F40" s="112"/>
      <c r="G40" s="112"/>
      <c r="H40" s="38">
        <f t="shared" si="2"/>
        <v>0</v>
      </c>
      <c r="I40" s="38">
        <f t="shared" si="6"/>
        <v>0</v>
      </c>
      <c r="J40" s="38">
        <f t="shared" si="3"/>
        <v>0</v>
      </c>
      <c r="K40" s="38">
        <f t="shared" si="4"/>
        <v>0</v>
      </c>
      <c r="L40" s="39">
        <f t="shared" si="7"/>
        <v>0</v>
      </c>
      <c r="M40" s="113"/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  <c r="AV40" s="113"/>
      <c r="AW40" s="113"/>
      <c r="AX40" s="113"/>
      <c r="AY40" s="113"/>
      <c r="AZ40" s="113"/>
      <c r="BA40" s="113"/>
      <c r="BB40" s="113"/>
      <c r="BC40" s="113"/>
      <c r="BD40" s="113"/>
      <c r="BE40" s="113"/>
      <c r="BF40" s="113"/>
      <c r="BG40" s="113"/>
      <c r="BH40" s="113"/>
      <c r="BI40" s="113"/>
      <c r="BJ40" s="113"/>
      <c r="BK40" s="113"/>
      <c r="BL40" s="113"/>
      <c r="BM40" s="113"/>
      <c r="BN40" s="113"/>
      <c r="BO40" s="113"/>
      <c r="BP40" s="113"/>
      <c r="BQ40" s="113"/>
      <c r="BR40" s="113"/>
      <c r="BS40" s="113"/>
      <c r="BT40" s="113"/>
      <c r="BU40" s="113"/>
      <c r="BV40" s="113"/>
      <c r="BW40" s="113"/>
      <c r="BX40" s="113"/>
      <c r="BY40" s="113"/>
      <c r="BZ40" s="113"/>
      <c r="CA40" s="113"/>
      <c r="CB40" s="113"/>
      <c r="CC40" s="113"/>
      <c r="CD40" s="113"/>
      <c r="CE40" s="113"/>
      <c r="CF40" s="113"/>
      <c r="CG40" s="113"/>
      <c r="CH40" s="113"/>
      <c r="CI40" s="113"/>
      <c r="CJ40" s="113"/>
      <c r="CK40" s="113"/>
      <c r="CL40" s="113"/>
      <c r="CM40" s="113"/>
      <c r="CN40" s="113"/>
      <c r="CO40" s="113"/>
      <c r="CP40" s="113"/>
      <c r="CQ40" s="113"/>
      <c r="CR40" s="113"/>
      <c r="CS40" s="113"/>
      <c r="CT40" s="113"/>
      <c r="CU40" s="113"/>
      <c r="CV40" s="113"/>
      <c r="CW40" s="113"/>
      <c r="CX40" s="113"/>
      <c r="CY40" s="113"/>
      <c r="CZ40" s="113"/>
      <c r="DA40" s="113"/>
      <c r="DB40" s="113"/>
      <c r="DC40" s="113"/>
      <c r="DD40" s="113"/>
      <c r="DE40" s="113"/>
      <c r="DF40" s="113"/>
      <c r="DG40" s="113"/>
      <c r="DH40" s="113"/>
      <c r="DI40" s="113"/>
      <c r="DJ40" s="113"/>
      <c r="DK40" s="113"/>
      <c r="DL40" s="113"/>
      <c r="DM40" s="16">
        <f t="shared" si="5"/>
        <v>0</v>
      </c>
    </row>
    <row r="41" spans="5:117" hidden="1" x14ac:dyDescent="0.35">
      <c r="E41" s="111"/>
      <c r="F41" s="112"/>
      <c r="G41" s="112"/>
      <c r="H41" s="38">
        <f t="shared" si="2"/>
        <v>0</v>
      </c>
      <c r="I41" s="38">
        <f t="shared" si="6"/>
        <v>0</v>
      </c>
      <c r="J41" s="38">
        <f t="shared" si="3"/>
        <v>0</v>
      </c>
      <c r="K41" s="38">
        <f t="shared" si="4"/>
        <v>0</v>
      </c>
      <c r="L41" s="39">
        <f t="shared" si="7"/>
        <v>0</v>
      </c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113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  <c r="AU41" s="113"/>
      <c r="AV41" s="113"/>
      <c r="AW41" s="113"/>
      <c r="AX41" s="113"/>
      <c r="AY41" s="113"/>
      <c r="AZ41" s="113"/>
      <c r="BA41" s="113"/>
      <c r="BB41" s="113"/>
      <c r="BC41" s="113"/>
      <c r="BD41" s="113"/>
      <c r="BE41" s="113"/>
      <c r="BF41" s="113"/>
      <c r="BG41" s="113"/>
      <c r="BH41" s="113"/>
      <c r="BI41" s="113"/>
      <c r="BJ41" s="113"/>
      <c r="BK41" s="113"/>
      <c r="BL41" s="113"/>
      <c r="BM41" s="113"/>
      <c r="BN41" s="113"/>
      <c r="BO41" s="113"/>
      <c r="BP41" s="113"/>
      <c r="BQ41" s="113"/>
      <c r="BR41" s="113"/>
      <c r="BS41" s="113"/>
      <c r="BT41" s="113"/>
      <c r="BU41" s="113"/>
      <c r="BV41" s="113"/>
      <c r="BW41" s="113"/>
      <c r="BX41" s="113"/>
      <c r="BY41" s="113"/>
      <c r="BZ41" s="113"/>
      <c r="CA41" s="113"/>
      <c r="CB41" s="113"/>
      <c r="CC41" s="113"/>
      <c r="CD41" s="113"/>
      <c r="CE41" s="113"/>
      <c r="CF41" s="113"/>
      <c r="CG41" s="113"/>
      <c r="CH41" s="113"/>
      <c r="CI41" s="113"/>
      <c r="CJ41" s="113"/>
      <c r="CK41" s="113"/>
      <c r="CL41" s="113"/>
      <c r="CM41" s="113"/>
      <c r="CN41" s="113"/>
      <c r="CO41" s="113"/>
      <c r="CP41" s="113"/>
      <c r="CQ41" s="113"/>
      <c r="CR41" s="113"/>
      <c r="CS41" s="113"/>
      <c r="CT41" s="113"/>
      <c r="CU41" s="113"/>
      <c r="CV41" s="113"/>
      <c r="CW41" s="113"/>
      <c r="CX41" s="113"/>
      <c r="CY41" s="113"/>
      <c r="CZ41" s="113"/>
      <c r="DA41" s="113"/>
      <c r="DB41" s="113"/>
      <c r="DC41" s="113"/>
      <c r="DD41" s="113"/>
      <c r="DE41" s="113"/>
      <c r="DF41" s="113"/>
      <c r="DG41" s="113"/>
      <c r="DH41" s="113"/>
      <c r="DI41" s="113"/>
      <c r="DJ41" s="113"/>
      <c r="DK41" s="113"/>
      <c r="DL41" s="113"/>
      <c r="DM41" s="16">
        <f t="shared" si="5"/>
        <v>0</v>
      </c>
    </row>
    <row r="42" spans="5:117" hidden="1" x14ac:dyDescent="0.35">
      <c r="E42" s="111"/>
      <c r="F42" s="112"/>
      <c r="G42" s="112"/>
      <c r="H42" s="38">
        <f t="shared" si="2"/>
        <v>0</v>
      </c>
      <c r="I42" s="38">
        <f t="shared" si="6"/>
        <v>0</v>
      </c>
      <c r="J42" s="38">
        <f t="shared" si="3"/>
        <v>0</v>
      </c>
      <c r="K42" s="38">
        <f t="shared" si="4"/>
        <v>0</v>
      </c>
      <c r="L42" s="39">
        <f t="shared" si="7"/>
        <v>0</v>
      </c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  <c r="AU42" s="113"/>
      <c r="AV42" s="113"/>
      <c r="AW42" s="113"/>
      <c r="AX42" s="113"/>
      <c r="AY42" s="11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  <c r="BM42" s="113"/>
      <c r="BN42" s="113"/>
      <c r="BO42" s="113"/>
      <c r="BP42" s="113"/>
      <c r="BQ42" s="113"/>
      <c r="BR42" s="113"/>
      <c r="BS42" s="113"/>
      <c r="BT42" s="113"/>
      <c r="BU42" s="113"/>
      <c r="BV42" s="113"/>
      <c r="BW42" s="113"/>
      <c r="BX42" s="113"/>
      <c r="BY42" s="113"/>
      <c r="BZ42" s="113"/>
      <c r="CA42" s="113"/>
      <c r="CB42" s="113"/>
      <c r="CC42" s="113"/>
      <c r="CD42" s="113"/>
      <c r="CE42" s="113"/>
      <c r="CF42" s="113"/>
      <c r="CG42" s="113"/>
      <c r="CH42" s="113"/>
      <c r="CI42" s="113"/>
      <c r="CJ42" s="113"/>
      <c r="CK42" s="113"/>
      <c r="CL42" s="113"/>
      <c r="CM42" s="113"/>
      <c r="CN42" s="113"/>
      <c r="CO42" s="113"/>
      <c r="CP42" s="113"/>
      <c r="CQ42" s="113"/>
      <c r="CR42" s="113"/>
      <c r="CS42" s="113"/>
      <c r="CT42" s="113"/>
      <c r="CU42" s="113"/>
      <c r="CV42" s="113"/>
      <c r="CW42" s="113"/>
      <c r="CX42" s="113"/>
      <c r="CY42" s="113"/>
      <c r="CZ42" s="113"/>
      <c r="DA42" s="113"/>
      <c r="DB42" s="113"/>
      <c r="DC42" s="113"/>
      <c r="DD42" s="113"/>
      <c r="DE42" s="113"/>
      <c r="DF42" s="113"/>
      <c r="DG42" s="113"/>
      <c r="DH42" s="113"/>
      <c r="DI42" s="113"/>
      <c r="DJ42" s="113"/>
      <c r="DK42" s="113"/>
      <c r="DL42" s="113"/>
      <c r="DM42" s="16">
        <f t="shared" si="5"/>
        <v>0</v>
      </c>
    </row>
    <row r="43" spans="5:117" hidden="1" x14ac:dyDescent="0.35">
      <c r="E43" s="111"/>
      <c r="F43" s="112"/>
      <c r="G43" s="112"/>
      <c r="H43" s="38">
        <f t="shared" si="2"/>
        <v>0</v>
      </c>
      <c r="I43" s="38">
        <f t="shared" si="6"/>
        <v>0</v>
      </c>
      <c r="J43" s="38">
        <f t="shared" si="3"/>
        <v>0</v>
      </c>
      <c r="K43" s="38">
        <f t="shared" si="4"/>
        <v>0</v>
      </c>
      <c r="L43" s="39">
        <f t="shared" si="7"/>
        <v>0</v>
      </c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113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  <c r="AU43" s="113"/>
      <c r="AV43" s="113"/>
      <c r="AW43" s="113"/>
      <c r="AX43" s="113"/>
      <c r="AY43" s="113"/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  <c r="BM43" s="113"/>
      <c r="BN43" s="113"/>
      <c r="BO43" s="113"/>
      <c r="BP43" s="113"/>
      <c r="BQ43" s="113"/>
      <c r="BR43" s="113"/>
      <c r="BS43" s="113"/>
      <c r="BT43" s="113"/>
      <c r="BU43" s="113"/>
      <c r="BV43" s="113"/>
      <c r="BW43" s="113"/>
      <c r="BX43" s="113"/>
      <c r="BY43" s="113"/>
      <c r="BZ43" s="113"/>
      <c r="CA43" s="113"/>
      <c r="CB43" s="113"/>
      <c r="CC43" s="113"/>
      <c r="CD43" s="113"/>
      <c r="CE43" s="113"/>
      <c r="CF43" s="113"/>
      <c r="CG43" s="113"/>
      <c r="CH43" s="113"/>
      <c r="CI43" s="113"/>
      <c r="CJ43" s="113"/>
      <c r="CK43" s="113"/>
      <c r="CL43" s="113"/>
      <c r="CM43" s="113"/>
      <c r="CN43" s="113"/>
      <c r="CO43" s="113"/>
      <c r="CP43" s="113"/>
      <c r="CQ43" s="113"/>
      <c r="CR43" s="113"/>
      <c r="CS43" s="113"/>
      <c r="CT43" s="113"/>
      <c r="CU43" s="113"/>
      <c r="CV43" s="113"/>
      <c r="CW43" s="113"/>
      <c r="CX43" s="113"/>
      <c r="CY43" s="113"/>
      <c r="CZ43" s="113"/>
      <c r="DA43" s="113"/>
      <c r="DB43" s="113"/>
      <c r="DC43" s="113"/>
      <c r="DD43" s="113"/>
      <c r="DE43" s="113"/>
      <c r="DF43" s="113"/>
      <c r="DG43" s="113"/>
      <c r="DH43" s="113"/>
      <c r="DI43" s="113"/>
      <c r="DJ43" s="113"/>
      <c r="DK43" s="113"/>
      <c r="DL43" s="113"/>
      <c r="DM43" s="16">
        <f t="shared" si="5"/>
        <v>0</v>
      </c>
    </row>
    <row r="44" spans="5:117" hidden="1" x14ac:dyDescent="0.35">
      <c r="E44" s="111"/>
      <c r="F44" s="112"/>
      <c r="G44" s="112"/>
      <c r="H44" s="38">
        <f t="shared" si="2"/>
        <v>0</v>
      </c>
      <c r="I44" s="38">
        <f t="shared" si="6"/>
        <v>0</v>
      </c>
      <c r="J44" s="38">
        <f t="shared" si="3"/>
        <v>0</v>
      </c>
      <c r="K44" s="38">
        <f t="shared" si="4"/>
        <v>0</v>
      </c>
      <c r="L44" s="39">
        <f t="shared" si="7"/>
        <v>0</v>
      </c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113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  <c r="AU44" s="113"/>
      <c r="AV44" s="113"/>
      <c r="AW44" s="113"/>
      <c r="AX44" s="113"/>
      <c r="AY44" s="11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  <c r="BM44" s="113"/>
      <c r="BN44" s="113"/>
      <c r="BO44" s="113"/>
      <c r="BP44" s="113"/>
      <c r="BQ44" s="113"/>
      <c r="BR44" s="113"/>
      <c r="BS44" s="113"/>
      <c r="BT44" s="113"/>
      <c r="BU44" s="113"/>
      <c r="BV44" s="113"/>
      <c r="BW44" s="113"/>
      <c r="BX44" s="113"/>
      <c r="BY44" s="113"/>
      <c r="BZ44" s="113"/>
      <c r="CA44" s="113"/>
      <c r="CB44" s="113"/>
      <c r="CC44" s="113"/>
      <c r="CD44" s="113"/>
      <c r="CE44" s="113"/>
      <c r="CF44" s="113"/>
      <c r="CG44" s="113"/>
      <c r="CH44" s="113"/>
      <c r="CI44" s="113"/>
      <c r="CJ44" s="113"/>
      <c r="CK44" s="113"/>
      <c r="CL44" s="113"/>
      <c r="CM44" s="113"/>
      <c r="CN44" s="113"/>
      <c r="CO44" s="113"/>
      <c r="CP44" s="113"/>
      <c r="CQ44" s="113"/>
      <c r="CR44" s="113"/>
      <c r="CS44" s="113"/>
      <c r="CT44" s="113"/>
      <c r="CU44" s="113"/>
      <c r="CV44" s="113"/>
      <c r="CW44" s="113"/>
      <c r="CX44" s="113"/>
      <c r="CY44" s="113"/>
      <c r="CZ44" s="113"/>
      <c r="DA44" s="113"/>
      <c r="DB44" s="113"/>
      <c r="DC44" s="113"/>
      <c r="DD44" s="113"/>
      <c r="DE44" s="113"/>
      <c r="DF44" s="113"/>
      <c r="DG44" s="113"/>
      <c r="DH44" s="113"/>
      <c r="DI44" s="113"/>
      <c r="DJ44" s="113"/>
      <c r="DK44" s="113"/>
      <c r="DL44" s="113"/>
      <c r="DM44" s="16">
        <f t="shared" si="5"/>
        <v>0</v>
      </c>
    </row>
    <row r="45" spans="5:117" hidden="1" x14ac:dyDescent="0.35">
      <c r="E45" s="111"/>
      <c r="F45" s="112"/>
      <c r="G45" s="112"/>
      <c r="H45" s="38">
        <f t="shared" si="2"/>
        <v>0</v>
      </c>
      <c r="I45" s="38">
        <f t="shared" si="6"/>
        <v>0</v>
      </c>
      <c r="J45" s="38">
        <f t="shared" si="3"/>
        <v>0</v>
      </c>
      <c r="K45" s="38">
        <f t="shared" si="4"/>
        <v>0</v>
      </c>
      <c r="L45" s="39">
        <f t="shared" si="7"/>
        <v>0</v>
      </c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  <c r="AW45" s="113"/>
      <c r="AX45" s="113"/>
      <c r="AY45" s="11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  <c r="BM45" s="113"/>
      <c r="BN45" s="113"/>
      <c r="BO45" s="113"/>
      <c r="BP45" s="113"/>
      <c r="BQ45" s="113"/>
      <c r="BR45" s="113"/>
      <c r="BS45" s="113"/>
      <c r="BT45" s="113"/>
      <c r="BU45" s="113"/>
      <c r="BV45" s="113"/>
      <c r="BW45" s="113"/>
      <c r="BX45" s="113"/>
      <c r="BY45" s="113"/>
      <c r="BZ45" s="113"/>
      <c r="CA45" s="113"/>
      <c r="CB45" s="113"/>
      <c r="CC45" s="113"/>
      <c r="CD45" s="113"/>
      <c r="CE45" s="113"/>
      <c r="CF45" s="113"/>
      <c r="CG45" s="113"/>
      <c r="CH45" s="113"/>
      <c r="CI45" s="113"/>
      <c r="CJ45" s="113"/>
      <c r="CK45" s="113"/>
      <c r="CL45" s="113"/>
      <c r="CM45" s="113"/>
      <c r="CN45" s="113"/>
      <c r="CO45" s="113"/>
      <c r="CP45" s="113"/>
      <c r="CQ45" s="113"/>
      <c r="CR45" s="113"/>
      <c r="CS45" s="113"/>
      <c r="CT45" s="113"/>
      <c r="CU45" s="113"/>
      <c r="CV45" s="113"/>
      <c r="CW45" s="113"/>
      <c r="CX45" s="113"/>
      <c r="CY45" s="113"/>
      <c r="CZ45" s="113"/>
      <c r="DA45" s="113"/>
      <c r="DB45" s="113"/>
      <c r="DC45" s="113"/>
      <c r="DD45" s="113"/>
      <c r="DE45" s="113"/>
      <c r="DF45" s="113"/>
      <c r="DG45" s="113"/>
      <c r="DH45" s="113"/>
      <c r="DI45" s="113"/>
      <c r="DJ45" s="113"/>
      <c r="DK45" s="113"/>
      <c r="DL45" s="113"/>
      <c r="DM45" s="16">
        <f t="shared" si="5"/>
        <v>0</v>
      </c>
    </row>
    <row r="46" spans="5:117" hidden="1" x14ac:dyDescent="0.35">
      <c r="E46" s="111"/>
      <c r="F46" s="112"/>
      <c r="G46" s="112"/>
      <c r="H46" s="38">
        <f t="shared" si="2"/>
        <v>0</v>
      </c>
      <c r="I46" s="38">
        <f t="shared" si="6"/>
        <v>0</v>
      </c>
      <c r="J46" s="38">
        <f t="shared" si="3"/>
        <v>0</v>
      </c>
      <c r="K46" s="38">
        <f t="shared" si="4"/>
        <v>0</v>
      </c>
      <c r="L46" s="39">
        <f t="shared" si="7"/>
        <v>0</v>
      </c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113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  <c r="AV46" s="113"/>
      <c r="AW46" s="113"/>
      <c r="AX46" s="113"/>
      <c r="AY46" s="11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  <c r="BM46" s="113"/>
      <c r="BN46" s="113"/>
      <c r="BO46" s="113"/>
      <c r="BP46" s="113"/>
      <c r="BQ46" s="113"/>
      <c r="BR46" s="113"/>
      <c r="BS46" s="113"/>
      <c r="BT46" s="113"/>
      <c r="BU46" s="113"/>
      <c r="BV46" s="113"/>
      <c r="BW46" s="113"/>
      <c r="BX46" s="113"/>
      <c r="BY46" s="113"/>
      <c r="BZ46" s="113"/>
      <c r="CA46" s="113"/>
      <c r="CB46" s="113"/>
      <c r="CC46" s="113"/>
      <c r="CD46" s="113"/>
      <c r="CE46" s="113"/>
      <c r="CF46" s="113"/>
      <c r="CG46" s="113"/>
      <c r="CH46" s="113"/>
      <c r="CI46" s="113"/>
      <c r="CJ46" s="113"/>
      <c r="CK46" s="113"/>
      <c r="CL46" s="113"/>
      <c r="CM46" s="113"/>
      <c r="CN46" s="113"/>
      <c r="CO46" s="113"/>
      <c r="CP46" s="113"/>
      <c r="CQ46" s="113"/>
      <c r="CR46" s="113"/>
      <c r="CS46" s="113"/>
      <c r="CT46" s="113"/>
      <c r="CU46" s="113"/>
      <c r="CV46" s="113"/>
      <c r="CW46" s="113"/>
      <c r="CX46" s="113"/>
      <c r="CY46" s="113"/>
      <c r="CZ46" s="113"/>
      <c r="DA46" s="113"/>
      <c r="DB46" s="113"/>
      <c r="DC46" s="113"/>
      <c r="DD46" s="113"/>
      <c r="DE46" s="113"/>
      <c r="DF46" s="113"/>
      <c r="DG46" s="113"/>
      <c r="DH46" s="113"/>
      <c r="DI46" s="113"/>
      <c r="DJ46" s="113"/>
      <c r="DK46" s="113"/>
      <c r="DL46" s="113"/>
      <c r="DM46" s="16">
        <f t="shared" si="5"/>
        <v>0</v>
      </c>
    </row>
    <row r="47" spans="5:117" hidden="1" x14ac:dyDescent="0.35">
      <c r="E47" s="111"/>
      <c r="F47" s="112"/>
      <c r="G47" s="112"/>
      <c r="H47" s="38">
        <f t="shared" si="2"/>
        <v>0</v>
      </c>
      <c r="I47" s="38">
        <f t="shared" si="6"/>
        <v>0</v>
      </c>
      <c r="J47" s="38">
        <f t="shared" si="3"/>
        <v>0</v>
      </c>
      <c r="K47" s="38">
        <f t="shared" si="4"/>
        <v>0</v>
      </c>
      <c r="L47" s="39">
        <f t="shared" si="7"/>
        <v>0</v>
      </c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113"/>
      <c r="AE47" s="113"/>
      <c r="AF47" s="113"/>
      <c r="AG47" s="113"/>
      <c r="AH47" s="113"/>
      <c r="AI47" s="113"/>
      <c r="AJ47" s="113"/>
      <c r="AK47" s="113"/>
      <c r="AL47" s="113"/>
      <c r="AM47" s="113"/>
      <c r="AN47" s="113"/>
      <c r="AO47" s="113"/>
      <c r="AP47" s="113"/>
      <c r="AQ47" s="113"/>
      <c r="AR47" s="113"/>
      <c r="AS47" s="113"/>
      <c r="AT47" s="113"/>
      <c r="AU47" s="113"/>
      <c r="AV47" s="113"/>
      <c r="AW47" s="113"/>
      <c r="AX47" s="113"/>
      <c r="AY47" s="113"/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  <c r="BM47" s="113"/>
      <c r="BN47" s="113"/>
      <c r="BO47" s="113"/>
      <c r="BP47" s="113"/>
      <c r="BQ47" s="113"/>
      <c r="BR47" s="113"/>
      <c r="BS47" s="113"/>
      <c r="BT47" s="113"/>
      <c r="BU47" s="113"/>
      <c r="BV47" s="113"/>
      <c r="BW47" s="113"/>
      <c r="BX47" s="113"/>
      <c r="BY47" s="113"/>
      <c r="BZ47" s="113"/>
      <c r="CA47" s="113"/>
      <c r="CB47" s="113"/>
      <c r="CC47" s="113"/>
      <c r="CD47" s="113"/>
      <c r="CE47" s="113"/>
      <c r="CF47" s="113"/>
      <c r="CG47" s="113"/>
      <c r="CH47" s="113"/>
      <c r="CI47" s="113"/>
      <c r="CJ47" s="113"/>
      <c r="CK47" s="113"/>
      <c r="CL47" s="113"/>
      <c r="CM47" s="113"/>
      <c r="CN47" s="113"/>
      <c r="CO47" s="113"/>
      <c r="CP47" s="113"/>
      <c r="CQ47" s="113"/>
      <c r="CR47" s="113"/>
      <c r="CS47" s="113"/>
      <c r="CT47" s="113"/>
      <c r="CU47" s="113"/>
      <c r="CV47" s="113"/>
      <c r="CW47" s="113"/>
      <c r="CX47" s="113"/>
      <c r="CY47" s="113"/>
      <c r="CZ47" s="113"/>
      <c r="DA47" s="113"/>
      <c r="DB47" s="113"/>
      <c r="DC47" s="113"/>
      <c r="DD47" s="113"/>
      <c r="DE47" s="113"/>
      <c r="DF47" s="113"/>
      <c r="DG47" s="113"/>
      <c r="DH47" s="113"/>
      <c r="DI47" s="113"/>
      <c r="DJ47" s="113"/>
      <c r="DK47" s="113"/>
      <c r="DL47" s="113"/>
      <c r="DM47" s="16">
        <f t="shared" si="5"/>
        <v>0</v>
      </c>
    </row>
    <row r="48" spans="5:117" hidden="1" x14ac:dyDescent="0.35">
      <c r="E48" s="111"/>
      <c r="F48" s="112"/>
      <c r="G48" s="112"/>
      <c r="H48" s="38">
        <f t="shared" si="2"/>
        <v>0</v>
      </c>
      <c r="I48" s="38">
        <f t="shared" si="6"/>
        <v>0</v>
      </c>
      <c r="J48" s="38">
        <f t="shared" si="3"/>
        <v>0</v>
      </c>
      <c r="K48" s="38">
        <f t="shared" si="4"/>
        <v>0</v>
      </c>
      <c r="L48" s="39">
        <f t="shared" si="7"/>
        <v>0</v>
      </c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113"/>
      <c r="AE48" s="113"/>
      <c r="AF48" s="113"/>
      <c r="AG48" s="113"/>
      <c r="AH48" s="113"/>
      <c r="AI48" s="113"/>
      <c r="AJ48" s="113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  <c r="AU48" s="113"/>
      <c r="AV48" s="113"/>
      <c r="AW48" s="113"/>
      <c r="AX48" s="113"/>
      <c r="AY48" s="113"/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  <c r="BM48" s="113"/>
      <c r="BN48" s="113"/>
      <c r="BO48" s="113"/>
      <c r="BP48" s="113"/>
      <c r="BQ48" s="113"/>
      <c r="BR48" s="113"/>
      <c r="BS48" s="113"/>
      <c r="BT48" s="113"/>
      <c r="BU48" s="113"/>
      <c r="BV48" s="113"/>
      <c r="BW48" s="113"/>
      <c r="BX48" s="113"/>
      <c r="BY48" s="113"/>
      <c r="BZ48" s="113"/>
      <c r="CA48" s="113"/>
      <c r="CB48" s="113"/>
      <c r="CC48" s="113"/>
      <c r="CD48" s="113"/>
      <c r="CE48" s="113"/>
      <c r="CF48" s="113"/>
      <c r="CG48" s="113"/>
      <c r="CH48" s="113"/>
      <c r="CI48" s="113"/>
      <c r="CJ48" s="113"/>
      <c r="CK48" s="113"/>
      <c r="CL48" s="113"/>
      <c r="CM48" s="113"/>
      <c r="CN48" s="113"/>
      <c r="CO48" s="113"/>
      <c r="CP48" s="113"/>
      <c r="CQ48" s="113"/>
      <c r="CR48" s="113"/>
      <c r="CS48" s="113"/>
      <c r="CT48" s="113"/>
      <c r="CU48" s="113"/>
      <c r="CV48" s="113"/>
      <c r="CW48" s="113"/>
      <c r="CX48" s="113"/>
      <c r="CY48" s="113"/>
      <c r="CZ48" s="113"/>
      <c r="DA48" s="113"/>
      <c r="DB48" s="113"/>
      <c r="DC48" s="113"/>
      <c r="DD48" s="113"/>
      <c r="DE48" s="113"/>
      <c r="DF48" s="113"/>
      <c r="DG48" s="113"/>
      <c r="DH48" s="113"/>
      <c r="DI48" s="113"/>
      <c r="DJ48" s="113"/>
      <c r="DK48" s="113"/>
      <c r="DL48" s="113"/>
      <c r="DM48" s="16">
        <f t="shared" si="5"/>
        <v>0</v>
      </c>
    </row>
    <row r="49" spans="5:117" hidden="1" x14ac:dyDescent="0.35">
      <c r="E49" s="111"/>
      <c r="F49" s="112"/>
      <c r="G49" s="112"/>
      <c r="H49" s="38">
        <f t="shared" si="2"/>
        <v>0</v>
      </c>
      <c r="I49" s="38">
        <f t="shared" si="6"/>
        <v>0</v>
      </c>
      <c r="J49" s="38">
        <f t="shared" si="3"/>
        <v>0</v>
      </c>
      <c r="K49" s="38">
        <f t="shared" si="4"/>
        <v>0</v>
      </c>
      <c r="L49" s="39">
        <f t="shared" si="7"/>
        <v>0</v>
      </c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113"/>
      <c r="AE49" s="113"/>
      <c r="AF49" s="113"/>
      <c r="AG49" s="113"/>
      <c r="AH49" s="113"/>
      <c r="AI49" s="113"/>
      <c r="AJ49" s="113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  <c r="AU49" s="113"/>
      <c r="AV49" s="113"/>
      <c r="AW49" s="113"/>
      <c r="AX49" s="113"/>
      <c r="AY49" s="113"/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  <c r="BM49" s="113"/>
      <c r="BN49" s="113"/>
      <c r="BO49" s="113"/>
      <c r="BP49" s="113"/>
      <c r="BQ49" s="113"/>
      <c r="BR49" s="113"/>
      <c r="BS49" s="113"/>
      <c r="BT49" s="113"/>
      <c r="BU49" s="113"/>
      <c r="BV49" s="113"/>
      <c r="BW49" s="113"/>
      <c r="BX49" s="113"/>
      <c r="BY49" s="113"/>
      <c r="BZ49" s="113"/>
      <c r="CA49" s="113"/>
      <c r="CB49" s="113"/>
      <c r="CC49" s="113"/>
      <c r="CD49" s="113"/>
      <c r="CE49" s="113"/>
      <c r="CF49" s="113"/>
      <c r="CG49" s="113"/>
      <c r="CH49" s="113"/>
      <c r="CI49" s="113"/>
      <c r="CJ49" s="113"/>
      <c r="CK49" s="113"/>
      <c r="CL49" s="113"/>
      <c r="CM49" s="113"/>
      <c r="CN49" s="113"/>
      <c r="CO49" s="113"/>
      <c r="CP49" s="113"/>
      <c r="CQ49" s="113"/>
      <c r="CR49" s="113"/>
      <c r="CS49" s="113"/>
      <c r="CT49" s="113"/>
      <c r="CU49" s="113"/>
      <c r="CV49" s="113"/>
      <c r="CW49" s="113"/>
      <c r="CX49" s="113"/>
      <c r="CY49" s="113"/>
      <c r="CZ49" s="113"/>
      <c r="DA49" s="113"/>
      <c r="DB49" s="113"/>
      <c r="DC49" s="113"/>
      <c r="DD49" s="113"/>
      <c r="DE49" s="113"/>
      <c r="DF49" s="113"/>
      <c r="DG49" s="113"/>
      <c r="DH49" s="113"/>
      <c r="DI49" s="113"/>
      <c r="DJ49" s="113"/>
      <c r="DK49" s="113"/>
      <c r="DL49" s="113"/>
      <c r="DM49" s="16">
        <f t="shared" si="5"/>
        <v>0</v>
      </c>
    </row>
    <row r="50" spans="5:117" hidden="1" x14ac:dyDescent="0.35">
      <c r="E50" s="111"/>
      <c r="F50" s="112"/>
      <c r="G50" s="112"/>
      <c r="H50" s="38">
        <f t="shared" si="2"/>
        <v>0</v>
      </c>
      <c r="I50" s="38">
        <f t="shared" si="6"/>
        <v>0</v>
      </c>
      <c r="J50" s="38">
        <f t="shared" si="3"/>
        <v>0</v>
      </c>
      <c r="K50" s="38">
        <f t="shared" si="4"/>
        <v>0</v>
      </c>
      <c r="L50" s="39">
        <f t="shared" si="7"/>
        <v>0</v>
      </c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  <c r="AH50" s="113"/>
      <c r="AI50" s="113"/>
      <c r="AJ50" s="113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  <c r="AU50" s="113"/>
      <c r="AV50" s="113"/>
      <c r="AW50" s="113"/>
      <c r="AX50" s="113"/>
      <c r="AY50" s="113"/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  <c r="BM50" s="113"/>
      <c r="BN50" s="113"/>
      <c r="BO50" s="113"/>
      <c r="BP50" s="113"/>
      <c r="BQ50" s="113"/>
      <c r="BR50" s="113"/>
      <c r="BS50" s="113"/>
      <c r="BT50" s="113"/>
      <c r="BU50" s="113"/>
      <c r="BV50" s="113"/>
      <c r="BW50" s="113"/>
      <c r="BX50" s="113"/>
      <c r="BY50" s="113"/>
      <c r="BZ50" s="113"/>
      <c r="CA50" s="113"/>
      <c r="CB50" s="113"/>
      <c r="CC50" s="113"/>
      <c r="CD50" s="113"/>
      <c r="CE50" s="113"/>
      <c r="CF50" s="113"/>
      <c r="CG50" s="113"/>
      <c r="CH50" s="113"/>
      <c r="CI50" s="113"/>
      <c r="CJ50" s="113"/>
      <c r="CK50" s="113"/>
      <c r="CL50" s="113"/>
      <c r="CM50" s="113"/>
      <c r="CN50" s="113"/>
      <c r="CO50" s="113"/>
      <c r="CP50" s="113"/>
      <c r="CQ50" s="113"/>
      <c r="CR50" s="113"/>
      <c r="CS50" s="113"/>
      <c r="CT50" s="113"/>
      <c r="CU50" s="113"/>
      <c r="CV50" s="113"/>
      <c r="CW50" s="113"/>
      <c r="CX50" s="113"/>
      <c r="CY50" s="113"/>
      <c r="CZ50" s="113"/>
      <c r="DA50" s="113"/>
      <c r="DB50" s="113"/>
      <c r="DC50" s="113"/>
      <c r="DD50" s="113"/>
      <c r="DE50" s="113"/>
      <c r="DF50" s="113"/>
      <c r="DG50" s="113"/>
      <c r="DH50" s="113"/>
      <c r="DI50" s="113"/>
      <c r="DJ50" s="113"/>
      <c r="DK50" s="113"/>
      <c r="DL50" s="113"/>
      <c r="DM50" s="16">
        <f t="shared" si="5"/>
        <v>0</v>
      </c>
    </row>
    <row r="51" spans="5:117" hidden="1" x14ac:dyDescent="0.35">
      <c r="E51" s="111"/>
      <c r="F51" s="112"/>
      <c r="G51" s="112"/>
      <c r="H51" s="38">
        <f t="shared" si="2"/>
        <v>0</v>
      </c>
      <c r="I51" s="38">
        <f t="shared" si="6"/>
        <v>0</v>
      </c>
      <c r="J51" s="38">
        <f t="shared" si="3"/>
        <v>0</v>
      </c>
      <c r="K51" s="38">
        <f t="shared" si="4"/>
        <v>0</v>
      </c>
      <c r="L51" s="39">
        <f t="shared" si="7"/>
        <v>0</v>
      </c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113"/>
      <c r="AE51" s="113"/>
      <c r="AF51" s="113"/>
      <c r="AG51" s="113"/>
      <c r="AH51" s="113"/>
      <c r="AI51" s="113"/>
      <c r="AJ51" s="113"/>
      <c r="AK51" s="113"/>
      <c r="AL51" s="113"/>
      <c r="AM51" s="113"/>
      <c r="AN51" s="113"/>
      <c r="AO51" s="113"/>
      <c r="AP51" s="113"/>
      <c r="AQ51" s="113"/>
      <c r="AR51" s="113"/>
      <c r="AS51" s="113"/>
      <c r="AT51" s="113"/>
      <c r="AU51" s="113"/>
      <c r="AV51" s="113"/>
      <c r="AW51" s="113"/>
      <c r="AX51" s="113"/>
      <c r="AY51" s="113"/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  <c r="BM51" s="113"/>
      <c r="BN51" s="113"/>
      <c r="BO51" s="113"/>
      <c r="BP51" s="113"/>
      <c r="BQ51" s="113"/>
      <c r="BR51" s="113"/>
      <c r="BS51" s="113"/>
      <c r="BT51" s="113"/>
      <c r="BU51" s="113"/>
      <c r="BV51" s="113"/>
      <c r="BW51" s="113"/>
      <c r="BX51" s="113"/>
      <c r="BY51" s="113"/>
      <c r="BZ51" s="113"/>
      <c r="CA51" s="113"/>
      <c r="CB51" s="113"/>
      <c r="CC51" s="113"/>
      <c r="CD51" s="113"/>
      <c r="CE51" s="113"/>
      <c r="CF51" s="113"/>
      <c r="CG51" s="113"/>
      <c r="CH51" s="113"/>
      <c r="CI51" s="113"/>
      <c r="CJ51" s="113"/>
      <c r="CK51" s="113"/>
      <c r="CL51" s="113"/>
      <c r="CM51" s="113"/>
      <c r="CN51" s="113"/>
      <c r="CO51" s="113"/>
      <c r="CP51" s="113"/>
      <c r="CQ51" s="113"/>
      <c r="CR51" s="113"/>
      <c r="CS51" s="113"/>
      <c r="CT51" s="113"/>
      <c r="CU51" s="113"/>
      <c r="CV51" s="113"/>
      <c r="CW51" s="113"/>
      <c r="CX51" s="113"/>
      <c r="CY51" s="113"/>
      <c r="CZ51" s="113"/>
      <c r="DA51" s="113"/>
      <c r="DB51" s="113"/>
      <c r="DC51" s="113"/>
      <c r="DD51" s="113"/>
      <c r="DE51" s="113"/>
      <c r="DF51" s="113"/>
      <c r="DG51" s="113"/>
      <c r="DH51" s="113"/>
      <c r="DI51" s="113"/>
      <c r="DJ51" s="113"/>
      <c r="DK51" s="113"/>
      <c r="DL51" s="113"/>
      <c r="DM51" s="16">
        <f t="shared" si="5"/>
        <v>0</v>
      </c>
    </row>
    <row r="52" spans="5:117" hidden="1" x14ac:dyDescent="0.35">
      <c r="E52" s="111"/>
      <c r="F52" s="112"/>
      <c r="G52" s="112"/>
      <c r="H52" s="38">
        <f t="shared" ref="H52:H69" si="8">IFERROR(VLOOKUP(G52,Resource_List,2,FALSE),0)</f>
        <v>0</v>
      </c>
      <c r="I52" s="38">
        <f t="shared" si="6"/>
        <v>0</v>
      </c>
      <c r="J52" s="38">
        <f t="shared" ref="J52:J69" si="9">H52*L52</f>
        <v>0</v>
      </c>
      <c r="K52" s="38">
        <f t="shared" ref="K52:K69" si="10">I52*L52</f>
        <v>0</v>
      </c>
      <c r="L52" s="39">
        <f t="shared" si="7"/>
        <v>0</v>
      </c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113"/>
      <c r="AE52" s="113"/>
      <c r="AF52" s="113"/>
      <c r="AG52" s="113"/>
      <c r="AH52" s="113"/>
      <c r="AI52" s="113"/>
      <c r="AJ52" s="113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  <c r="AU52" s="113"/>
      <c r="AV52" s="113"/>
      <c r="AW52" s="113"/>
      <c r="AX52" s="113"/>
      <c r="AY52" s="113"/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  <c r="BM52" s="113"/>
      <c r="BN52" s="113"/>
      <c r="BO52" s="113"/>
      <c r="BP52" s="113"/>
      <c r="BQ52" s="113"/>
      <c r="BR52" s="113"/>
      <c r="BS52" s="113"/>
      <c r="BT52" s="113"/>
      <c r="BU52" s="113"/>
      <c r="BV52" s="113"/>
      <c r="BW52" s="113"/>
      <c r="BX52" s="113"/>
      <c r="BY52" s="113"/>
      <c r="BZ52" s="113"/>
      <c r="CA52" s="113"/>
      <c r="CB52" s="113"/>
      <c r="CC52" s="113"/>
      <c r="CD52" s="113"/>
      <c r="CE52" s="113"/>
      <c r="CF52" s="113"/>
      <c r="CG52" s="113"/>
      <c r="CH52" s="113"/>
      <c r="CI52" s="113"/>
      <c r="CJ52" s="113"/>
      <c r="CK52" s="113"/>
      <c r="CL52" s="113"/>
      <c r="CM52" s="113"/>
      <c r="CN52" s="113"/>
      <c r="CO52" s="113"/>
      <c r="CP52" s="113"/>
      <c r="CQ52" s="113"/>
      <c r="CR52" s="113"/>
      <c r="CS52" s="113"/>
      <c r="CT52" s="113"/>
      <c r="CU52" s="113"/>
      <c r="CV52" s="113"/>
      <c r="CW52" s="113"/>
      <c r="CX52" s="113"/>
      <c r="CY52" s="113"/>
      <c r="CZ52" s="113"/>
      <c r="DA52" s="113"/>
      <c r="DB52" s="113"/>
      <c r="DC52" s="113"/>
      <c r="DD52" s="113"/>
      <c r="DE52" s="113"/>
      <c r="DF52" s="113"/>
      <c r="DG52" s="113"/>
      <c r="DH52" s="113"/>
      <c r="DI52" s="113"/>
      <c r="DJ52" s="113"/>
      <c r="DK52" s="113"/>
      <c r="DL52" s="113"/>
      <c r="DM52" s="16">
        <f t="shared" ref="DM52:DM69" si="11">IFERROR((L52*VLOOKUP(G52,Resource_List,3,FALSE)),0)</f>
        <v>0</v>
      </c>
    </row>
    <row r="53" spans="5:117" hidden="1" x14ac:dyDescent="0.35">
      <c r="E53" s="111"/>
      <c r="F53" s="112"/>
      <c r="G53" s="112"/>
      <c r="H53" s="38">
        <f t="shared" si="8"/>
        <v>0</v>
      </c>
      <c r="I53" s="38">
        <f t="shared" si="6"/>
        <v>0</v>
      </c>
      <c r="J53" s="38">
        <f t="shared" si="9"/>
        <v>0</v>
      </c>
      <c r="K53" s="38">
        <f t="shared" si="10"/>
        <v>0</v>
      </c>
      <c r="L53" s="39">
        <f t="shared" si="7"/>
        <v>0</v>
      </c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113"/>
      <c r="AE53" s="113"/>
      <c r="AF53" s="113"/>
      <c r="AG53" s="113"/>
      <c r="AH53" s="113"/>
      <c r="AI53" s="113"/>
      <c r="AJ53" s="113"/>
      <c r="AK53" s="113"/>
      <c r="AL53" s="113"/>
      <c r="AM53" s="113"/>
      <c r="AN53" s="113"/>
      <c r="AO53" s="113"/>
      <c r="AP53" s="113"/>
      <c r="AQ53" s="113"/>
      <c r="AR53" s="113"/>
      <c r="AS53" s="113"/>
      <c r="AT53" s="113"/>
      <c r="AU53" s="113"/>
      <c r="AV53" s="113"/>
      <c r="AW53" s="113"/>
      <c r="AX53" s="113"/>
      <c r="AY53" s="113"/>
      <c r="AZ53" s="113"/>
      <c r="BA53" s="113"/>
      <c r="BB53" s="113"/>
      <c r="BC53" s="113"/>
      <c r="BD53" s="113"/>
      <c r="BE53" s="113"/>
      <c r="BF53" s="113"/>
      <c r="BG53" s="113"/>
      <c r="BH53" s="113"/>
      <c r="BI53" s="113"/>
      <c r="BJ53" s="113"/>
      <c r="BK53" s="113"/>
      <c r="BL53" s="113"/>
      <c r="BM53" s="113"/>
      <c r="BN53" s="113"/>
      <c r="BO53" s="113"/>
      <c r="BP53" s="113"/>
      <c r="BQ53" s="113"/>
      <c r="BR53" s="113"/>
      <c r="BS53" s="113"/>
      <c r="BT53" s="113"/>
      <c r="BU53" s="113"/>
      <c r="BV53" s="113"/>
      <c r="BW53" s="113"/>
      <c r="BX53" s="113"/>
      <c r="BY53" s="113"/>
      <c r="BZ53" s="113"/>
      <c r="CA53" s="113"/>
      <c r="CB53" s="113"/>
      <c r="CC53" s="113"/>
      <c r="CD53" s="113"/>
      <c r="CE53" s="113"/>
      <c r="CF53" s="113"/>
      <c r="CG53" s="113"/>
      <c r="CH53" s="113"/>
      <c r="CI53" s="113"/>
      <c r="CJ53" s="113"/>
      <c r="CK53" s="113"/>
      <c r="CL53" s="113"/>
      <c r="CM53" s="113"/>
      <c r="CN53" s="113"/>
      <c r="CO53" s="113"/>
      <c r="CP53" s="113"/>
      <c r="CQ53" s="113"/>
      <c r="CR53" s="113"/>
      <c r="CS53" s="113"/>
      <c r="CT53" s="113"/>
      <c r="CU53" s="113"/>
      <c r="CV53" s="113"/>
      <c r="CW53" s="113"/>
      <c r="CX53" s="113"/>
      <c r="CY53" s="113"/>
      <c r="CZ53" s="113"/>
      <c r="DA53" s="113"/>
      <c r="DB53" s="113"/>
      <c r="DC53" s="113"/>
      <c r="DD53" s="113"/>
      <c r="DE53" s="113"/>
      <c r="DF53" s="113"/>
      <c r="DG53" s="113"/>
      <c r="DH53" s="113"/>
      <c r="DI53" s="113"/>
      <c r="DJ53" s="113"/>
      <c r="DK53" s="113"/>
      <c r="DL53" s="113"/>
      <c r="DM53" s="16">
        <f t="shared" si="11"/>
        <v>0</v>
      </c>
    </row>
    <row r="54" spans="5:117" hidden="1" x14ac:dyDescent="0.35">
      <c r="E54" s="111"/>
      <c r="F54" s="112"/>
      <c r="G54" s="112"/>
      <c r="H54" s="38">
        <f t="shared" si="8"/>
        <v>0</v>
      </c>
      <c r="I54" s="38">
        <f t="shared" si="6"/>
        <v>0</v>
      </c>
      <c r="J54" s="38">
        <f t="shared" si="9"/>
        <v>0</v>
      </c>
      <c r="K54" s="38">
        <f t="shared" si="10"/>
        <v>0</v>
      </c>
      <c r="L54" s="39">
        <f t="shared" si="7"/>
        <v>0</v>
      </c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113"/>
      <c r="AE54" s="113"/>
      <c r="AF54" s="113"/>
      <c r="AG54" s="113"/>
      <c r="AH54" s="113"/>
      <c r="AI54" s="113"/>
      <c r="AJ54" s="113"/>
      <c r="AK54" s="113"/>
      <c r="AL54" s="113"/>
      <c r="AM54" s="113"/>
      <c r="AN54" s="113"/>
      <c r="AO54" s="113"/>
      <c r="AP54" s="113"/>
      <c r="AQ54" s="113"/>
      <c r="AR54" s="113"/>
      <c r="AS54" s="113"/>
      <c r="AT54" s="113"/>
      <c r="AU54" s="113"/>
      <c r="AV54" s="113"/>
      <c r="AW54" s="113"/>
      <c r="AX54" s="113"/>
      <c r="AY54" s="113"/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  <c r="BN54" s="113"/>
      <c r="BO54" s="113"/>
      <c r="BP54" s="113"/>
      <c r="BQ54" s="113"/>
      <c r="BR54" s="113"/>
      <c r="BS54" s="113"/>
      <c r="BT54" s="113"/>
      <c r="BU54" s="113"/>
      <c r="BV54" s="113"/>
      <c r="BW54" s="113"/>
      <c r="BX54" s="113"/>
      <c r="BY54" s="113"/>
      <c r="BZ54" s="113"/>
      <c r="CA54" s="113"/>
      <c r="CB54" s="113"/>
      <c r="CC54" s="113"/>
      <c r="CD54" s="113"/>
      <c r="CE54" s="113"/>
      <c r="CF54" s="113"/>
      <c r="CG54" s="113"/>
      <c r="CH54" s="113"/>
      <c r="CI54" s="113"/>
      <c r="CJ54" s="113"/>
      <c r="CK54" s="113"/>
      <c r="CL54" s="113"/>
      <c r="CM54" s="113"/>
      <c r="CN54" s="113"/>
      <c r="CO54" s="113"/>
      <c r="CP54" s="113"/>
      <c r="CQ54" s="113"/>
      <c r="CR54" s="113"/>
      <c r="CS54" s="113"/>
      <c r="CT54" s="113"/>
      <c r="CU54" s="113"/>
      <c r="CV54" s="113"/>
      <c r="CW54" s="113"/>
      <c r="CX54" s="113"/>
      <c r="CY54" s="113"/>
      <c r="CZ54" s="113"/>
      <c r="DA54" s="113"/>
      <c r="DB54" s="113"/>
      <c r="DC54" s="113"/>
      <c r="DD54" s="113"/>
      <c r="DE54" s="113"/>
      <c r="DF54" s="113"/>
      <c r="DG54" s="113"/>
      <c r="DH54" s="113"/>
      <c r="DI54" s="113"/>
      <c r="DJ54" s="113"/>
      <c r="DK54" s="113"/>
      <c r="DL54" s="113"/>
      <c r="DM54" s="16">
        <f t="shared" si="11"/>
        <v>0</v>
      </c>
    </row>
    <row r="55" spans="5:117" hidden="1" x14ac:dyDescent="0.35">
      <c r="E55" s="111"/>
      <c r="F55" s="112"/>
      <c r="G55" s="112"/>
      <c r="H55" s="38">
        <f t="shared" si="8"/>
        <v>0</v>
      </c>
      <c r="I55" s="38">
        <f t="shared" si="6"/>
        <v>0</v>
      </c>
      <c r="J55" s="38">
        <f t="shared" si="9"/>
        <v>0</v>
      </c>
      <c r="K55" s="38">
        <f t="shared" si="10"/>
        <v>0</v>
      </c>
      <c r="L55" s="39">
        <f t="shared" si="7"/>
        <v>0</v>
      </c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113"/>
      <c r="AE55" s="113"/>
      <c r="AF55" s="113"/>
      <c r="AG55" s="113"/>
      <c r="AH55" s="113"/>
      <c r="AI55" s="113"/>
      <c r="AJ55" s="113"/>
      <c r="AK55" s="113"/>
      <c r="AL55" s="113"/>
      <c r="AM55" s="113"/>
      <c r="AN55" s="113"/>
      <c r="AO55" s="113"/>
      <c r="AP55" s="113"/>
      <c r="AQ55" s="113"/>
      <c r="AR55" s="113"/>
      <c r="AS55" s="113"/>
      <c r="AT55" s="113"/>
      <c r="AU55" s="113"/>
      <c r="AV55" s="113"/>
      <c r="AW55" s="113"/>
      <c r="AX55" s="113"/>
      <c r="AY55" s="113"/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  <c r="BN55" s="113"/>
      <c r="BO55" s="113"/>
      <c r="BP55" s="113"/>
      <c r="BQ55" s="113"/>
      <c r="BR55" s="113"/>
      <c r="BS55" s="113"/>
      <c r="BT55" s="113"/>
      <c r="BU55" s="113"/>
      <c r="BV55" s="113"/>
      <c r="BW55" s="113"/>
      <c r="BX55" s="113"/>
      <c r="BY55" s="113"/>
      <c r="BZ55" s="113"/>
      <c r="CA55" s="113"/>
      <c r="CB55" s="113"/>
      <c r="CC55" s="113"/>
      <c r="CD55" s="113"/>
      <c r="CE55" s="113"/>
      <c r="CF55" s="113"/>
      <c r="CG55" s="113"/>
      <c r="CH55" s="113"/>
      <c r="CI55" s="113"/>
      <c r="CJ55" s="113"/>
      <c r="CK55" s="113"/>
      <c r="CL55" s="113"/>
      <c r="CM55" s="113"/>
      <c r="CN55" s="113"/>
      <c r="CO55" s="113"/>
      <c r="CP55" s="113"/>
      <c r="CQ55" s="113"/>
      <c r="CR55" s="113"/>
      <c r="CS55" s="113"/>
      <c r="CT55" s="113"/>
      <c r="CU55" s="113"/>
      <c r="CV55" s="113"/>
      <c r="CW55" s="113"/>
      <c r="CX55" s="113"/>
      <c r="CY55" s="113"/>
      <c r="CZ55" s="113"/>
      <c r="DA55" s="113"/>
      <c r="DB55" s="113"/>
      <c r="DC55" s="113"/>
      <c r="DD55" s="113"/>
      <c r="DE55" s="113"/>
      <c r="DF55" s="113"/>
      <c r="DG55" s="113"/>
      <c r="DH55" s="113"/>
      <c r="DI55" s="113"/>
      <c r="DJ55" s="113"/>
      <c r="DK55" s="113"/>
      <c r="DL55" s="113"/>
      <c r="DM55" s="16">
        <f t="shared" si="11"/>
        <v>0</v>
      </c>
    </row>
    <row r="56" spans="5:117" hidden="1" x14ac:dyDescent="0.35">
      <c r="E56" s="111"/>
      <c r="F56" s="112"/>
      <c r="G56" s="112"/>
      <c r="H56" s="38">
        <f t="shared" si="8"/>
        <v>0</v>
      </c>
      <c r="I56" s="38">
        <f t="shared" si="6"/>
        <v>0</v>
      </c>
      <c r="J56" s="38">
        <f t="shared" si="9"/>
        <v>0</v>
      </c>
      <c r="K56" s="38">
        <f t="shared" si="10"/>
        <v>0</v>
      </c>
      <c r="L56" s="39">
        <f t="shared" si="7"/>
        <v>0</v>
      </c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113"/>
      <c r="AE56" s="113"/>
      <c r="AF56" s="113"/>
      <c r="AG56" s="113"/>
      <c r="AH56" s="113"/>
      <c r="AI56" s="113"/>
      <c r="AJ56" s="113"/>
      <c r="AK56" s="113"/>
      <c r="AL56" s="113"/>
      <c r="AM56" s="113"/>
      <c r="AN56" s="113"/>
      <c r="AO56" s="113"/>
      <c r="AP56" s="113"/>
      <c r="AQ56" s="113"/>
      <c r="AR56" s="113"/>
      <c r="AS56" s="113"/>
      <c r="AT56" s="113"/>
      <c r="AU56" s="113"/>
      <c r="AV56" s="113"/>
      <c r="AW56" s="113"/>
      <c r="AX56" s="113"/>
      <c r="AY56" s="113"/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  <c r="BN56" s="113"/>
      <c r="BO56" s="113"/>
      <c r="BP56" s="113"/>
      <c r="BQ56" s="113"/>
      <c r="BR56" s="113"/>
      <c r="BS56" s="113"/>
      <c r="BT56" s="113"/>
      <c r="BU56" s="113"/>
      <c r="BV56" s="113"/>
      <c r="BW56" s="113"/>
      <c r="BX56" s="113"/>
      <c r="BY56" s="113"/>
      <c r="BZ56" s="113"/>
      <c r="CA56" s="113"/>
      <c r="CB56" s="113"/>
      <c r="CC56" s="113"/>
      <c r="CD56" s="113"/>
      <c r="CE56" s="113"/>
      <c r="CF56" s="113"/>
      <c r="CG56" s="113"/>
      <c r="CH56" s="113"/>
      <c r="CI56" s="113"/>
      <c r="CJ56" s="113"/>
      <c r="CK56" s="113"/>
      <c r="CL56" s="113"/>
      <c r="CM56" s="113"/>
      <c r="CN56" s="113"/>
      <c r="CO56" s="113"/>
      <c r="CP56" s="113"/>
      <c r="CQ56" s="113"/>
      <c r="CR56" s="113"/>
      <c r="CS56" s="113"/>
      <c r="CT56" s="113"/>
      <c r="CU56" s="113"/>
      <c r="CV56" s="113"/>
      <c r="CW56" s="113"/>
      <c r="CX56" s="113"/>
      <c r="CY56" s="113"/>
      <c r="CZ56" s="113"/>
      <c r="DA56" s="113"/>
      <c r="DB56" s="113"/>
      <c r="DC56" s="113"/>
      <c r="DD56" s="113"/>
      <c r="DE56" s="113"/>
      <c r="DF56" s="113"/>
      <c r="DG56" s="113"/>
      <c r="DH56" s="113"/>
      <c r="DI56" s="113"/>
      <c r="DJ56" s="113"/>
      <c r="DK56" s="113"/>
      <c r="DL56" s="113"/>
      <c r="DM56" s="16">
        <f t="shared" si="11"/>
        <v>0</v>
      </c>
    </row>
    <row r="57" spans="5:117" hidden="1" x14ac:dyDescent="0.35">
      <c r="E57" s="111"/>
      <c r="F57" s="112"/>
      <c r="G57" s="112"/>
      <c r="H57" s="38">
        <f t="shared" si="8"/>
        <v>0</v>
      </c>
      <c r="I57" s="38">
        <f t="shared" si="6"/>
        <v>0</v>
      </c>
      <c r="J57" s="38">
        <f t="shared" si="9"/>
        <v>0</v>
      </c>
      <c r="K57" s="38">
        <f t="shared" si="10"/>
        <v>0</v>
      </c>
      <c r="L57" s="39">
        <f t="shared" si="7"/>
        <v>0</v>
      </c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113"/>
      <c r="AE57" s="113"/>
      <c r="AF57" s="113"/>
      <c r="AG57" s="113"/>
      <c r="AH57" s="113"/>
      <c r="AI57" s="113"/>
      <c r="AJ57" s="113"/>
      <c r="AK57" s="113"/>
      <c r="AL57" s="113"/>
      <c r="AM57" s="113"/>
      <c r="AN57" s="113"/>
      <c r="AO57" s="113"/>
      <c r="AP57" s="113"/>
      <c r="AQ57" s="113"/>
      <c r="AR57" s="113"/>
      <c r="AS57" s="113"/>
      <c r="AT57" s="113"/>
      <c r="AU57" s="113"/>
      <c r="AV57" s="113"/>
      <c r="AW57" s="113"/>
      <c r="AX57" s="113"/>
      <c r="AY57" s="113"/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  <c r="BN57" s="113"/>
      <c r="BO57" s="113"/>
      <c r="BP57" s="113"/>
      <c r="BQ57" s="113"/>
      <c r="BR57" s="113"/>
      <c r="BS57" s="113"/>
      <c r="BT57" s="113"/>
      <c r="BU57" s="113"/>
      <c r="BV57" s="113"/>
      <c r="BW57" s="113"/>
      <c r="BX57" s="113"/>
      <c r="BY57" s="113"/>
      <c r="BZ57" s="113"/>
      <c r="CA57" s="113"/>
      <c r="CB57" s="113"/>
      <c r="CC57" s="113"/>
      <c r="CD57" s="113"/>
      <c r="CE57" s="113"/>
      <c r="CF57" s="113"/>
      <c r="CG57" s="113"/>
      <c r="CH57" s="113"/>
      <c r="CI57" s="113"/>
      <c r="CJ57" s="113"/>
      <c r="CK57" s="113"/>
      <c r="CL57" s="113"/>
      <c r="CM57" s="113"/>
      <c r="CN57" s="113"/>
      <c r="CO57" s="113"/>
      <c r="CP57" s="113"/>
      <c r="CQ57" s="113"/>
      <c r="CR57" s="113"/>
      <c r="CS57" s="113"/>
      <c r="CT57" s="113"/>
      <c r="CU57" s="113"/>
      <c r="CV57" s="113"/>
      <c r="CW57" s="113"/>
      <c r="CX57" s="113"/>
      <c r="CY57" s="113"/>
      <c r="CZ57" s="113"/>
      <c r="DA57" s="113"/>
      <c r="DB57" s="113"/>
      <c r="DC57" s="113"/>
      <c r="DD57" s="113"/>
      <c r="DE57" s="113"/>
      <c r="DF57" s="113"/>
      <c r="DG57" s="113"/>
      <c r="DH57" s="113"/>
      <c r="DI57" s="113"/>
      <c r="DJ57" s="113"/>
      <c r="DK57" s="113"/>
      <c r="DL57" s="113"/>
      <c r="DM57" s="16">
        <f t="shared" si="11"/>
        <v>0</v>
      </c>
    </row>
    <row r="58" spans="5:117" hidden="1" x14ac:dyDescent="0.35">
      <c r="E58" s="111"/>
      <c r="F58" s="112"/>
      <c r="G58" s="112"/>
      <c r="H58" s="38">
        <f t="shared" si="8"/>
        <v>0</v>
      </c>
      <c r="I58" s="38">
        <f t="shared" si="6"/>
        <v>0</v>
      </c>
      <c r="J58" s="38">
        <f t="shared" si="9"/>
        <v>0</v>
      </c>
      <c r="K58" s="38">
        <f t="shared" si="10"/>
        <v>0</v>
      </c>
      <c r="L58" s="39">
        <f t="shared" si="7"/>
        <v>0</v>
      </c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113"/>
      <c r="AE58" s="113"/>
      <c r="AF58" s="113"/>
      <c r="AG58" s="113"/>
      <c r="AH58" s="113"/>
      <c r="AI58" s="113"/>
      <c r="AJ58" s="113"/>
      <c r="AK58" s="113"/>
      <c r="AL58" s="113"/>
      <c r="AM58" s="113"/>
      <c r="AN58" s="113"/>
      <c r="AO58" s="113"/>
      <c r="AP58" s="113"/>
      <c r="AQ58" s="113"/>
      <c r="AR58" s="113"/>
      <c r="AS58" s="113"/>
      <c r="AT58" s="113"/>
      <c r="AU58" s="113"/>
      <c r="AV58" s="113"/>
      <c r="AW58" s="113"/>
      <c r="AX58" s="113"/>
      <c r="AY58" s="113"/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  <c r="BN58" s="113"/>
      <c r="BO58" s="113"/>
      <c r="BP58" s="113"/>
      <c r="BQ58" s="113"/>
      <c r="BR58" s="113"/>
      <c r="BS58" s="113"/>
      <c r="BT58" s="113"/>
      <c r="BU58" s="113"/>
      <c r="BV58" s="113"/>
      <c r="BW58" s="113"/>
      <c r="BX58" s="113"/>
      <c r="BY58" s="113"/>
      <c r="BZ58" s="113"/>
      <c r="CA58" s="113"/>
      <c r="CB58" s="113"/>
      <c r="CC58" s="113"/>
      <c r="CD58" s="113"/>
      <c r="CE58" s="113"/>
      <c r="CF58" s="113"/>
      <c r="CG58" s="113"/>
      <c r="CH58" s="113"/>
      <c r="CI58" s="113"/>
      <c r="CJ58" s="113"/>
      <c r="CK58" s="113"/>
      <c r="CL58" s="113"/>
      <c r="CM58" s="113"/>
      <c r="CN58" s="113"/>
      <c r="CO58" s="113"/>
      <c r="CP58" s="113"/>
      <c r="CQ58" s="113"/>
      <c r="CR58" s="113"/>
      <c r="CS58" s="113"/>
      <c r="CT58" s="113"/>
      <c r="CU58" s="113"/>
      <c r="CV58" s="113"/>
      <c r="CW58" s="113"/>
      <c r="CX58" s="113"/>
      <c r="CY58" s="113"/>
      <c r="CZ58" s="113"/>
      <c r="DA58" s="113"/>
      <c r="DB58" s="113"/>
      <c r="DC58" s="113"/>
      <c r="DD58" s="113"/>
      <c r="DE58" s="113"/>
      <c r="DF58" s="113"/>
      <c r="DG58" s="113"/>
      <c r="DH58" s="113"/>
      <c r="DI58" s="113"/>
      <c r="DJ58" s="113"/>
      <c r="DK58" s="113"/>
      <c r="DL58" s="113"/>
      <c r="DM58" s="16">
        <f t="shared" si="11"/>
        <v>0</v>
      </c>
    </row>
    <row r="59" spans="5:117" hidden="1" x14ac:dyDescent="0.35">
      <c r="E59" s="111"/>
      <c r="F59" s="112"/>
      <c r="G59" s="112"/>
      <c r="H59" s="38">
        <f t="shared" si="8"/>
        <v>0</v>
      </c>
      <c r="I59" s="38">
        <f t="shared" si="6"/>
        <v>0</v>
      </c>
      <c r="J59" s="38">
        <f t="shared" si="9"/>
        <v>0</v>
      </c>
      <c r="K59" s="38">
        <f t="shared" si="10"/>
        <v>0</v>
      </c>
      <c r="L59" s="39">
        <f t="shared" si="7"/>
        <v>0</v>
      </c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113"/>
      <c r="AE59" s="113"/>
      <c r="AF59" s="113"/>
      <c r="AG59" s="113"/>
      <c r="AH59" s="113"/>
      <c r="AI59" s="113"/>
      <c r="AJ59" s="113"/>
      <c r="AK59" s="113"/>
      <c r="AL59" s="113"/>
      <c r="AM59" s="113"/>
      <c r="AN59" s="113"/>
      <c r="AO59" s="113"/>
      <c r="AP59" s="113"/>
      <c r="AQ59" s="113"/>
      <c r="AR59" s="113"/>
      <c r="AS59" s="113"/>
      <c r="AT59" s="113"/>
      <c r="AU59" s="113"/>
      <c r="AV59" s="113"/>
      <c r="AW59" s="113"/>
      <c r="AX59" s="113"/>
      <c r="AY59" s="113"/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  <c r="BN59" s="113"/>
      <c r="BO59" s="113"/>
      <c r="BP59" s="113"/>
      <c r="BQ59" s="113"/>
      <c r="BR59" s="113"/>
      <c r="BS59" s="113"/>
      <c r="BT59" s="113"/>
      <c r="BU59" s="113"/>
      <c r="BV59" s="113"/>
      <c r="BW59" s="113"/>
      <c r="BX59" s="113"/>
      <c r="BY59" s="113"/>
      <c r="BZ59" s="113"/>
      <c r="CA59" s="113"/>
      <c r="CB59" s="113"/>
      <c r="CC59" s="113"/>
      <c r="CD59" s="113"/>
      <c r="CE59" s="113"/>
      <c r="CF59" s="113"/>
      <c r="CG59" s="113"/>
      <c r="CH59" s="113"/>
      <c r="CI59" s="113"/>
      <c r="CJ59" s="113"/>
      <c r="CK59" s="113"/>
      <c r="CL59" s="113"/>
      <c r="CM59" s="113"/>
      <c r="CN59" s="113"/>
      <c r="CO59" s="113"/>
      <c r="CP59" s="113"/>
      <c r="CQ59" s="113"/>
      <c r="CR59" s="113"/>
      <c r="CS59" s="113"/>
      <c r="CT59" s="113"/>
      <c r="CU59" s="113"/>
      <c r="CV59" s="113"/>
      <c r="CW59" s="113"/>
      <c r="CX59" s="113"/>
      <c r="CY59" s="113"/>
      <c r="CZ59" s="113"/>
      <c r="DA59" s="113"/>
      <c r="DB59" s="113"/>
      <c r="DC59" s="113"/>
      <c r="DD59" s="113"/>
      <c r="DE59" s="113"/>
      <c r="DF59" s="113"/>
      <c r="DG59" s="113"/>
      <c r="DH59" s="113"/>
      <c r="DI59" s="113"/>
      <c r="DJ59" s="113"/>
      <c r="DK59" s="113"/>
      <c r="DL59" s="113"/>
      <c r="DM59" s="16">
        <f t="shared" si="11"/>
        <v>0</v>
      </c>
    </row>
    <row r="60" spans="5:117" hidden="1" x14ac:dyDescent="0.35">
      <c r="E60" s="111"/>
      <c r="F60" s="112"/>
      <c r="G60" s="112"/>
      <c r="H60" s="38">
        <f t="shared" si="8"/>
        <v>0</v>
      </c>
      <c r="I60" s="38">
        <f t="shared" si="6"/>
        <v>0</v>
      </c>
      <c r="J60" s="38">
        <f t="shared" si="9"/>
        <v>0</v>
      </c>
      <c r="K60" s="38">
        <f t="shared" si="10"/>
        <v>0</v>
      </c>
      <c r="L60" s="39">
        <f t="shared" si="7"/>
        <v>0</v>
      </c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113"/>
      <c r="AE60" s="113"/>
      <c r="AF60" s="113"/>
      <c r="AG60" s="113"/>
      <c r="AH60" s="113"/>
      <c r="AI60" s="113"/>
      <c r="AJ60" s="113"/>
      <c r="AK60" s="113"/>
      <c r="AL60" s="113"/>
      <c r="AM60" s="113"/>
      <c r="AN60" s="113"/>
      <c r="AO60" s="113"/>
      <c r="AP60" s="113"/>
      <c r="AQ60" s="113"/>
      <c r="AR60" s="113"/>
      <c r="AS60" s="113"/>
      <c r="AT60" s="113"/>
      <c r="AU60" s="113"/>
      <c r="AV60" s="113"/>
      <c r="AW60" s="113"/>
      <c r="AX60" s="113"/>
      <c r="AY60" s="113"/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  <c r="BN60" s="113"/>
      <c r="BO60" s="113"/>
      <c r="BP60" s="113"/>
      <c r="BQ60" s="113"/>
      <c r="BR60" s="113"/>
      <c r="BS60" s="113"/>
      <c r="BT60" s="113"/>
      <c r="BU60" s="113"/>
      <c r="BV60" s="113"/>
      <c r="BW60" s="113"/>
      <c r="BX60" s="113"/>
      <c r="BY60" s="113"/>
      <c r="BZ60" s="113"/>
      <c r="CA60" s="113"/>
      <c r="CB60" s="113"/>
      <c r="CC60" s="113"/>
      <c r="CD60" s="113"/>
      <c r="CE60" s="113"/>
      <c r="CF60" s="113"/>
      <c r="CG60" s="113"/>
      <c r="CH60" s="113"/>
      <c r="CI60" s="113"/>
      <c r="CJ60" s="113"/>
      <c r="CK60" s="113"/>
      <c r="CL60" s="113"/>
      <c r="CM60" s="113"/>
      <c r="CN60" s="113"/>
      <c r="CO60" s="113"/>
      <c r="CP60" s="113"/>
      <c r="CQ60" s="113"/>
      <c r="CR60" s="113"/>
      <c r="CS60" s="113"/>
      <c r="CT60" s="113"/>
      <c r="CU60" s="113"/>
      <c r="CV60" s="113"/>
      <c r="CW60" s="113"/>
      <c r="CX60" s="113"/>
      <c r="CY60" s="113"/>
      <c r="CZ60" s="113"/>
      <c r="DA60" s="113"/>
      <c r="DB60" s="113"/>
      <c r="DC60" s="113"/>
      <c r="DD60" s="113"/>
      <c r="DE60" s="113"/>
      <c r="DF60" s="113"/>
      <c r="DG60" s="113"/>
      <c r="DH60" s="113"/>
      <c r="DI60" s="113"/>
      <c r="DJ60" s="113"/>
      <c r="DK60" s="113"/>
      <c r="DL60" s="113"/>
      <c r="DM60" s="16">
        <f t="shared" si="11"/>
        <v>0</v>
      </c>
    </row>
    <row r="61" spans="5:117" hidden="1" x14ac:dyDescent="0.35">
      <c r="E61" s="111"/>
      <c r="F61" s="112"/>
      <c r="G61" s="112"/>
      <c r="H61" s="38">
        <f t="shared" si="8"/>
        <v>0</v>
      </c>
      <c r="I61" s="38">
        <f t="shared" si="6"/>
        <v>0</v>
      </c>
      <c r="J61" s="38">
        <f t="shared" si="9"/>
        <v>0</v>
      </c>
      <c r="K61" s="38">
        <f t="shared" si="10"/>
        <v>0</v>
      </c>
      <c r="L61" s="39">
        <f t="shared" si="7"/>
        <v>0</v>
      </c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113"/>
      <c r="AE61" s="113"/>
      <c r="AF61" s="113"/>
      <c r="AG61" s="113"/>
      <c r="AH61" s="113"/>
      <c r="AI61" s="113"/>
      <c r="AJ61" s="113"/>
      <c r="AK61" s="113"/>
      <c r="AL61" s="113"/>
      <c r="AM61" s="113"/>
      <c r="AN61" s="113"/>
      <c r="AO61" s="113"/>
      <c r="AP61" s="113"/>
      <c r="AQ61" s="113"/>
      <c r="AR61" s="113"/>
      <c r="AS61" s="113"/>
      <c r="AT61" s="113"/>
      <c r="AU61" s="113"/>
      <c r="AV61" s="113"/>
      <c r="AW61" s="113"/>
      <c r="AX61" s="113"/>
      <c r="AY61" s="113"/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  <c r="BN61" s="113"/>
      <c r="BO61" s="113"/>
      <c r="BP61" s="113"/>
      <c r="BQ61" s="113"/>
      <c r="BR61" s="113"/>
      <c r="BS61" s="113"/>
      <c r="BT61" s="113"/>
      <c r="BU61" s="113"/>
      <c r="BV61" s="113"/>
      <c r="BW61" s="113"/>
      <c r="BX61" s="113"/>
      <c r="BY61" s="113"/>
      <c r="BZ61" s="113"/>
      <c r="CA61" s="113"/>
      <c r="CB61" s="113"/>
      <c r="CC61" s="113"/>
      <c r="CD61" s="113"/>
      <c r="CE61" s="113"/>
      <c r="CF61" s="113"/>
      <c r="CG61" s="113"/>
      <c r="CH61" s="113"/>
      <c r="CI61" s="113"/>
      <c r="CJ61" s="113"/>
      <c r="CK61" s="113"/>
      <c r="CL61" s="113"/>
      <c r="CM61" s="113"/>
      <c r="CN61" s="113"/>
      <c r="CO61" s="113"/>
      <c r="CP61" s="113"/>
      <c r="CQ61" s="113"/>
      <c r="CR61" s="113"/>
      <c r="CS61" s="113"/>
      <c r="CT61" s="113"/>
      <c r="CU61" s="113"/>
      <c r="CV61" s="113"/>
      <c r="CW61" s="113"/>
      <c r="CX61" s="113"/>
      <c r="CY61" s="113"/>
      <c r="CZ61" s="113"/>
      <c r="DA61" s="113"/>
      <c r="DB61" s="113"/>
      <c r="DC61" s="113"/>
      <c r="DD61" s="113"/>
      <c r="DE61" s="113"/>
      <c r="DF61" s="113"/>
      <c r="DG61" s="113"/>
      <c r="DH61" s="113"/>
      <c r="DI61" s="113"/>
      <c r="DJ61" s="113"/>
      <c r="DK61" s="113"/>
      <c r="DL61" s="113"/>
      <c r="DM61" s="16">
        <f t="shared" si="11"/>
        <v>0</v>
      </c>
    </row>
    <row r="62" spans="5:117" hidden="1" x14ac:dyDescent="0.35">
      <c r="E62" s="111"/>
      <c r="F62" s="112"/>
      <c r="G62" s="112"/>
      <c r="H62" s="38">
        <f t="shared" si="8"/>
        <v>0</v>
      </c>
      <c r="I62" s="38">
        <f t="shared" si="6"/>
        <v>0</v>
      </c>
      <c r="J62" s="38">
        <f t="shared" si="9"/>
        <v>0</v>
      </c>
      <c r="K62" s="38">
        <f t="shared" si="10"/>
        <v>0</v>
      </c>
      <c r="L62" s="39">
        <f t="shared" si="7"/>
        <v>0</v>
      </c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113"/>
      <c r="AE62" s="113"/>
      <c r="AF62" s="113"/>
      <c r="AG62" s="113"/>
      <c r="AH62" s="113"/>
      <c r="AI62" s="113"/>
      <c r="AJ62" s="113"/>
      <c r="AK62" s="113"/>
      <c r="AL62" s="113"/>
      <c r="AM62" s="113"/>
      <c r="AN62" s="113"/>
      <c r="AO62" s="113"/>
      <c r="AP62" s="113"/>
      <c r="AQ62" s="113"/>
      <c r="AR62" s="113"/>
      <c r="AS62" s="113"/>
      <c r="AT62" s="113"/>
      <c r="AU62" s="113"/>
      <c r="AV62" s="113"/>
      <c r="AW62" s="113"/>
      <c r="AX62" s="113"/>
      <c r="AY62" s="113"/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  <c r="BN62" s="113"/>
      <c r="BO62" s="113"/>
      <c r="BP62" s="113"/>
      <c r="BQ62" s="113"/>
      <c r="BR62" s="113"/>
      <c r="BS62" s="113"/>
      <c r="BT62" s="113"/>
      <c r="BU62" s="113"/>
      <c r="BV62" s="113"/>
      <c r="BW62" s="113"/>
      <c r="BX62" s="113"/>
      <c r="BY62" s="113"/>
      <c r="BZ62" s="113"/>
      <c r="CA62" s="113"/>
      <c r="CB62" s="113"/>
      <c r="CC62" s="113"/>
      <c r="CD62" s="113"/>
      <c r="CE62" s="113"/>
      <c r="CF62" s="113"/>
      <c r="CG62" s="113"/>
      <c r="CH62" s="113"/>
      <c r="CI62" s="113"/>
      <c r="CJ62" s="113"/>
      <c r="CK62" s="113"/>
      <c r="CL62" s="113"/>
      <c r="CM62" s="113"/>
      <c r="CN62" s="113"/>
      <c r="CO62" s="113"/>
      <c r="CP62" s="113"/>
      <c r="CQ62" s="113"/>
      <c r="CR62" s="113"/>
      <c r="CS62" s="113"/>
      <c r="CT62" s="113"/>
      <c r="CU62" s="113"/>
      <c r="CV62" s="113"/>
      <c r="CW62" s="113"/>
      <c r="CX62" s="113"/>
      <c r="CY62" s="113"/>
      <c r="CZ62" s="113"/>
      <c r="DA62" s="113"/>
      <c r="DB62" s="113"/>
      <c r="DC62" s="113"/>
      <c r="DD62" s="113"/>
      <c r="DE62" s="113"/>
      <c r="DF62" s="113"/>
      <c r="DG62" s="113"/>
      <c r="DH62" s="113"/>
      <c r="DI62" s="113"/>
      <c r="DJ62" s="113"/>
      <c r="DK62" s="113"/>
      <c r="DL62" s="113"/>
      <c r="DM62" s="16">
        <f t="shared" si="11"/>
        <v>0</v>
      </c>
    </row>
    <row r="63" spans="5:117" hidden="1" x14ac:dyDescent="0.35">
      <c r="E63" s="111"/>
      <c r="F63" s="112"/>
      <c r="G63" s="112"/>
      <c r="H63" s="38">
        <f t="shared" si="8"/>
        <v>0</v>
      </c>
      <c r="I63" s="38">
        <f t="shared" si="6"/>
        <v>0</v>
      </c>
      <c r="J63" s="38">
        <f t="shared" si="9"/>
        <v>0</v>
      </c>
      <c r="K63" s="38">
        <f t="shared" si="10"/>
        <v>0</v>
      </c>
      <c r="L63" s="39">
        <f t="shared" si="7"/>
        <v>0</v>
      </c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13"/>
      <c r="AM63" s="113"/>
      <c r="AN63" s="113"/>
      <c r="AO63" s="113"/>
      <c r="AP63" s="113"/>
      <c r="AQ63" s="113"/>
      <c r="AR63" s="113"/>
      <c r="AS63" s="113"/>
      <c r="AT63" s="113"/>
      <c r="AU63" s="113"/>
      <c r="AV63" s="113"/>
      <c r="AW63" s="113"/>
      <c r="AX63" s="113"/>
      <c r="AY63" s="113"/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  <c r="BN63" s="113"/>
      <c r="BO63" s="113"/>
      <c r="BP63" s="113"/>
      <c r="BQ63" s="113"/>
      <c r="BR63" s="113"/>
      <c r="BS63" s="113"/>
      <c r="BT63" s="113"/>
      <c r="BU63" s="113"/>
      <c r="BV63" s="113"/>
      <c r="BW63" s="113"/>
      <c r="BX63" s="113"/>
      <c r="BY63" s="113"/>
      <c r="BZ63" s="113"/>
      <c r="CA63" s="113"/>
      <c r="CB63" s="113"/>
      <c r="CC63" s="113"/>
      <c r="CD63" s="113"/>
      <c r="CE63" s="113"/>
      <c r="CF63" s="113"/>
      <c r="CG63" s="113"/>
      <c r="CH63" s="113"/>
      <c r="CI63" s="113"/>
      <c r="CJ63" s="113"/>
      <c r="CK63" s="113"/>
      <c r="CL63" s="113"/>
      <c r="CM63" s="113"/>
      <c r="CN63" s="113"/>
      <c r="CO63" s="113"/>
      <c r="CP63" s="113"/>
      <c r="CQ63" s="113"/>
      <c r="CR63" s="113"/>
      <c r="CS63" s="113"/>
      <c r="CT63" s="113"/>
      <c r="CU63" s="113"/>
      <c r="CV63" s="113"/>
      <c r="CW63" s="113"/>
      <c r="CX63" s="113"/>
      <c r="CY63" s="113"/>
      <c r="CZ63" s="113"/>
      <c r="DA63" s="113"/>
      <c r="DB63" s="113"/>
      <c r="DC63" s="113"/>
      <c r="DD63" s="113"/>
      <c r="DE63" s="113"/>
      <c r="DF63" s="113"/>
      <c r="DG63" s="113"/>
      <c r="DH63" s="113"/>
      <c r="DI63" s="113"/>
      <c r="DJ63" s="113"/>
      <c r="DK63" s="113"/>
      <c r="DL63" s="113"/>
      <c r="DM63" s="16">
        <f t="shared" si="11"/>
        <v>0</v>
      </c>
    </row>
    <row r="64" spans="5:117" hidden="1" x14ac:dyDescent="0.35">
      <c r="E64" s="111"/>
      <c r="F64" s="112"/>
      <c r="G64" s="112"/>
      <c r="H64" s="38">
        <f t="shared" si="8"/>
        <v>0</v>
      </c>
      <c r="I64" s="38">
        <f t="shared" si="6"/>
        <v>0</v>
      </c>
      <c r="J64" s="38">
        <f t="shared" si="9"/>
        <v>0</v>
      </c>
      <c r="K64" s="38">
        <f t="shared" si="10"/>
        <v>0</v>
      </c>
      <c r="L64" s="39">
        <f t="shared" si="7"/>
        <v>0</v>
      </c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113"/>
      <c r="AE64" s="113"/>
      <c r="AF64" s="113"/>
      <c r="AG64" s="113"/>
      <c r="AH64" s="113"/>
      <c r="AI64" s="113"/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  <c r="AW64" s="113"/>
      <c r="AX64" s="113"/>
      <c r="AY64" s="113"/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  <c r="BN64" s="113"/>
      <c r="BO64" s="113"/>
      <c r="BP64" s="113"/>
      <c r="BQ64" s="113"/>
      <c r="BR64" s="113"/>
      <c r="BS64" s="113"/>
      <c r="BT64" s="113"/>
      <c r="BU64" s="113"/>
      <c r="BV64" s="113"/>
      <c r="BW64" s="113"/>
      <c r="BX64" s="113"/>
      <c r="BY64" s="113"/>
      <c r="BZ64" s="113"/>
      <c r="CA64" s="113"/>
      <c r="CB64" s="113"/>
      <c r="CC64" s="113"/>
      <c r="CD64" s="113"/>
      <c r="CE64" s="113"/>
      <c r="CF64" s="113"/>
      <c r="CG64" s="113"/>
      <c r="CH64" s="113"/>
      <c r="CI64" s="113"/>
      <c r="CJ64" s="113"/>
      <c r="CK64" s="113"/>
      <c r="CL64" s="113"/>
      <c r="CM64" s="113"/>
      <c r="CN64" s="113"/>
      <c r="CO64" s="113"/>
      <c r="CP64" s="113"/>
      <c r="CQ64" s="113"/>
      <c r="CR64" s="113"/>
      <c r="CS64" s="113"/>
      <c r="CT64" s="113"/>
      <c r="CU64" s="113"/>
      <c r="CV64" s="113"/>
      <c r="CW64" s="113"/>
      <c r="CX64" s="113"/>
      <c r="CY64" s="113"/>
      <c r="CZ64" s="113"/>
      <c r="DA64" s="113"/>
      <c r="DB64" s="113"/>
      <c r="DC64" s="113"/>
      <c r="DD64" s="113"/>
      <c r="DE64" s="113"/>
      <c r="DF64" s="113"/>
      <c r="DG64" s="113"/>
      <c r="DH64" s="113"/>
      <c r="DI64" s="113"/>
      <c r="DJ64" s="113"/>
      <c r="DK64" s="113"/>
      <c r="DL64" s="113"/>
      <c r="DM64" s="16">
        <f t="shared" si="11"/>
        <v>0</v>
      </c>
    </row>
    <row r="65" spans="5:117" hidden="1" x14ac:dyDescent="0.35">
      <c r="E65" s="111"/>
      <c r="F65" s="112"/>
      <c r="G65" s="112"/>
      <c r="H65" s="38">
        <f t="shared" si="8"/>
        <v>0</v>
      </c>
      <c r="I65" s="38">
        <f t="shared" si="6"/>
        <v>0</v>
      </c>
      <c r="J65" s="38">
        <f t="shared" si="9"/>
        <v>0</v>
      </c>
      <c r="K65" s="38">
        <f t="shared" si="10"/>
        <v>0</v>
      </c>
      <c r="L65" s="39">
        <f t="shared" si="7"/>
        <v>0</v>
      </c>
      <c r="M65" s="113"/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3"/>
      <c r="AA65" s="113"/>
      <c r="AB65" s="113"/>
      <c r="AC65" s="113"/>
      <c r="AD65" s="113"/>
      <c r="AE65" s="113"/>
      <c r="AF65" s="113"/>
      <c r="AG65" s="113"/>
      <c r="AH65" s="113"/>
      <c r="AI65" s="113"/>
      <c r="AJ65" s="113"/>
      <c r="AK65" s="113"/>
      <c r="AL65" s="113"/>
      <c r="AM65" s="113"/>
      <c r="AN65" s="113"/>
      <c r="AO65" s="113"/>
      <c r="AP65" s="113"/>
      <c r="AQ65" s="113"/>
      <c r="AR65" s="113"/>
      <c r="AS65" s="113"/>
      <c r="AT65" s="113"/>
      <c r="AU65" s="113"/>
      <c r="AV65" s="113"/>
      <c r="AW65" s="113"/>
      <c r="AX65" s="113"/>
      <c r="AY65" s="113"/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  <c r="BN65" s="113"/>
      <c r="BO65" s="113"/>
      <c r="BP65" s="113"/>
      <c r="BQ65" s="113"/>
      <c r="BR65" s="113"/>
      <c r="BS65" s="113"/>
      <c r="BT65" s="113"/>
      <c r="BU65" s="113"/>
      <c r="BV65" s="113"/>
      <c r="BW65" s="113"/>
      <c r="BX65" s="113"/>
      <c r="BY65" s="113"/>
      <c r="BZ65" s="113"/>
      <c r="CA65" s="113"/>
      <c r="CB65" s="113"/>
      <c r="CC65" s="113"/>
      <c r="CD65" s="113"/>
      <c r="CE65" s="113"/>
      <c r="CF65" s="113"/>
      <c r="CG65" s="113"/>
      <c r="CH65" s="113"/>
      <c r="CI65" s="113"/>
      <c r="CJ65" s="113"/>
      <c r="CK65" s="113"/>
      <c r="CL65" s="113"/>
      <c r="CM65" s="113"/>
      <c r="CN65" s="113"/>
      <c r="CO65" s="113"/>
      <c r="CP65" s="113"/>
      <c r="CQ65" s="113"/>
      <c r="CR65" s="113"/>
      <c r="CS65" s="113"/>
      <c r="CT65" s="113"/>
      <c r="CU65" s="113"/>
      <c r="CV65" s="113"/>
      <c r="CW65" s="113"/>
      <c r="CX65" s="113"/>
      <c r="CY65" s="113"/>
      <c r="CZ65" s="113"/>
      <c r="DA65" s="113"/>
      <c r="DB65" s="113"/>
      <c r="DC65" s="113"/>
      <c r="DD65" s="113"/>
      <c r="DE65" s="113"/>
      <c r="DF65" s="113"/>
      <c r="DG65" s="113"/>
      <c r="DH65" s="113"/>
      <c r="DI65" s="113"/>
      <c r="DJ65" s="113"/>
      <c r="DK65" s="113"/>
      <c r="DL65" s="113"/>
      <c r="DM65" s="16">
        <f t="shared" si="11"/>
        <v>0</v>
      </c>
    </row>
    <row r="66" spans="5:117" hidden="1" x14ac:dyDescent="0.35">
      <c r="E66" s="111"/>
      <c r="F66" s="112"/>
      <c r="G66" s="112"/>
      <c r="H66" s="38">
        <f t="shared" si="8"/>
        <v>0</v>
      </c>
      <c r="I66" s="38">
        <f t="shared" si="6"/>
        <v>0</v>
      </c>
      <c r="J66" s="38">
        <f t="shared" si="9"/>
        <v>0</v>
      </c>
      <c r="K66" s="38">
        <f t="shared" si="10"/>
        <v>0</v>
      </c>
      <c r="L66" s="39">
        <f t="shared" si="7"/>
        <v>0</v>
      </c>
      <c r="M66" s="113"/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3"/>
      <c r="AA66" s="113"/>
      <c r="AB66" s="113"/>
      <c r="AC66" s="113"/>
      <c r="AD66" s="113"/>
      <c r="AE66" s="113"/>
      <c r="AF66" s="113"/>
      <c r="AG66" s="113"/>
      <c r="AH66" s="113"/>
      <c r="AI66" s="113"/>
      <c r="AJ66" s="113"/>
      <c r="AK66" s="113"/>
      <c r="AL66" s="113"/>
      <c r="AM66" s="113"/>
      <c r="AN66" s="113"/>
      <c r="AO66" s="113"/>
      <c r="AP66" s="113"/>
      <c r="AQ66" s="113"/>
      <c r="AR66" s="113"/>
      <c r="AS66" s="113"/>
      <c r="AT66" s="113"/>
      <c r="AU66" s="113"/>
      <c r="AV66" s="113"/>
      <c r="AW66" s="113"/>
      <c r="AX66" s="113"/>
      <c r="AY66" s="113"/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  <c r="BN66" s="113"/>
      <c r="BO66" s="113"/>
      <c r="BP66" s="113"/>
      <c r="BQ66" s="113"/>
      <c r="BR66" s="113"/>
      <c r="BS66" s="113"/>
      <c r="BT66" s="113"/>
      <c r="BU66" s="113"/>
      <c r="BV66" s="113"/>
      <c r="BW66" s="113"/>
      <c r="BX66" s="113"/>
      <c r="BY66" s="113"/>
      <c r="BZ66" s="113"/>
      <c r="CA66" s="113"/>
      <c r="CB66" s="113"/>
      <c r="CC66" s="113"/>
      <c r="CD66" s="113"/>
      <c r="CE66" s="113"/>
      <c r="CF66" s="113"/>
      <c r="CG66" s="113"/>
      <c r="CH66" s="113"/>
      <c r="CI66" s="113"/>
      <c r="CJ66" s="113"/>
      <c r="CK66" s="113"/>
      <c r="CL66" s="113"/>
      <c r="CM66" s="113"/>
      <c r="CN66" s="113"/>
      <c r="CO66" s="113"/>
      <c r="CP66" s="113"/>
      <c r="CQ66" s="113"/>
      <c r="CR66" s="113"/>
      <c r="CS66" s="113"/>
      <c r="CT66" s="113"/>
      <c r="CU66" s="113"/>
      <c r="CV66" s="113"/>
      <c r="CW66" s="113"/>
      <c r="CX66" s="113"/>
      <c r="CY66" s="113"/>
      <c r="CZ66" s="113"/>
      <c r="DA66" s="113"/>
      <c r="DB66" s="113"/>
      <c r="DC66" s="113"/>
      <c r="DD66" s="113"/>
      <c r="DE66" s="113"/>
      <c r="DF66" s="113"/>
      <c r="DG66" s="113"/>
      <c r="DH66" s="113"/>
      <c r="DI66" s="113"/>
      <c r="DJ66" s="113"/>
      <c r="DK66" s="113"/>
      <c r="DL66" s="113"/>
      <c r="DM66" s="16">
        <f t="shared" si="11"/>
        <v>0</v>
      </c>
    </row>
    <row r="67" spans="5:117" hidden="1" x14ac:dyDescent="0.35">
      <c r="E67" s="111"/>
      <c r="F67" s="112"/>
      <c r="G67" s="112"/>
      <c r="H67" s="38">
        <f t="shared" si="8"/>
        <v>0</v>
      </c>
      <c r="I67" s="38">
        <f t="shared" si="6"/>
        <v>0</v>
      </c>
      <c r="J67" s="38">
        <f t="shared" si="9"/>
        <v>0</v>
      </c>
      <c r="K67" s="38">
        <f t="shared" si="10"/>
        <v>0</v>
      </c>
      <c r="L67" s="39">
        <f t="shared" si="7"/>
        <v>0</v>
      </c>
      <c r="M67" s="113"/>
      <c r="N67" s="113"/>
      <c r="O67" s="113"/>
      <c r="P67" s="113"/>
      <c r="Q67" s="113"/>
      <c r="R67" s="113"/>
      <c r="S67" s="113"/>
      <c r="T67" s="113"/>
      <c r="U67" s="113"/>
      <c r="V67" s="113"/>
      <c r="W67" s="113"/>
      <c r="X67" s="113"/>
      <c r="Y67" s="113"/>
      <c r="Z67" s="113"/>
      <c r="AA67" s="113"/>
      <c r="AB67" s="113"/>
      <c r="AC67" s="113"/>
      <c r="AD67" s="113"/>
      <c r="AE67" s="113"/>
      <c r="AF67" s="113"/>
      <c r="AG67" s="113"/>
      <c r="AH67" s="113"/>
      <c r="AI67" s="113"/>
      <c r="AJ67" s="113"/>
      <c r="AK67" s="113"/>
      <c r="AL67" s="113"/>
      <c r="AM67" s="113"/>
      <c r="AN67" s="113"/>
      <c r="AO67" s="113"/>
      <c r="AP67" s="113"/>
      <c r="AQ67" s="113"/>
      <c r="AR67" s="113"/>
      <c r="AS67" s="113"/>
      <c r="AT67" s="113"/>
      <c r="AU67" s="113"/>
      <c r="AV67" s="113"/>
      <c r="AW67" s="113"/>
      <c r="AX67" s="113"/>
      <c r="AY67" s="113"/>
      <c r="AZ67" s="113"/>
      <c r="BA67" s="113"/>
      <c r="BB67" s="113"/>
      <c r="BC67" s="113"/>
      <c r="BD67" s="113"/>
      <c r="BE67" s="113"/>
      <c r="BF67" s="113"/>
      <c r="BG67" s="113"/>
      <c r="BH67" s="113"/>
      <c r="BI67" s="113"/>
      <c r="BJ67" s="113"/>
      <c r="BK67" s="113"/>
      <c r="BL67" s="113"/>
      <c r="BM67" s="113"/>
      <c r="BN67" s="113"/>
      <c r="BO67" s="113"/>
      <c r="BP67" s="113"/>
      <c r="BQ67" s="113"/>
      <c r="BR67" s="113"/>
      <c r="BS67" s="113"/>
      <c r="BT67" s="113"/>
      <c r="BU67" s="113"/>
      <c r="BV67" s="113"/>
      <c r="BW67" s="113"/>
      <c r="BX67" s="113"/>
      <c r="BY67" s="113"/>
      <c r="BZ67" s="113"/>
      <c r="CA67" s="113"/>
      <c r="CB67" s="113"/>
      <c r="CC67" s="113"/>
      <c r="CD67" s="113"/>
      <c r="CE67" s="113"/>
      <c r="CF67" s="113"/>
      <c r="CG67" s="113"/>
      <c r="CH67" s="113"/>
      <c r="CI67" s="113"/>
      <c r="CJ67" s="113"/>
      <c r="CK67" s="113"/>
      <c r="CL67" s="113"/>
      <c r="CM67" s="113"/>
      <c r="CN67" s="113"/>
      <c r="CO67" s="113"/>
      <c r="CP67" s="113"/>
      <c r="CQ67" s="113"/>
      <c r="CR67" s="113"/>
      <c r="CS67" s="113"/>
      <c r="CT67" s="113"/>
      <c r="CU67" s="113"/>
      <c r="CV67" s="113"/>
      <c r="CW67" s="113"/>
      <c r="CX67" s="113"/>
      <c r="CY67" s="113"/>
      <c r="CZ67" s="113"/>
      <c r="DA67" s="113"/>
      <c r="DB67" s="113"/>
      <c r="DC67" s="113"/>
      <c r="DD67" s="113"/>
      <c r="DE67" s="113"/>
      <c r="DF67" s="113"/>
      <c r="DG67" s="113"/>
      <c r="DH67" s="113"/>
      <c r="DI67" s="113"/>
      <c r="DJ67" s="113"/>
      <c r="DK67" s="113"/>
      <c r="DL67" s="113"/>
      <c r="DM67" s="16">
        <f t="shared" si="11"/>
        <v>0</v>
      </c>
    </row>
    <row r="68" spans="5:117" hidden="1" x14ac:dyDescent="0.35">
      <c r="E68" s="111"/>
      <c r="F68" s="112"/>
      <c r="G68" s="112"/>
      <c r="H68" s="38">
        <f t="shared" si="8"/>
        <v>0</v>
      </c>
      <c r="I68" s="38">
        <f t="shared" si="6"/>
        <v>0</v>
      </c>
      <c r="J68" s="38">
        <f t="shared" si="9"/>
        <v>0</v>
      </c>
      <c r="K68" s="38">
        <f t="shared" si="10"/>
        <v>0</v>
      </c>
      <c r="L68" s="39">
        <f t="shared" si="7"/>
        <v>0</v>
      </c>
      <c r="M68" s="113"/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3"/>
      <c r="AA68" s="113"/>
      <c r="AB68" s="113"/>
      <c r="AC68" s="113"/>
      <c r="AD68" s="113"/>
      <c r="AE68" s="113"/>
      <c r="AF68" s="113"/>
      <c r="AG68" s="113"/>
      <c r="AH68" s="113"/>
      <c r="AI68" s="113"/>
      <c r="AJ68" s="113"/>
      <c r="AK68" s="113"/>
      <c r="AL68" s="113"/>
      <c r="AM68" s="113"/>
      <c r="AN68" s="113"/>
      <c r="AO68" s="113"/>
      <c r="AP68" s="113"/>
      <c r="AQ68" s="113"/>
      <c r="AR68" s="113"/>
      <c r="AS68" s="113"/>
      <c r="AT68" s="113"/>
      <c r="AU68" s="113"/>
      <c r="AV68" s="113"/>
      <c r="AW68" s="113"/>
      <c r="AX68" s="113"/>
      <c r="AY68" s="113"/>
      <c r="AZ68" s="113"/>
      <c r="BA68" s="113"/>
      <c r="BB68" s="113"/>
      <c r="BC68" s="113"/>
      <c r="BD68" s="113"/>
      <c r="BE68" s="113"/>
      <c r="BF68" s="113"/>
      <c r="BG68" s="113"/>
      <c r="BH68" s="113"/>
      <c r="BI68" s="113"/>
      <c r="BJ68" s="113"/>
      <c r="BK68" s="113"/>
      <c r="BL68" s="113"/>
      <c r="BM68" s="113"/>
      <c r="BN68" s="113"/>
      <c r="BO68" s="113"/>
      <c r="BP68" s="113"/>
      <c r="BQ68" s="113"/>
      <c r="BR68" s="113"/>
      <c r="BS68" s="113"/>
      <c r="BT68" s="113"/>
      <c r="BU68" s="113"/>
      <c r="BV68" s="113"/>
      <c r="BW68" s="113"/>
      <c r="BX68" s="113"/>
      <c r="BY68" s="113"/>
      <c r="BZ68" s="113"/>
      <c r="CA68" s="113"/>
      <c r="CB68" s="113"/>
      <c r="CC68" s="113"/>
      <c r="CD68" s="113"/>
      <c r="CE68" s="113"/>
      <c r="CF68" s="113"/>
      <c r="CG68" s="113"/>
      <c r="CH68" s="113"/>
      <c r="CI68" s="113"/>
      <c r="CJ68" s="113"/>
      <c r="CK68" s="113"/>
      <c r="CL68" s="113"/>
      <c r="CM68" s="113"/>
      <c r="CN68" s="113"/>
      <c r="CO68" s="113"/>
      <c r="CP68" s="113"/>
      <c r="CQ68" s="113"/>
      <c r="CR68" s="113"/>
      <c r="CS68" s="113"/>
      <c r="CT68" s="113"/>
      <c r="CU68" s="113"/>
      <c r="CV68" s="113"/>
      <c r="CW68" s="113"/>
      <c r="CX68" s="113"/>
      <c r="CY68" s="113"/>
      <c r="CZ68" s="113"/>
      <c r="DA68" s="113"/>
      <c r="DB68" s="113"/>
      <c r="DC68" s="113"/>
      <c r="DD68" s="113"/>
      <c r="DE68" s="113"/>
      <c r="DF68" s="113"/>
      <c r="DG68" s="113"/>
      <c r="DH68" s="113"/>
      <c r="DI68" s="113"/>
      <c r="DJ68" s="113"/>
      <c r="DK68" s="113"/>
      <c r="DL68" s="113"/>
      <c r="DM68" s="16">
        <f t="shared" si="11"/>
        <v>0</v>
      </c>
    </row>
    <row r="69" spans="5:117" x14ac:dyDescent="0.35">
      <c r="E69" s="111"/>
      <c r="F69" s="112"/>
      <c r="G69" s="112"/>
      <c r="H69" s="38">
        <f t="shared" si="8"/>
        <v>0</v>
      </c>
      <c r="I69" s="38">
        <f t="shared" si="6"/>
        <v>0</v>
      </c>
      <c r="J69" s="38">
        <f t="shared" si="9"/>
        <v>0</v>
      </c>
      <c r="K69" s="38">
        <f t="shared" si="10"/>
        <v>0</v>
      </c>
      <c r="L69" s="39">
        <f t="shared" si="7"/>
        <v>0</v>
      </c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3"/>
      <c r="AA69" s="113"/>
      <c r="AB69" s="113"/>
      <c r="AC69" s="113"/>
      <c r="AD69" s="113"/>
      <c r="AE69" s="113"/>
      <c r="AF69" s="113"/>
      <c r="AG69" s="113"/>
      <c r="AH69" s="113"/>
      <c r="AI69" s="113"/>
      <c r="AJ69" s="113"/>
      <c r="AK69" s="113"/>
      <c r="AL69" s="113"/>
      <c r="AM69" s="113"/>
      <c r="AN69" s="113"/>
      <c r="AO69" s="113"/>
      <c r="AP69" s="113"/>
      <c r="AQ69" s="113"/>
      <c r="AR69" s="113"/>
      <c r="AS69" s="113"/>
      <c r="AT69" s="113"/>
      <c r="AU69" s="113"/>
      <c r="AV69" s="113"/>
      <c r="AW69" s="113"/>
      <c r="AX69" s="113"/>
      <c r="AY69" s="113"/>
      <c r="AZ69" s="113"/>
      <c r="BA69" s="113"/>
      <c r="BB69" s="113"/>
      <c r="BC69" s="113"/>
      <c r="BD69" s="113"/>
      <c r="BE69" s="113"/>
      <c r="BF69" s="113"/>
      <c r="BG69" s="113"/>
      <c r="BH69" s="113"/>
      <c r="BI69" s="113"/>
      <c r="BJ69" s="113"/>
      <c r="BK69" s="113"/>
      <c r="BL69" s="113"/>
      <c r="BM69" s="113"/>
      <c r="BN69" s="113"/>
      <c r="BO69" s="113"/>
      <c r="BP69" s="113"/>
      <c r="BQ69" s="113"/>
      <c r="BR69" s="113"/>
      <c r="BS69" s="113"/>
      <c r="BT69" s="113"/>
      <c r="BU69" s="113"/>
      <c r="BV69" s="113"/>
      <c r="BW69" s="113"/>
      <c r="BX69" s="113"/>
      <c r="BY69" s="113"/>
      <c r="BZ69" s="113"/>
      <c r="CA69" s="113"/>
      <c r="CB69" s="113"/>
      <c r="CC69" s="113"/>
      <c r="CD69" s="113"/>
      <c r="CE69" s="113"/>
      <c r="CF69" s="113"/>
      <c r="CG69" s="113"/>
      <c r="CH69" s="113"/>
      <c r="CI69" s="113"/>
      <c r="CJ69" s="113"/>
      <c r="CK69" s="113"/>
      <c r="CL69" s="113"/>
      <c r="CM69" s="113"/>
      <c r="CN69" s="113"/>
      <c r="CO69" s="113"/>
      <c r="CP69" s="113"/>
      <c r="CQ69" s="113"/>
      <c r="CR69" s="113"/>
      <c r="CS69" s="113"/>
      <c r="CT69" s="113"/>
      <c r="CU69" s="113"/>
      <c r="CV69" s="113"/>
      <c r="CW69" s="113"/>
      <c r="CX69" s="113"/>
      <c r="CY69" s="113"/>
      <c r="CZ69" s="113"/>
      <c r="DA69" s="113"/>
      <c r="DB69" s="113"/>
      <c r="DC69" s="113"/>
      <c r="DD69" s="113"/>
      <c r="DE69" s="113"/>
      <c r="DF69" s="113"/>
      <c r="DG69" s="113"/>
      <c r="DH69" s="113"/>
      <c r="DI69" s="113"/>
      <c r="DJ69" s="113"/>
      <c r="DK69" s="113"/>
      <c r="DL69" s="113"/>
      <c r="DM69" s="16">
        <f t="shared" si="11"/>
        <v>0</v>
      </c>
    </row>
    <row r="70" spans="5:117" ht="15" thickBot="1" x14ac:dyDescent="0.4">
      <c r="E70" s="3" t="s">
        <v>274</v>
      </c>
      <c r="F70" s="41"/>
      <c r="G70" s="41"/>
      <c r="H70" s="41"/>
      <c r="I70" s="8" t="s">
        <v>150</v>
      </c>
      <c r="J70" s="98">
        <f>SUM(J20:J69)</f>
        <v>348000</v>
      </c>
      <c r="K70" s="97">
        <f>SUM(K20:K69)</f>
        <v>0</v>
      </c>
      <c r="L70" s="99">
        <f>SUM(L20:L69)</f>
        <v>240</v>
      </c>
      <c r="M70" s="4">
        <f>SUM(M20:M69)</f>
        <v>8</v>
      </c>
      <c r="N70" s="4">
        <f t="shared" ref="N70:BY70" si="12">SUM(N20:N69)</f>
        <v>40</v>
      </c>
      <c r="O70" s="4">
        <f t="shared" si="12"/>
        <v>48</v>
      </c>
      <c r="P70" s="4">
        <f t="shared" si="12"/>
        <v>80</v>
      </c>
      <c r="Q70" s="4">
        <f t="shared" si="12"/>
        <v>64</v>
      </c>
      <c r="R70" s="4">
        <f t="shared" si="12"/>
        <v>0</v>
      </c>
      <c r="S70" s="4">
        <f t="shared" si="12"/>
        <v>0</v>
      </c>
      <c r="T70" s="4">
        <f t="shared" si="12"/>
        <v>0</v>
      </c>
      <c r="U70" s="4">
        <f t="shared" si="12"/>
        <v>0</v>
      </c>
      <c r="V70" s="4">
        <f t="shared" si="12"/>
        <v>0</v>
      </c>
      <c r="W70" s="4">
        <f t="shared" si="12"/>
        <v>0</v>
      </c>
      <c r="X70" s="4">
        <f t="shared" si="12"/>
        <v>0</v>
      </c>
      <c r="Y70" s="4">
        <f t="shared" si="12"/>
        <v>0</v>
      </c>
      <c r="Z70" s="4">
        <f t="shared" si="12"/>
        <v>0</v>
      </c>
      <c r="AA70" s="4">
        <f t="shared" si="12"/>
        <v>0</v>
      </c>
      <c r="AB70" s="4">
        <f t="shared" si="12"/>
        <v>0</v>
      </c>
      <c r="AC70" s="4">
        <f t="shared" si="12"/>
        <v>0</v>
      </c>
      <c r="AD70" s="4">
        <f t="shared" si="12"/>
        <v>0</v>
      </c>
      <c r="AE70" s="4">
        <f t="shared" si="12"/>
        <v>0</v>
      </c>
      <c r="AF70" s="4">
        <f t="shared" si="12"/>
        <v>0</v>
      </c>
      <c r="AG70" s="4">
        <f t="shared" si="12"/>
        <v>0</v>
      </c>
      <c r="AH70" s="4">
        <f t="shared" si="12"/>
        <v>0</v>
      </c>
      <c r="AI70" s="4">
        <f t="shared" si="12"/>
        <v>0</v>
      </c>
      <c r="AJ70" s="4">
        <f t="shared" si="12"/>
        <v>0</v>
      </c>
      <c r="AK70" s="4">
        <f t="shared" si="12"/>
        <v>0</v>
      </c>
      <c r="AL70" s="4">
        <f t="shared" si="12"/>
        <v>0</v>
      </c>
      <c r="AM70" s="4">
        <f t="shared" si="12"/>
        <v>0</v>
      </c>
      <c r="AN70" s="4">
        <f t="shared" si="12"/>
        <v>0</v>
      </c>
      <c r="AO70" s="4">
        <f t="shared" si="12"/>
        <v>0</v>
      </c>
      <c r="AP70" s="4">
        <f t="shared" si="12"/>
        <v>0</v>
      </c>
      <c r="AQ70" s="4">
        <f t="shared" si="12"/>
        <v>0</v>
      </c>
      <c r="AR70" s="4">
        <f t="shared" si="12"/>
        <v>0</v>
      </c>
      <c r="AS70" s="4">
        <f t="shared" si="12"/>
        <v>0</v>
      </c>
      <c r="AT70" s="4">
        <f t="shared" si="12"/>
        <v>0</v>
      </c>
      <c r="AU70" s="4">
        <f t="shared" si="12"/>
        <v>0</v>
      </c>
      <c r="AV70" s="4">
        <f t="shared" si="12"/>
        <v>0</v>
      </c>
      <c r="AW70" s="4">
        <f t="shared" si="12"/>
        <v>0</v>
      </c>
      <c r="AX70" s="4">
        <f t="shared" si="12"/>
        <v>0</v>
      </c>
      <c r="AY70" s="4">
        <f t="shared" si="12"/>
        <v>0</v>
      </c>
      <c r="AZ70" s="4">
        <f t="shared" si="12"/>
        <v>0</v>
      </c>
      <c r="BA70" s="4">
        <f t="shared" si="12"/>
        <v>0</v>
      </c>
      <c r="BB70" s="4">
        <f t="shared" si="12"/>
        <v>0</v>
      </c>
      <c r="BC70" s="4">
        <f t="shared" si="12"/>
        <v>0</v>
      </c>
      <c r="BD70" s="4">
        <f t="shared" si="12"/>
        <v>0</v>
      </c>
      <c r="BE70" s="4">
        <f t="shared" si="12"/>
        <v>0</v>
      </c>
      <c r="BF70" s="4">
        <f t="shared" si="12"/>
        <v>0</v>
      </c>
      <c r="BG70" s="4">
        <f t="shared" si="12"/>
        <v>0</v>
      </c>
      <c r="BH70" s="4">
        <f t="shared" si="12"/>
        <v>0</v>
      </c>
      <c r="BI70" s="4">
        <f t="shared" si="12"/>
        <v>0</v>
      </c>
      <c r="BJ70" s="4">
        <f t="shared" si="12"/>
        <v>0</v>
      </c>
      <c r="BK70" s="4">
        <f t="shared" si="12"/>
        <v>0</v>
      </c>
      <c r="BL70" s="4">
        <f t="shared" si="12"/>
        <v>0</v>
      </c>
      <c r="BM70" s="4">
        <f t="shared" si="12"/>
        <v>0</v>
      </c>
      <c r="BN70" s="4">
        <f t="shared" si="12"/>
        <v>0</v>
      </c>
      <c r="BO70" s="4">
        <f t="shared" si="12"/>
        <v>0</v>
      </c>
      <c r="BP70" s="4">
        <f t="shared" si="12"/>
        <v>0</v>
      </c>
      <c r="BQ70" s="4">
        <f t="shared" si="12"/>
        <v>0</v>
      </c>
      <c r="BR70" s="4">
        <f t="shared" si="12"/>
        <v>0</v>
      </c>
      <c r="BS70" s="4">
        <f t="shared" si="12"/>
        <v>0</v>
      </c>
      <c r="BT70" s="4">
        <f t="shared" si="12"/>
        <v>0</v>
      </c>
      <c r="BU70" s="4">
        <f t="shared" si="12"/>
        <v>0</v>
      </c>
      <c r="BV70" s="4">
        <f t="shared" si="12"/>
        <v>0</v>
      </c>
      <c r="BW70" s="4">
        <f t="shared" si="12"/>
        <v>0</v>
      </c>
      <c r="BX70" s="4">
        <f t="shared" si="12"/>
        <v>0</v>
      </c>
      <c r="BY70" s="4">
        <f t="shared" si="12"/>
        <v>0</v>
      </c>
      <c r="BZ70" s="4">
        <f t="shared" ref="BZ70:DL70" si="13">SUM(BZ20:BZ69)</f>
        <v>0</v>
      </c>
      <c r="CA70" s="4">
        <f t="shared" si="13"/>
        <v>0</v>
      </c>
      <c r="CB70" s="4">
        <f t="shared" si="13"/>
        <v>0</v>
      </c>
      <c r="CC70" s="4">
        <f t="shared" si="13"/>
        <v>0</v>
      </c>
      <c r="CD70" s="4">
        <f t="shared" si="13"/>
        <v>0</v>
      </c>
      <c r="CE70" s="4">
        <f t="shared" si="13"/>
        <v>0</v>
      </c>
      <c r="CF70" s="4">
        <f t="shared" si="13"/>
        <v>0</v>
      </c>
      <c r="CG70" s="4">
        <f t="shared" si="13"/>
        <v>0</v>
      </c>
      <c r="CH70" s="4">
        <f t="shared" si="13"/>
        <v>0</v>
      </c>
      <c r="CI70" s="4">
        <f t="shared" si="13"/>
        <v>0</v>
      </c>
      <c r="CJ70" s="4">
        <f t="shared" si="13"/>
        <v>0</v>
      </c>
      <c r="CK70" s="4">
        <f t="shared" si="13"/>
        <v>0</v>
      </c>
      <c r="CL70" s="4">
        <f t="shared" si="13"/>
        <v>0</v>
      </c>
      <c r="CM70" s="4">
        <f t="shared" si="13"/>
        <v>0</v>
      </c>
      <c r="CN70" s="4">
        <f t="shared" si="13"/>
        <v>0</v>
      </c>
      <c r="CO70" s="4">
        <f t="shared" si="13"/>
        <v>0</v>
      </c>
      <c r="CP70" s="4">
        <f t="shared" si="13"/>
        <v>0</v>
      </c>
      <c r="CQ70" s="4">
        <f t="shared" si="13"/>
        <v>0</v>
      </c>
      <c r="CR70" s="4">
        <f t="shared" si="13"/>
        <v>0</v>
      </c>
      <c r="CS70" s="4">
        <f t="shared" si="13"/>
        <v>0</v>
      </c>
      <c r="CT70" s="4">
        <f t="shared" si="13"/>
        <v>0</v>
      </c>
      <c r="CU70" s="4">
        <f t="shared" si="13"/>
        <v>0</v>
      </c>
      <c r="CV70" s="4">
        <f t="shared" si="13"/>
        <v>0</v>
      </c>
      <c r="CW70" s="4">
        <f t="shared" si="13"/>
        <v>0</v>
      </c>
      <c r="CX70" s="4">
        <f t="shared" si="13"/>
        <v>0</v>
      </c>
      <c r="CY70" s="4">
        <f t="shared" si="13"/>
        <v>0</v>
      </c>
      <c r="CZ70" s="4">
        <f t="shared" si="13"/>
        <v>0</v>
      </c>
      <c r="DA70" s="4">
        <f t="shared" si="13"/>
        <v>0</v>
      </c>
      <c r="DB70" s="4">
        <f t="shared" si="13"/>
        <v>0</v>
      </c>
      <c r="DC70" s="4">
        <f t="shared" si="13"/>
        <v>0</v>
      </c>
      <c r="DD70" s="4">
        <f t="shared" si="13"/>
        <v>0</v>
      </c>
      <c r="DE70" s="4">
        <f t="shared" si="13"/>
        <v>0</v>
      </c>
      <c r="DF70" s="4">
        <f t="shared" si="13"/>
        <v>0</v>
      </c>
      <c r="DG70" s="4">
        <f t="shared" si="13"/>
        <v>0</v>
      </c>
      <c r="DH70" s="4">
        <f t="shared" si="13"/>
        <v>0</v>
      </c>
      <c r="DI70" s="4">
        <f t="shared" si="13"/>
        <v>0</v>
      </c>
      <c r="DJ70" s="4">
        <f t="shared" si="13"/>
        <v>0</v>
      </c>
      <c r="DK70" s="4">
        <f t="shared" si="13"/>
        <v>0</v>
      </c>
      <c r="DL70" s="4">
        <f t="shared" si="13"/>
        <v>0</v>
      </c>
      <c r="DM70" s="42">
        <f>SUM(DM20:DM69)</f>
        <v>240000</v>
      </c>
    </row>
    <row r="71" spans="5:117" ht="15" thickBot="1" x14ac:dyDescent="0.4"/>
    <row r="72" spans="5:117" ht="15" thickBot="1" x14ac:dyDescent="0.4">
      <c r="E72" s="95" t="s">
        <v>297</v>
      </c>
      <c r="F72" s="48"/>
      <c r="G72" s="48"/>
      <c r="H72" s="48"/>
      <c r="I72" s="48"/>
      <c r="J72" s="48"/>
      <c r="K72" s="48"/>
      <c r="L72" s="48"/>
      <c r="M72" s="94">
        <f>FrontPage!B9</f>
        <v>46020.229166666664</v>
      </c>
      <c r="N72" s="88">
        <f>M72+7</f>
        <v>46027.229166666664</v>
      </c>
      <c r="O72" s="88">
        <f t="shared" ref="O72" si="14">N72+7</f>
        <v>46034.229166666664</v>
      </c>
      <c r="P72" s="88">
        <f t="shared" ref="P72" si="15">O72+7</f>
        <v>46041.229166666664</v>
      </c>
      <c r="Q72" s="88">
        <f t="shared" ref="Q72" si="16">P72+7</f>
        <v>46048.229166666664</v>
      </c>
      <c r="R72" s="88">
        <f t="shared" ref="R72" si="17">Q72+7</f>
        <v>46055.229166666664</v>
      </c>
      <c r="S72" s="88">
        <f t="shared" ref="S72" si="18">R72+7</f>
        <v>46062.229166666664</v>
      </c>
      <c r="T72" s="88">
        <f t="shared" ref="T72" si="19">S72+7</f>
        <v>46069.229166666664</v>
      </c>
      <c r="U72" s="88">
        <f t="shared" ref="U72" si="20">T72+7</f>
        <v>46076.229166666664</v>
      </c>
      <c r="V72" s="88">
        <f t="shared" ref="V72" si="21">U72+7</f>
        <v>46083.229166666664</v>
      </c>
      <c r="W72" s="88">
        <f t="shared" ref="W72" si="22">V72+7</f>
        <v>46090.229166666664</v>
      </c>
      <c r="X72" s="88">
        <f t="shared" ref="X72" si="23">W72+7</f>
        <v>46097.229166666664</v>
      </c>
      <c r="Y72" s="88">
        <f t="shared" ref="Y72" si="24">X72+7</f>
        <v>46104.229166666664</v>
      </c>
      <c r="Z72" s="88">
        <f t="shared" ref="Z72" si="25">Y72+7</f>
        <v>46111.229166666664</v>
      </c>
      <c r="AA72" s="88">
        <f t="shared" ref="AA72" si="26">Z72+7</f>
        <v>46118.229166666664</v>
      </c>
      <c r="AB72" s="88">
        <f t="shared" ref="AB72" si="27">AA72+7</f>
        <v>46125.229166666664</v>
      </c>
      <c r="AC72" s="88">
        <f t="shared" ref="AC72" si="28">AB72+7</f>
        <v>46132.229166666664</v>
      </c>
      <c r="AD72" s="88">
        <f t="shared" ref="AD72" si="29">AC72+7</f>
        <v>46139.229166666664</v>
      </c>
      <c r="AE72" s="88">
        <f t="shared" ref="AE72" si="30">AD72+7</f>
        <v>46146.229166666664</v>
      </c>
      <c r="AF72" s="88">
        <f t="shared" ref="AF72" si="31">AE72+7</f>
        <v>46153.229166666664</v>
      </c>
      <c r="AG72" s="88">
        <f t="shared" ref="AG72" si="32">AF72+7</f>
        <v>46160.229166666664</v>
      </c>
      <c r="AH72" s="88">
        <f t="shared" ref="AH72" si="33">AG72+7</f>
        <v>46167.229166666664</v>
      </c>
      <c r="AI72" s="88">
        <f t="shared" ref="AI72" si="34">AH72+7</f>
        <v>46174.229166666664</v>
      </c>
      <c r="AJ72" s="88">
        <f t="shared" ref="AJ72" si="35">AI72+7</f>
        <v>46181.229166666664</v>
      </c>
      <c r="AK72" s="88">
        <f t="shared" ref="AK72" si="36">AJ72+7</f>
        <v>46188.229166666664</v>
      </c>
      <c r="AL72" s="88">
        <f t="shared" ref="AL72" si="37">AK72+7</f>
        <v>46195.229166666664</v>
      </c>
      <c r="AM72" s="88">
        <f t="shared" ref="AM72" si="38">AL72+7</f>
        <v>46202.229166666664</v>
      </c>
      <c r="AN72" s="88">
        <f t="shared" ref="AN72" si="39">AM72+7</f>
        <v>46209.229166666664</v>
      </c>
      <c r="AO72" s="88">
        <f t="shared" ref="AO72" si="40">AN72+7</f>
        <v>46216.229166666664</v>
      </c>
      <c r="AP72" s="88">
        <f t="shared" ref="AP72" si="41">AO72+7</f>
        <v>46223.229166666664</v>
      </c>
      <c r="AQ72" s="88">
        <f t="shared" ref="AQ72" si="42">AP72+7</f>
        <v>46230.229166666664</v>
      </c>
      <c r="AR72" s="88">
        <f t="shared" ref="AR72" si="43">AQ72+7</f>
        <v>46237.229166666664</v>
      </c>
      <c r="AS72" s="88">
        <f t="shared" ref="AS72" si="44">AR72+7</f>
        <v>46244.229166666664</v>
      </c>
      <c r="AT72" s="88">
        <f t="shared" ref="AT72" si="45">AS72+7</f>
        <v>46251.229166666664</v>
      </c>
      <c r="AU72" s="88">
        <f t="shared" ref="AU72" si="46">AT72+7</f>
        <v>46258.229166666664</v>
      </c>
      <c r="AV72" s="88">
        <f t="shared" ref="AV72" si="47">AU72+7</f>
        <v>46265.229166666664</v>
      </c>
      <c r="AW72" s="88">
        <f t="shared" ref="AW72" si="48">AV72+7</f>
        <v>46272.229166666664</v>
      </c>
      <c r="AX72" s="88">
        <f t="shared" ref="AX72" si="49">AW72+7</f>
        <v>46279.229166666664</v>
      </c>
      <c r="AY72" s="88">
        <f t="shared" ref="AY72" si="50">AX72+7</f>
        <v>46286.229166666664</v>
      </c>
      <c r="AZ72" s="88">
        <f t="shared" ref="AZ72" si="51">AY72+7</f>
        <v>46293.229166666664</v>
      </c>
      <c r="BA72" s="88">
        <f t="shared" ref="BA72" si="52">AZ72+7</f>
        <v>46300.229166666664</v>
      </c>
      <c r="BB72" s="88">
        <f t="shared" ref="BB72" si="53">BA72+7</f>
        <v>46307.229166666664</v>
      </c>
      <c r="BC72" s="88">
        <f t="shared" ref="BC72" si="54">BB72+7</f>
        <v>46314.229166666664</v>
      </c>
      <c r="BD72" s="88">
        <f t="shared" ref="BD72" si="55">BC72+7</f>
        <v>46321.229166666664</v>
      </c>
      <c r="BE72" s="88">
        <f t="shared" ref="BE72" si="56">BD72+7</f>
        <v>46328.229166666664</v>
      </c>
      <c r="BF72" s="88">
        <f t="shared" ref="BF72" si="57">BE72+7</f>
        <v>46335.229166666664</v>
      </c>
      <c r="BG72" s="88">
        <f t="shared" ref="BG72" si="58">BF72+7</f>
        <v>46342.229166666664</v>
      </c>
      <c r="BH72" s="88">
        <f t="shared" ref="BH72" si="59">BG72+7</f>
        <v>46349.229166666664</v>
      </c>
      <c r="BI72" s="88">
        <f t="shared" ref="BI72" si="60">BH72+7</f>
        <v>46356.229166666664</v>
      </c>
      <c r="BJ72" s="88">
        <f t="shared" ref="BJ72" si="61">BI72+7</f>
        <v>46363.229166666664</v>
      </c>
      <c r="BK72" s="88">
        <f t="shared" ref="BK72" si="62">BJ72+7</f>
        <v>46370.229166666664</v>
      </c>
      <c r="BL72" s="88">
        <f t="shared" ref="BL72" si="63">BK72+7</f>
        <v>46377.229166666664</v>
      </c>
      <c r="BM72" s="88">
        <f t="shared" ref="BM72" si="64">BL72+7</f>
        <v>46384.229166666664</v>
      </c>
      <c r="BN72" s="88">
        <f t="shared" ref="BN72" si="65">BM72+7</f>
        <v>46391.229166666664</v>
      </c>
      <c r="BO72" s="88">
        <f t="shared" ref="BO72" si="66">BN72+7</f>
        <v>46398.229166666664</v>
      </c>
      <c r="BP72" s="88">
        <f t="shared" ref="BP72" si="67">BO72+7</f>
        <v>46405.229166666664</v>
      </c>
      <c r="BQ72" s="88">
        <f t="shared" ref="BQ72" si="68">BP72+7</f>
        <v>46412.229166666664</v>
      </c>
      <c r="BR72" s="88">
        <f t="shared" ref="BR72" si="69">BQ72+7</f>
        <v>46419.229166666664</v>
      </c>
      <c r="BS72" s="88">
        <f t="shared" ref="BS72" si="70">BR72+7</f>
        <v>46426.229166666664</v>
      </c>
      <c r="BT72" s="88">
        <f t="shared" ref="BT72" si="71">BS72+7</f>
        <v>46433.229166666664</v>
      </c>
      <c r="BU72" s="88">
        <f t="shared" ref="BU72" si="72">BT72+7</f>
        <v>46440.229166666664</v>
      </c>
      <c r="BV72" s="88">
        <f t="shared" ref="BV72" si="73">BU72+7</f>
        <v>46447.229166666664</v>
      </c>
      <c r="BW72" s="88">
        <f t="shared" ref="BW72" si="74">BV72+7</f>
        <v>46454.229166666664</v>
      </c>
      <c r="BX72" s="88">
        <f t="shared" ref="BX72" si="75">BW72+7</f>
        <v>46461.229166666664</v>
      </c>
      <c r="BY72" s="88">
        <f t="shared" ref="BY72" si="76">BX72+7</f>
        <v>46468.229166666664</v>
      </c>
      <c r="BZ72" s="88">
        <f t="shared" ref="BZ72" si="77">BY72+7</f>
        <v>46475.229166666664</v>
      </c>
      <c r="CA72" s="88">
        <f t="shared" ref="CA72" si="78">BZ72+7</f>
        <v>46482.229166666664</v>
      </c>
      <c r="CB72" s="88">
        <f t="shared" ref="CB72" si="79">CA72+7</f>
        <v>46489.229166666664</v>
      </c>
      <c r="CC72" s="88">
        <f t="shared" ref="CC72" si="80">CB72+7</f>
        <v>46496.229166666664</v>
      </c>
      <c r="CD72" s="88">
        <f t="shared" ref="CD72" si="81">CC72+7</f>
        <v>46503.229166666664</v>
      </c>
      <c r="CE72" s="88">
        <f t="shared" ref="CE72" si="82">CD72+7</f>
        <v>46510.229166666664</v>
      </c>
      <c r="CF72" s="88">
        <f t="shared" ref="CF72" si="83">CE72+7</f>
        <v>46517.229166666664</v>
      </c>
      <c r="CG72" s="88">
        <f t="shared" ref="CG72" si="84">CF72+7</f>
        <v>46524.229166666664</v>
      </c>
      <c r="CH72" s="88">
        <f t="shared" ref="CH72" si="85">CG72+7</f>
        <v>46531.229166666664</v>
      </c>
      <c r="CI72" s="88">
        <f t="shared" ref="CI72" si="86">CH72+7</f>
        <v>46538.229166666664</v>
      </c>
      <c r="CJ72" s="88">
        <f t="shared" ref="CJ72" si="87">CI72+7</f>
        <v>46545.229166666664</v>
      </c>
      <c r="CK72" s="88">
        <f t="shared" ref="CK72" si="88">CJ72+7</f>
        <v>46552.229166666664</v>
      </c>
      <c r="CL72" s="88">
        <f t="shared" ref="CL72" si="89">CK72+7</f>
        <v>46559.229166666664</v>
      </c>
      <c r="CM72" s="88">
        <f t="shared" ref="CM72" si="90">CL72+7</f>
        <v>46566.229166666664</v>
      </c>
      <c r="CN72" s="88">
        <f t="shared" ref="CN72" si="91">CM72+7</f>
        <v>46573.229166666664</v>
      </c>
      <c r="CO72" s="88">
        <f t="shared" ref="CO72" si="92">CN72+7</f>
        <v>46580.229166666664</v>
      </c>
      <c r="CP72" s="88">
        <f t="shared" ref="CP72" si="93">CO72+7</f>
        <v>46587.229166666664</v>
      </c>
      <c r="CQ72" s="88">
        <f t="shared" ref="CQ72" si="94">CP72+7</f>
        <v>46594.229166666664</v>
      </c>
      <c r="CR72" s="88">
        <f t="shared" ref="CR72" si="95">CQ72+7</f>
        <v>46601.229166666664</v>
      </c>
      <c r="CS72" s="88">
        <f t="shared" ref="CS72" si="96">CR72+7</f>
        <v>46608.229166666664</v>
      </c>
      <c r="CT72" s="88">
        <f t="shared" ref="CT72" si="97">CS72+7</f>
        <v>46615.229166666664</v>
      </c>
      <c r="CU72" s="88">
        <f t="shared" ref="CU72" si="98">CT72+7</f>
        <v>46622.229166666664</v>
      </c>
      <c r="CV72" s="88">
        <f t="shared" ref="CV72" si="99">CU72+7</f>
        <v>46629.229166666664</v>
      </c>
      <c r="CW72" s="88">
        <f t="shared" ref="CW72" si="100">CV72+7</f>
        <v>46636.229166666664</v>
      </c>
      <c r="CX72" s="88">
        <f t="shared" ref="CX72" si="101">CW72+7</f>
        <v>46643.229166666664</v>
      </c>
      <c r="CY72" s="88">
        <f t="shared" ref="CY72" si="102">CX72+7</f>
        <v>46650.229166666664</v>
      </c>
      <c r="CZ72" s="88">
        <f t="shared" ref="CZ72" si="103">CY72+7</f>
        <v>46657.229166666664</v>
      </c>
      <c r="DA72" s="88">
        <f t="shared" ref="DA72" si="104">CZ72+7</f>
        <v>46664.229166666664</v>
      </c>
      <c r="DB72" s="88">
        <f t="shared" ref="DB72" si="105">DA72+7</f>
        <v>46671.229166666664</v>
      </c>
      <c r="DC72" s="88">
        <f t="shared" ref="DC72" si="106">DB72+7</f>
        <v>46678.229166666664</v>
      </c>
      <c r="DD72" s="88">
        <f t="shared" ref="DD72" si="107">DC72+7</f>
        <v>46685.229166666664</v>
      </c>
      <c r="DE72" s="88">
        <f t="shared" ref="DE72" si="108">DD72+7</f>
        <v>46692.229166666664</v>
      </c>
      <c r="DF72" s="88">
        <f t="shared" ref="DF72" si="109">DE72+7</f>
        <v>46699.229166666664</v>
      </c>
      <c r="DG72" s="88">
        <f t="shared" ref="DG72" si="110">DF72+7</f>
        <v>46706.229166666664</v>
      </c>
      <c r="DH72" s="88">
        <f t="shared" ref="DH72" si="111">DG72+7</f>
        <v>46713.229166666664</v>
      </c>
      <c r="DI72" s="88">
        <f t="shared" ref="DI72" si="112">DH72+7</f>
        <v>46720.229166666664</v>
      </c>
      <c r="DJ72" s="88">
        <f t="shared" ref="DJ72" si="113">DI72+7</f>
        <v>46727.229166666664</v>
      </c>
      <c r="DK72" s="88">
        <f t="shared" ref="DK72" si="114">DJ72+7</f>
        <v>46734.229166666664</v>
      </c>
      <c r="DL72" s="89">
        <f t="shared" ref="DL72" si="115">DK72+7</f>
        <v>46741.229166666664</v>
      </c>
    </row>
    <row r="73" spans="5:117" s="19" customFormat="1" ht="30" customHeight="1" x14ac:dyDescent="0.3">
      <c r="E73" s="28" t="s">
        <v>29</v>
      </c>
      <c r="F73" s="91" t="s">
        <v>299</v>
      </c>
      <c r="G73" s="91" t="s">
        <v>300</v>
      </c>
      <c r="H73" s="92" t="s">
        <v>301</v>
      </c>
      <c r="I73" s="69"/>
      <c r="J73" s="69"/>
      <c r="K73" s="93" t="s">
        <v>298</v>
      </c>
      <c r="L73" s="34" t="s">
        <v>257</v>
      </c>
      <c r="M73" s="34" t="s">
        <v>35</v>
      </c>
      <c r="N73" s="33" t="s">
        <v>36</v>
      </c>
      <c r="O73" s="33" t="s">
        <v>37</v>
      </c>
      <c r="P73" s="33" t="s">
        <v>38</v>
      </c>
      <c r="Q73" s="33" t="s">
        <v>39</v>
      </c>
      <c r="R73" s="33" t="s">
        <v>40</v>
      </c>
      <c r="S73" s="33" t="s">
        <v>41</v>
      </c>
      <c r="T73" s="33" t="s">
        <v>42</v>
      </c>
      <c r="U73" s="33" t="s">
        <v>43</v>
      </c>
      <c r="V73" s="33" t="s">
        <v>44</v>
      </c>
      <c r="W73" s="33" t="s">
        <v>45</v>
      </c>
      <c r="X73" s="33" t="s">
        <v>46</v>
      </c>
      <c r="Y73" s="33" t="s">
        <v>47</v>
      </c>
      <c r="Z73" s="33" t="s">
        <v>48</v>
      </c>
      <c r="AA73" s="33" t="s">
        <v>49</v>
      </c>
      <c r="AB73" s="33" t="s">
        <v>50</v>
      </c>
      <c r="AC73" s="33" t="s">
        <v>51</v>
      </c>
      <c r="AD73" s="33" t="s">
        <v>52</v>
      </c>
      <c r="AE73" s="33" t="s">
        <v>53</v>
      </c>
      <c r="AF73" s="33" t="s">
        <v>54</v>
      </c>
      <c r="AG73" s="33" t="s">
        <v>55</v>
      </c>
      <c r="AH73" s="33" t="s">
        <v>56</v>
      </c>
      <c r="AI73" s="33" t="s">
        <v>57</v>
      </c>
      <c r="AJ73" s="33" t="s">
        <v>58</v>
      </c>
      <c r="AK73" s="33" t="s">
        <v>59</v>
      </c>
      <c r="AL73" s="33" t="s">
        <v>60</v>
      </c>
      <c r="AM73" s="33" t="s">
        <v>61</v>
      </c>
      <c r="AN73" s="33" t="s">
        <v>62</v>
      </c>
      <c r="AO73" s="33" t="s">
        <v>63</v>
      </c>
      <c r="AP73" s="33" t="s">
        <v>64</v>
      </c>
      <c r="AQ73" s="33" t="s">
        <v>65</v>
      </c>
      <c r="AR73" s="33" t="s">
        <v>66</v>
      </c>
      <c r="AS73" s="33" t="s">
        <v>67</v>
      </c>
      <c r="AT73" s="33" t="s">
        <v>68</v>
      </c>
      <c r="AU73" s="33" t="s">
        <v>69</v>
      </c>
      <c r="AV73" s="33" t="s">
        <v>70</v>
      </c>
      <c r="AW73" s="33" t="s">
        <v>71</v>
      </c>
      <c r="AX73" s="33" t="s">
        <v>72</v>
      </c>
      <c r="AY73" s="33" t="s">
        <v>73</v>
      </c>
      <c r="AZ73" s="33" t="s">
        <v>74</v>
      </c>
      <c r="BA73" s="33" t="s">
        <v>75</v>
      </c>
      <c r="BB73" s="33" t="s">
        <v>76</v>
      </c>
      <c r="BC73" s="33" t="s">
        <v>77</v>
      </c>
      <c r="BD73" s="33" t="s">
        <v>78</v>
      </c>
      <c r="BE73" s="33" t="s">
        <v>79</v>
      </c>
      <c r="BF73" s="33" t="s">
        <v>80</v>
      </c>
      <c r="BG73" s="33" t="s">
        <v>81</v>
      </c>
      <c r="BH73" s="33" t="s">
        <v>82</v>
      </c>
      <c r="BI73" s="33" t="s">
        <v>83</v>
      </c>
      <c r="BJ73" s="33" t="s">
        <v>84</v>
      </c>
      <c r="BK73" s="33" t="s">
        <v>85</v>
      </c>
      <c r="BL73" s="33" t="s">
        <v>86</v>
      </c>
      <c r="BM73" s="33" t="s">
        <v>87</v>
      </c>
      <c r="BN73" s="33" t="s">
        <v>88</v>
      </c>
      <c r="BO73" s="33" t="s">
        <v>89</v>
      </c>
      <c r="BP73" s="33" t="s">
        <v>90</v>
      </c>
      <c r="BQ73" s="33" t="s">
        <v>91</v>
      </c>
      <c r="BR73" s="33" t="s">
        <v>92</v>
      </c>
      <c r="BS73" s="33" t="s">
        <v>93</v>
      </c>
      <c r="BT73" s="33" t="s">
        <v>94</v>
      </c>
      <c r="BU73" s="33" t="s">
        <v>95</v>
      </c>
      <c r="BV73" s="33" t="s">
        <v>96</v>
      </c>
      <c r="BW73" s="33" t="s">
        <v>97</v>
      </c>
      <c r="BX73" s="33" t="s">
        <v>98</v>
      </c>
      <c r="BY73" s="33" t="s">
        <v>99</v>
      </c>
      <c r="BZ73" s="33" t="s">
        <v>100</v>
      </c>
      <c r="CA73" s="33" t="s">
        <v>101</v>
      </c>
      <c r="CB73" s="33" t="s">
        <v>102</v>
      </c>
      <c r="CC73" s="33" t="s">
        <v>103</v>
      </c>
      <c r="CD73" s="33" t="s">
        <v>104</v>
      </c>
      <c r="CE73" s="33" t="s">
        <v>105</v>
      </c>
      <c r="CF73" s="33" t="s">
        <v>106</v>
      </c>
      <c r="CG73" s="33" t="s">
        <v>107</v>
      </c>
      <c r="CH73" s="33" t="s">
        <v>108</v>
      </c>
      <c r="CI73" s="33" t="s">
        <v>109</v>
      </c>
      <c r="CJ73" s="33" t="s">
        <v>110</v>
      </c>
      <c r="CK73" s="33" t="s">
        <v>111</v>
      </c>
      <c r="CL73" s="33" t="s">
        <v>112</v>
      </c>
      <c r="CM73" s="33" t="s">
        <v>113</v>
      </c>
      <c r="CN73" s="33" t="s">
        <v>114</v>
      </c>
      <c r="CO73" s="33" t="s">
        <v>115</v>
      </c>
      <c r="CP73" s="33" t="s">
        <v>116</v>
      </c>
      <c r="CQ73" s="33" t="s">
        <v>117</v>
      </c>
      <c r="CR73" s="33" t="s">
        <v>118</v>
      </c>
      <c r="CS73" s="33" t="s">
        <v>119</v>
      </c>
      <c r="CT73" s="33" t="s">
        <v>120</v>
      </c>
      <c r="CU73" s="33" t="s">
        <v>121</v>
      </c>
      <c r="CV73" s="33" t="s">
        <v>122</v>
      </c>
      <c r="CW73" s="33" t="s">
        <v>123</v>
      </c>
      <c r="CX73" s="33" t="s">
        <v>124</v>
      </c>
      <c r="CY73" s="33" t="s">
        <v>125</v>
      </c>
      <c r="CZ73" s="33" t="s">
        <v>126</v>
      </c>
      <c r="DA73" s="33" t="s">
        <v>127</v>
      </c>
      <c r="DB73" s="33" t="s">
        <v>128</v>
      </c>
      <c r="DC73" s="33" t="s">
        <v>129</v>
      </c>
      <c r="DD73" s="33" t="s">
        <v>130</v>
      </c>
      <c r="DE73" s="33" t="s">
        <v>131</v>
      </c>
      <c r="DF73" s="33" t="s">
        <v>132</v>
      </c>
      <c r="DG73" s="33" t="s">
        <v>133</v>
      </c>
      <c r="DH73" s="33" t="s">
        <v>134</v>
      </c>
      <c r="DI73" s="33" t="s">
        <v>135</v>
      </c>
      <c r="DJ73" s="33" t="s">
        <v>136</v>
      </c>
      <c r="DK73" s="33" t="s">
        <v>137</v>
      </c>
      <c r="DL73" s="44" t="s">
        <v>138</v>
      </c>
      <c r="DM73" s="45"/>
    </row>
    <row r="74" spans="5:117" x14ac:dyDescent="0.35">
      <c r="E74" s="111"/>
      <c r="F74" s="112"/>
      <c r="G74" s="112"/>
      <c r="H74" s="115"/>
      <c r="I74" s="70"/>
      <c r="J74" s="70"/>
      <c r="K74" s="68">
        <f>H74*L74</f>
        <v>0</v>
      </c>
      <c r="L74" s="39">
        <f>SUM(M74:DL74)</f>
        <v>0</v>
      </c>
      <c r="M74" s="113"/>
      <c r="N74" s="113"/>
      <c r="O74" s="113"/>
      <c r="P74" s="113"/>
      <c r="Q74" s="113"/>
      <c r="R74" s="113"/>
      <c r="S74" s="113"/>
      <c r="T74" s="113"/>
      <c r="U74" s="113"/>
      <c r="V74" s="113"/>
      <c r="W74" s="113"/>
      <c r="X74" s="113"/>
      <c r="Y74" s="113"/>
      <c r="Z74" s="113"/>
      <c r="AA74" s="113"/>
      <c r="AB74" s="113"/>
      <c r="AC74" s="113"/>
      <c r="AD74" s="113"/>
      <c r="AE74" s="113"/>
      <c r="AF74" s="113"/>
      <c r="AG74" s="113"/>
      <c r="AH74" s="113"/>
      <c r="AI74" s="113"/>
      <c r="AJ74" s="113"/>
      <c r="AK74" s="113"/>
      <c r="AL74" s="113"/>
      <c r="AM74" s="113"/>
      <c r="AN74" s="113"/>
      <c r="AO74" s="113"/>
      <c r="AP74" s="113"/>
      <c r="AQ74" s="113"/>
      <c r="AR74" s="113"/>
      <c r="AS74" s="113"/>
      <c r="AT74" s="113"/>
      <c r="AU74" s="113"/>
      <c r="AV74" s="113"/>
      <c r="AW74" s="113"/>
      <c r="AX74" s="113"/>
      <c r="AY74" s="113"/>
      <c r="AZ74" s="113"/>
      <c r="BA74" s="113"/>
      <c r="BB74" s="113"/>
      <c r="BC74" s="113"/>
      <c r="BD74" s="113"/>
      <c r="BE74" s="113"/>
      <c r="BF74" s="113"/>
      <c r="BG74" s="113"/>
      <c r="BH74" s="113"/>
      <c r="BI74" s="113"/>
      <c r="BJ74" s="113"/>
      <c r="BK74" s="113"/>
      <c r="BL74" s="113"/>
      <c r="BM74" s="113"/>
      <c r="BN74" s="113"/>
      <c r="BO74" s="113"/>
      <c r="BP74" s="113"/>
      <c r="BQ74" s="113"/>
      <c r="BR74" s="113"/>
      <c r="BS74" s="113"/>
      <c r="BT74" s="113"/>
      <c r="BU74" s="113"/>
      <c r="BV74" s="113"/>
      <c r="BW74" s="113"/>
      <c r="BX74" s="113"/>
      <c r="BY74" s="113"/>
      <c r="BZ74" s="113"/>
      <c r="CA74" s="113"/>
      <c r="CB74" s="113"/>
      <c r="CC74" s="113"/>
      <c r="CD74" s="113"/>
      <c r="CE74" s="113"/>
      <c r="CF74" s="113"/>
      <c r="CG74" s="113"/>
      <c r="CH74" s="113"/>
      <c r="CI74" s="113"/>
      <c r="CJ74" s="113"/>
      <c r="CK74" s="113"/>
      <c r="CL74" s="113"/>
      <c r="CM74" s="113"/>
      <c r="CN74" s="113"/>
      <c r="CO74" s="113"/>
      <c r="CP74" s="113"/>
      <c r="CQ74" s="113"/>
      <c r="CR74" s="113"/>
      <c r="CS74" s="113"/>
      <c r="CT74" s="113"/>
      <c r="CU74" s="113"/>
      <c r="CV74" s="113"/>
      <c r="CW74" s="113"/>
      <c r="CX74" s="113"/>
      <c r="CY74" s="113"/>
      <c r="CZ74" s="113"/>
      <c r="DA74" s="113"/>
      <c r="DB74" s="113"/>
      <c r="DC74" s="113"/>
      <c r="DD74" s="113"/>
      <c r="DE74" s="113"/>
      <c r="DF74" s="113"/>
      <c r="DG74" s="113"/>
      <c r="DH74" s="113"/>
      <c r="DI74" s="113"/>
      <c r="DJ74" s="113"/>
      <c r="DK74" s="113"/>
      <c r="DL74" s="114"/>
      <c r="DM74" s="47"/>
    </row>
    <row r="75" spans="5:117" x14ac:dyDescent="0.35">
      <c r="E75" s="111"/>
      <c r="F75" s="112"/>
      <c r="G75" s="112"/>
      <c r="H75" s="115"/>
      <c r="I75" s="70"/>
      <c r="J75" s="70"/>
      <c r="K75" s="68">
        <f t="shared" ref="K75:K83" si="116">H75*L75</f>
        <v>0</v>
      </c>
      <c r="L75" s="39">
        <f t="shared" ref="L75:L83" si="117">SUM(M75:DL75)</f>
        <v>0</v>
      </c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113"/>
      <c r="AE75" s="113"/>
      <c r="AF75" s="113"/>
      <c r="AG75" s="113"/>
      <c r="AH75" s="113"/>
      <c r="AI75" s="113"/>
      <c r="AJ75" s="113"/>
      <c r="AK75" s="113"/>
      <c r="AL75" s="113"/>
      <c r="AM75" s="113"/>
      <c r="AN75" s="113"/>
      <c r="AO75" s="113"/>
      <c r="AP75" s="113"/>
      <c r="AQ75" s="113"/>
      <c r="AR75" s="113"/>
      <c r="AS75" s="113"/>
      <c r="AT75" s="113"/>
      <c r="AU75" s="113"/>
      <c r="AV75" s="113"/>
      <c r="AW75" s="113"/>
      <c r="AX75" s="113"/>
      <c r="AY75" s="113"/>
      <c r="AZ75" s="113"/>
      <c r="BA75" s="113"/>
      <c r="BB75" s="113"/>
      <c r="BC75" s="113"/>
      <c r="BD75" s="113"/>
      <c r="BE75" s="113"/>
      <c r="BF75" s="113"/>
      <c r="BG75" s="113"/>
      <c r="BH75" s="113"/>
      <c r="BI75" s="113"/>
      <c r="BJ75" s="113"/>
      <c r="BK75" s="113"/>
      <c r="BL75" s="113"/>
      <c r="BM75" s="113"/>
      <c r="BN75" s="113"/>
      <c r="BO75" s="113"/>
      <c r="BP75" s="113"/>
      <c r="BQ75" s="113"/>
      <c r="BR75" s="113"/>
      <c r="BS75" s="113"/>
      <c r="BT75" s="113"/>
      <c r="BU75" s="113"/>
      <c r="BV75" s="113"/>
      <c r="BW75" s="113"/>
      <c r="BX75" s="113"/>
      <c r="BY75" s="113"/>
      <c r="BZ75" s="113"/>
      <c r="CA75" s="113"/>
      <c r="CB75" s="113"/>
      <c r="CC75" s="113"/>
      <c r="CD75" s="113"/>
      <c r="CE75" s="113"/>
      <c r="CF75" s="113"/>
      <c r="CG75" s="113"/>
      <c r="CH75" s="113"/>
      <c r="CI75" s="113"/>
      <c r="CJ75" s="113"/>
      <c r="CK75" s="113"/>
      <c r="CL75" s="113"/>
      <c r="CM75" s="113"/>
      <c r="CN75" s="113"/>
      <c r="CO75" s="113"/>
      <c r="CP75" s="113"/>
      <c r="CQ75" s="113"/>
      <c r="CR75" s="113"/>
      <c r="CS75" s="113"/>
      <c r="CT75" s="113"/>
      <c r="CU75" s="113"/>
      <c r="CV75" s="113"/>
      <c r="CW75" s="113"/>
      <c r="CX75" s="113"/>
      <c r="CY75" s="113"/>
      <c r="CZ75" s="113"/>
      <c r="DA75" s="113"/>
      <c r="DB75" s="113"/>
      <c r="DC75" s="113"/>
      <c r="DD75" s="113"/>
      <c r="DE75" s="113"/>
      <c r="DF75" s="113"/>
      <c r="DG75" s="113"/>
      <c r="DH75" s="113"/>
      <c r="DI75" s="113"/>
      <c r="DJ75" s="113"/>
      <c r="DK75" s="113"/>
      <c r="DL75" s="114"/>
      <c r="DM75" s="47"/>
    </row>
    <row r="76" spans="5:117" x14ac:dyDescent="0.35">
      <c r="E76" s="111"/>
      <c r="F76" s="112"/>
      <c r="G76" s="112"/>
      <c r="H76" s="115"/>
      <c r="I76" s="70"/>
      <c r="J76" s="70"/>
      <c r="K76" s="68">
        <f t="shared" si="116"/>
        <v>0</v>
      </c>
      <c r="L76" s="39">
        <f t="shared" si="117"/>
        <v>0</v>
      </c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113"/>
      <c r="AE76" s="113"/>
      <c r="AF76" s="113"/>
      <c r="AG76" s="113"/>
      <c r="AH76" s="113"/>
      <c r="AI76" s="113"/>
      <c r="AJ76" s="113"/>
      <c r="AK76" s="113"/>
      <c r="AL76" s="113"/>
      <c r="AM76" s="113"/>
      <c r="AN76" s="113"/>
      <c r="AO76" s="113"/>
      <c r="AP76" s="113"/>
      <c r="AQ76" s="113"/>
      <c r="AR76" s="113"/>
      <c r="AS76" s="113"/>
      <c r="AT76" s="113"/>
      <c r="AU76" s="113"/>
      <c r="AV76" s="113"/>
      <c r="AW76" s="113"/>
      <c r="AX76" s="113"/>
      <c r="AY76" s="113"/>
      <c r="AZ76" s="113"/>
      <c r="BA76" s="113"/>
      <c r="BB76" s="113"/>
      <c r="BC76" s="113"/>
      <c r="BD76" s="113"/>
      <c r="BE76" s="113"/>
      <c r="BF76" s="113"/>
      <c r="BG76" s="113"/>
      <c r="BH76" s="113"/>
      <c r="BI76" s="113"/>
      <c r="BJ76" s="113"/>
      <c r="BK76" s="113"/>
      <c r="BL76" s="113"/>
      <c r="BM76" s="113"/>
      <c r="BN76" s="113"/>
      <c r="BO76" s="113"/>
      <c r="BP76" s="113"/>
      <c r="BQ76" s="113"/>
      <c r="BR76" s="113"/>
      <c r="BS76" s="113"/>
      <c r="BT76" s="113"/>
      <c r="BU76" s="113"/>
      <c r="BV76" s="113"/>
      <c r="BW76" s="113"/>
      <c r="BX76" s="113"/>
      <c r="BY76" s="113"/>
      <c r="BZ76" s="113"/>
      <c r="CA76" s="113"/>
      <c r="CB76" s="113"/>
      <c r="CC76" s="113"/>
      <c r="CD76" s="113"/>
      <c r="CE76" s="113"/>
      <c r="CF76" s="113"/>
      <c r="CG76" s="113"/>
      <c r="CH76" s="113"/>
      <c r="CI76" s="113"/>
      <c r="CJ76" s="113"/>
      <c r="CK76" s="113"/>
      <c r="CL76" s="113"/>
      <c r="CM76" s="113"/>
      <c r="CN76" s="113"/>
      <c r="CO76" s="113"/>
      <c r="CP76" s="113"/>
      <c r="CQ76" s="113"/>
      <c r="CR76" s="113"/>
      <c r="CS76" s="113"/>
      <c r="CT76" s="113"/>
      <c r="CU76" s="113"/>
      <c r="CV76" s="113"/>
      <c r="CW76" s="113"/>
      <c r="CX76" s="113"/>
      <c r="CY76" s="113"/>
      <c r="CZ76" s="113"/>
      <c r="DA76" s="113"/>
      <c r="DB76" s="113"/>
      <c r="DC76" s="113"/>
      <c r="DD76" s="113"/>
      <c r="DE76" s="113"/>
      <c r="DF76" s="113"/>
      <c r="DG76" s="113"/>
      <c r="DH76" s="113"/>
      <c r="DI76" s="113"/>
      <c r="DJ76" s="113"/>
      <c r="DK76" s="113"/>
      <c r="DL76" s="114"/>
      <c r="DM76" s="47"/>
    </row>
    <row r="77" spans="5:117" x14ac:dyDescent="0.35">
      <c r="E77" s="111"/>
      <c r="F77" s="112"/>
      <c r="G77" s="112"/>
      <c r="H77" s="115"/>
      <c r="I77" s="70"/>
      <c r="J77" s="70"/>
      <c r="K77" s="68">
        <f t="shared" si="116"/>
        <v>0</v>
      </c>
      <c r="L77" s="39">
        <f t="shared" si="117"/>
        <v>0</v>
      </c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113"/>
      <c r="AE77" s="113"/>
      <c r="AF77" s="113"/>
      <c r="AG77" s="113"/>
      <c r="AH77" s="113"/>
      <c r="AI77" s="113"/>
      <c r="AJ77" s="113"/>
      <c r="AK77" s="113"/>
      <c r="AL77" s="113"/>
      <c r="AM77" s="113"/>
      <c r="AN77" s="113"/>
      <c r="AO77" s="113"/>
      <c r="AP77" s="113"/>
      <c r="AQ77" s="113"/>
      <c r="AR77" s="113"/>
      <c r="AS77" s="113"/>
      <c r="AT77" s="113"/>
      <c r="AU77" s="113"/>
      <c r="AV77" s="113"/>
      <c r="AW77" s="113"/>
      <c r="AX77" s="113"/>
      <c r="AY77" s="113"/>
      <c r="AZ77" s="113"/>
      <c r="BA77" s="113"/>
      <c r="BB77" s="113"/>
      <c r="BC77" s="113"/>
      <c r="BD77" s="113"/>
      <c r="BE77" s="113"/>
      <c r="BF77" s="113"/>
      <c r="BG77" s="113"/>
      <c r="BH77" s="113"/>
      <c r="BI77" s="113"/>
      <c r="BJ77" s="113"/>
      <c r="BK77" s="113"/>
      <c r="BL77" s="113"/>
      <c r="BM77" s="113"/>
      <c r="BN77" s="113"/>
      <c r="BO77" s="113"/>
      <c r="BP77" s="113"/>
      <c r="BQ77" s="113"/>
      <c r="BR77" s="113"/>
      <c r="BS77" s="113"/>
      <c r="BT77" s="113"/>
      <c r="BU77" s="113"/>
      <c r="BV77" s="113"/>
      <c r="BW77" s="113"/>
      <c r="BX77" s="113"/>
      <c r="BY77" s="113"/>
      <c r="BZ77" s="113"/>
      <c r="CA77" s="113"/>
      <c r="CB77" s="113"/>
      <c r="CC77" s="113"/>
      <c r="CD77" s="113"/>
      <c r="CE77" s="113"/>
      <c r="CF77" s="113"/>
      <c r="CG77" s="113"/>
      <c r="CH77" s="113"/>
      <c r="CI77" s="113"/>
      <c r="CJ77" s="113"/>
      <c r="CK77" s="113"/>
      <c r="CL77" s="113"/>
      <c r="CM77" s="113"/>
      <c r="CN77" s="113"/>
      <c r="CO77" s="113"/>
      <c r="CP77" s="113"/>
      <c r="CQ77" s="113"/>
      <c r="CR77" s="113"/>
      <c r="CS77" s="113"/>
      <c r="CT77" s="113"/>
      <c r="CU77" s="113"/>
      <c r="CV77" s="113"/>
      <c r="CW77" s="113"/>
      <c r="CX77" s="113"/>
      <c r="CY77" s="113"/>
      <c r="CZ77" s="113"/>
      <c r="DA77" s="113"/>
      <c r="DB77" s="113"/>
      <c r="DC77" s="113"/>
      <c r="DD77" s="113"/>
      <c r="DE77" s="113"/>
      <c r="DF77" s="113"/>
      <c r="DG77" s="113"/>
      <c r="DH77" s="113"/>
      <c r="DI77" s="113"/>
      <c r="DJ77" s="113"/>
      <c r="DK77" s="113"/>
      <c r="DL77" s="114"/>
      <c r="DM77" s="47"/>
    </row>
    <row r="78" spans="5:117" x14ac:dyDescent="0.35">
      <c r="E78" s="111"/>
      <c r="F78" s="112"/>
      <c r="G78" s="112"/>
      <c r="H78" s="115"/>
      <c r="I78" s="70"/>
      <c r="J78" s="70"/>
      <c r="K78" s="68">
        <f t="shared" si="116"/>
        <v>0</v>
      </c>
      <c r="L78" s="39">
        <f t="shared" si="117"/>
        <v>0</v>
      </c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113"/>
      <c r="AE78" s="113"/>
      <c r="AF78" s="113"/>
      <c r="AG78" s="113"/>
      <c r="AH78" s="113"/>
      <c r="AI78" s="113"/>
      <c r="AJ78" s="113"/>
      <c r="AK78" s="113"/>
      <c r="AL78" s="113"/>
      <c r="AM78" s="113"/>
      <c r="AN78" s="113"/>
      <c r="AO78" s="113"/>
      <c r="AP78" s="113"/>
      <c r="AQ78" s="113"/>
      <c r="AR78" s="113"/>
      <c r="AS78" s="113"/>
      <c r="AT78" s="113"/>
      <c r="AU78" s="113"/>
      <c r="AV78" s="113"/>
      <c r="AW78" s="113"/>
      <c r="AX78" s="113"/>
      <c r="AY78" s="113"/>
      <c r="AZ78" s="113"/>
      <c r="BA78" s="113"/>
      <c r="BB78" s="113"/>
      <c r="BC78" s="113"/>
      <c r="BD78" s="113"/>
      <c r="BE78" s="113"/>
      <c r="BF78" s="113"/>
      <c r="BG78" s="113"/>
      <c r="BH78" s="113"/>
      <c r="BI78" s="113"/>
      <c r="BJ78" s="113"/>
      <c r="BK78" s="113"/>
      <c r="BL78" s="113"/>
      <c r="BM78" s="113"/>
      <c r="BN78" s="113"/>
      <c r="BO78" s="113"/>
      <c r="BP78" s="113"/>
      <c r="BQ78" s="113"/>
      <c r="BR78" s="113"/>
      <c r="BS78" s="113"/>
      <c r="BT78" s="113"/>
      <c r="BU78" s="113"/>
      <c r="BV78" s="113"/>
      <c r="BW78" s="113"/>
      <c r="BX78" s="113"/>
      <c r="BY78" s="113"/>
      <c r="BZ78" s="113"/>
      <c r="CA78" s="113"/>
      <c r="CB78" s="113"/>
      <c r="CC78" s="113"/>
      <c r="CD78" s="113"/>
      <c r="CE78" s="113"/>
      <c r="CF78" s="113"/>
      <c r="CG78" s="113"/>
      <c r="CH78" s="113"/>
      <c r="CI78" s="113"/>
      <c r="CJ78" s="113"/>
      <c r="CK78" s="113"/>
      <c r="CL78" s="113"/>
      <c r="CM78" s="113"/>
      <c r="CN78" s="113"/>
      <c r="CO78" s="113"/>
      <c r="CP78" s="113"/>
      <c r="CQ78" s="113"/>
      <c r="CR78" s="113"/>
      <c r="CS78" s="113"/>
      <c r="CT78" s="113"/>
      <c r="CU78" s="113"/>
      <c r="CV78" s="113"/>
      <c r="CW78" s="113"/>
      <c r="CX78" s="113"/>
      <c r="CY78" s="113"/>
      <c r="CZ78" s="113"/>
      <c r="DA78" s="113"/>
      <c r="DB78" s="113"/>
      <c r="DC78" s="113"/>
      <c r="DD78" s="113"/>
      <c r="DE78" s="113"/>
      <c r="DF78" s="113"/>
      <c r="DG78" s="113"/>
      <c r="DH78" s="113"/>
      <c r="DI78" s="113"/>
      <c r="DJ78" s="113"/>
      <c r="DK78" s="113"/>
      <c r="DL78" s="114"/>
      <c r="DM78" s="47"/>
    </row>
    <row r="79" spans="5:117" x14ac:dyDescent="0.35">
      <c r="E79" s="111"/>
      <c r="F79" s="112"/>
      <c r="G79" s="112"/>
      <c r="H79" s="115"/>
      <c r="I79" s="70"/>
      <c r="J79" s="70"/>
      <c r="K79" s="68">
        <f t="shared" si="116"/>
        <v>0</v>
      </c>
      <c r="L79" s="39">
        <f t="shared" si="117"/>
        <v>0</v>
      </c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113"/>
      <c r="AE79" s="113"/>
      <c r="AF79" s="113"/>
      <c r="AG79" s="113"/>
      <c r="AH79" s="113"/>
      <c r="AI79" s="113"/>
      <c r="AJ79" s="113"/>
      <c r="AK79" s="113"/>
      <c r="AL79" s="113"/>
      <c r="AM79" s="113"/>
      <c r="AN79" s="113"/>
      <c r="AO79" s="113"/>
      <c r="AP79" s="113"/>
      <c r="AQ79" s="113"/>
      <c r="AR79" s="113"/>
      <c r="AS79" s="113"/>
      <c r="AT79" s="113"/>
      <c r="AU79" s="113"/>
      <c r="AV79" s="113"/>
      <c r="AW79" s="113"/>
      <c r="AX79" s="113"/>
      <c r="AY79" s="113"/>
      <c r="AZ79" s="113"/>
      <c r="BA79" s="113"/>
      <c r="BB79" s="113"/>
      <c r="BC79" s="113"/>
      <c r="BD79" s="113"/>
      <c r="BE79" s="113"/>
      <c r="BF79" s="113"/>
      <c r="BG79" s="113"/>
      <c r="BH79" s="113"/>
      <c r="BI79" s="113"/>
      <c r="BJ79" s="113"/>
      <c r="BK79" s="113"/>
      <c r="BL79" s="113"/>
      <c r="BM79" s="113"/>
      <c r="BN79" s="113"/>
      <c r="BO79" s="113"/>
      <c r="BP79" s="113"/>
      <c r="BQ79" s="113"/>
      <c r="BR79" s="113"/>
      <c r="BS79" s="113"/>
      <c r="BT79" s="113"/>
      <c r="BU79" s="113"/>
      <c r="BV79" s="113"/>
      <c r="BW79" s="113"/>
      <c r="BX79" s="113"/>
      <c r="BY79" s="113"/>
      <c r="BZ79" s="113"/>
      <c r="CA79" s="113"/>
      <c r="CB79" s="113"/>
      <c r="CC79" s="113"/>
      <c r="CD79" s="113"/>
      <c r="CE79" s="113"/>
      <c r="CF79" s="113"/>
      <c r="CG79" s="113"/>
      <c r="CH79" s="113"/>
      <c r="CI79" s="113"/>
      <c r="CJ79" s="113"/>
      <c r="CK79" s="113"/>
      <c r="CL79" s="113"/>
      <c r="CM79" s="113"/>
      <c r="CN79" s="113"/>
      <c r="CO79" s="113"/>
      <c r="CP79" s="113"/>
      <c r="CQ79" s="113"/>
      <c r="CR79" s="113"/>
      <c r="CS79" s="113"/>
      <c r="CT79" s="113"/>
      <c r="CU79" s="113"/>
      <c r="CV79" s="113"/>
      <c r="CW79" s="113"/>
      <c r="CX79" s="113"/>
      <c r="CY79" s="113"/>
      <c r="CZ79" s="113"/>
      <c r="DA79" s="113"/>
      <c r="DB79" s="113"/>
      <c r="DC79" s="113"/>
      <c r="DD79" s="113"/>
      <c r="DE79" s="113"/>
      <c r="DF79" s="113"/>
      <c r="DG79" s="113"/>
      <c r="DH79" s="113"/>
      <c r="DI79" s="113"/>
      <c r="DJ79" s="113"/>
      <c r="DK79" s="113"/>
      <c r="DL79" s="114"/>
      <c r="DM79" s="47"/>
    </row>
    <row r="80" spans="5:117" x14ac:dyDescent="0.35">
      <c r="E80" s="111"/>
      <c r="F80" s="112"/>
      <c r="G80" s="112"/>
      <c r="H80" s="115"/>
      <c r="I80" s="70"/>
      <c r="J80" s="70"/>
      <c r="K80" s="68">
        <f t="shared" si="116"/>
        <v>0</v>
      </c>
      <c r="L80" s="39">
        <f t="shared" si="117"/>
        <v>0</v>
      </c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113"/>
      <c r="AE80" s="113"/>
      <c r="AF80" s="113"/>
      <c r="AG80" s="113"/>
      <c r="AH80" s="113"/>
      <c r="AI80" s="113"/>
      <c r="AJ80" s="113"/>
      <c r="AK80" s="113"/>
      <c r="AL80" s="113"/>
      <c r="AM80" s="113"/>
      <c r="AN80" s="113"/>
      <c r="AO80" s="113"/>
      <c r="AP80" s="113"/>
      <c r="AQ80" s="113"/>
      <c r="AR80" s="113"/>
      <c r="AS80" s="113"/>
      <c r="AT80" s="113"/>
      <c r="AU80" s="113"/>
      <c r="AV80" s="113"/>
      <c r="AW80" s="113"/>
      <c r="AX80" s="113"/>
      <c r="AY80" s="113"/>
      <c r="AZ80" s="113"/>
      <c r="BA80" s="113"/>
      <c r="BB80" s="113"/>
      <c r="BC80" s="113"/>
      <c r="BD80" s="113"/>
      <c r="BE80" s="113"/>
      <c r="BF80" s="113"/>
      <c r="BG80" s="113"/>
      <c r="BH80" s="113"/>
      <c r="BI80" s="113"/>
      <c r="BJ80" s="113"/>
      <c r="BK80" s="113"/>
      <c r="BL80" s="113"/>
      <c r="BM80" s="113"/>
      <c r="BN80" s="113"/>
      <c r="BO80" s="113"/>
      <c r="BP80" s="113"/>
      <c r="BQ80" s="113"/>
      <c r="BR80" s="113"/>
      <c r="BS80" s="113"/>
      <c r="BT80" s="113"/>
      <c r="BU80" s="113"/>
      <c r="BV80" s="113"/>
      <c r="BW80" s="113"/>
      <c r="BX80" s="113"/>
      <c r="BY80" s="113"/>
      <c r="BZ80" s="113"/>
      <c r="CA80" s="113"/>
      <c r="CB80" s="113"/>
      <c r="CC80" s="113"/>
      <c r="CD80" s="113"/>
      <c r="CE80" s="113"/>
      <c r="CF80" s="113"/>
      <c r="CG80" s="113"/>
      <c r="CH80" s="113"/>
      <c r="CI80" s="113"/>
      <c r="CJ80" s="113"/>
      <c r="CK80" s="113"/>
      <c r="CL80" s="113"/>
      <c r="CM80" s="113"/>
      <c r="CN80" s="113"/>
      <c r="CO80" s="113"/>
      <c r="CP80" s="113"/>
      <c r="CQ80" s="113"/>
      <c r="CR80" s="113"/>
      <c r="CS80" s="113"/>
      <c r="CT80" s="113"/>
      <c r="CU80" s="113"/>
      <c r="CV80" s="113"/>
      <c r="CW80" s="113"/>
      <c r="CX80" s="113"/>
      <c r="CY80" s="113"/>
      <c r="CZ80" s="113"/>
      <c r="DA80" s="113"/>
      <c r="DB80" s="113"/>
      <c r="DC80" s="113"/>
      <c r="DD80" s="113"/>
      <c r="DE80" s="113"/>
      <c r="DF80" s="113"/>
      <c r="DG80" s="113"/>
      <c r="DH80" s="113"/>
      <c r="DI80" s="113"/>
      <c r="DJ80" s="113"/>
      <c r="DK80" s="113"/>
      <c r="DL80" s="114"/>
      <c r="DM80" s="47"/>
    </row>
    <row r="81" spans="1:117" x14ac:dyDescent="0.35">
      <c r="E81" s="111"/>
      <c r="F81" s="112"/>
      <c r="G81" s="112"/>
      <c r="H81" s="115"/>
      <c r="I81" s="70"/>
      <c r="J81" s="70"/>
      <c r="K81" s="68">
        <f t="shared" si="116"/>
        <v>0</v>
      </c>
      <c r="L81" s="39">
        <f t="shared" si="117"/>
        <v>0</v>
      </c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113"/>
      <c r="AE81" s="113"/>
      <c r="AF81" s="113"/>
      <c r="AG81" s="113"/>
      <c r="AH81" s="113"/>
      <c r="AI81" s="113"/>
      <c r="AJ81" s="113"/>
      <c r="AK81" s="113"/>
      <c r="AL81" s="113"/>
      <c r="AM81" s="113"/>
      <c r="AN81" s="113"/>
      <c r="AO81" s="113"/>
      <c r="AP81" s="113"/>
      <c r="AQ81" s="113"/>
      <c r="AR81" s="113"/>
      <c r="AS81" s="113"/>
      <c r="AT81" s="113"/>
      <c r="AU81" s="113"/>
      <c r="AV81" s="113"/>
      <c r="AW81" s="113"/>
      <c r="AX81" s="113"/>
      <c r="AY81" s="113"/>
      <c r="AZ81" s="113"/>
      <c r="BA81" s="113"/>
      <c r="BB81" s="113"/>
      <c r="BC81" s="113"/>
      <c r="BD81" s="113"/>
      <c r="BE81" s="113"/>
      <c r="BF81" s="113"/>
      <c r="BG81" s="113"/>
      <c r="BH81" s="113"/>
      <c r="BI81" s="113"/>
      <c r="BJ81" s="113"/>
      <c r="BK81" s="113"/>
      <c r="BL81" s="113"/>
      <c r="BM81" s="113"/>
      <c r="BN81" s="113"/>
      <c r="BO81" s="113"/>
      <c r="BP81" s="113"/>
      <c r="BQ81" s="113"/>
      <c r="BR81" s="113"/>
      <c r="BS81" s="113"/>
      <c r="BT81" s="113"/>
      <c r="BU81" s="113"/>
      <c r="BV81" s="113"/>
      <c r="BW81" s="113"/>
      <c r="BX81" s="113"/>
      <c r="BY81" s="113"/>
      <c r="BZ81" s="113"/>
      <c r="CA81" s="113"/>
      <c r="CB81" s="113"/>
      <c r="CC81" s="113"/>
      <c r="CD81" s="113"/>
      <c r="CE81" s="113"/>
      <c r="CF81" s="113"/>
      <c r="CG81" s="113"/>
      <c r="CH81" s="113"/>
      <c r="CI81" s="113"/>
      <c r="CJ81" s="113"/>
      <c r="CK81" s="113"/>
      <c r="CL81" s="113"/>
      <c r="CM81" s="113"/>
      <c r="CN81" s="113"/>
      <c r="CO81" s="113"/>
      <c r="CP81" s="113"/>
      <c r="CQ81" s="113"/>
      <c r="CR81" s="113"/>
      <c r="CS81" s="113"/>
      <c r="CT81" s="113"/>
      <c r="CU81" s="113"/>
      <c r="CV81" s="113"/>
      <c r="CW81" s="113"/>
      <c r="CX81" s="113"/>
      <c r="CY81" s="113"/>
      <c r="CZ81" s="113"/>
      <c r="DA81" s="113"/>
      <c r="DB81" s="113"/>
      <c r="DC81" s="113"/>
      <c r="DD81" s="113"/>
      <c r="DE81" s="113"/>
      <c r="DF81" s="113"/>
      <c r="DG81" s="113"/>
      <c r="DH81" s="113"/>
      <c r="DI81" s="113"/>
      <c r="DJ81" s="113"/>
      <c r="DK81" s="113"/>
      <c r="DL81" s="114"/>
      <c r="DM81" s="47"/>
    </row>
    <row r="82" spans="1:117" x14ac:dyDescent="0.35">
      <c r="E82" s="111"/>
      <c r="F82" s="112"/>
      <c r="G82" s="112"/>
      <c r="H82" s="115"/>
      <c r="I82" s="70"/>
      <c r="J82" s="70"/>
      <c r="K82" s="68">
        <f t="shared" si="116"/>
        <v>0</v>
      </c>
      <c r="L82" s="39">
        <f t="shared" si="117"/>
        <v>0</v>
      </c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113"/>
      <c r="AE82" s="113"/>
      <c r="AF82" s="113"/>
      <c r="AG82" s="113"/>
      <c r="AH82" s="113"/>
      <c r="AI82" s="113"/>
      <c r="AJ82" s="113"/>
      <c r="AK82" s="113"/>
      <c r="AL82" s="113"/>
      <c r="AM82" s="113"/>
      <c r="AN82" s="113"/>
      <c r="AO82" s="113"/>
      <c r="AP82" s="113"/>
      <c r="AQ82" s="113"/>
      <c r="AR82" s="113"/>
      <c r="AS82" s="113"/>
      <c r="AT82" s="113"/>
      <c r="AU82" s="113"/>
      <c r="AV82" s="113"/>
      <c r="AW82" s="113"/>
      <c r="AX82" s="113"/>
      <c r="AY82" s="113"/>
      <c r="AZ82" s="113"/>
      <c r="BA82" s="113"/>
      <c r="BB82" s="113"/>
      <c r="BC82" s="113"/>
      <c r="BD82" s="113"/>
      <c r="BE82" s="113"/>
      <c r="BF82" s="113"/>
      <c r="BG82" s="113"/>
      <c r="BH82" s="113"/>
      <c r="BI82" s="113"/>
      <c r="BJ82" s="113"/>
      <c r="BK82" s="113"/>
      <c r="BL82" s="113"/>
      <c r="BM82" s="113"/>
      <c r="BN82" s="113"/>
      <c r="BO82" s="113"/>
      <c r="BP82" s="113"/>
      <c r="BQ82" s="113"/>
      <c r="BR82" s="113"/>
      <c r="BS82" s="113"/>
      <c r="BT82" s="113"/>
      <c r="BU82" s="113"/>
      <c r="BV82" s="113"/>
      <c r="BW82" s="113"/>
      <c r="BX82" s="113"/>
      <c r="BY82" s="113"/>
      <c r="BZ82" s="113"/>
      <c r="CA82" s="113"/>
      <c r="CB82" s="113"/>
      <c r="CC82" s="113"/>
      <c r="CD82" s="113"/>
      <c r="CE82" s="113"/>
      <c r="CF82" s="113"/>
      <c r="CG82" s="113"/>
      <c r="CH82" s="113"/>
      <c r="CI82" s="113"/>
      <c r="CJ82" s="113"/>
      <c r="CK82" s="113"/>
      <c r="CL82" s="113"/>
      <c r="CM82" s="113"/>
      <c r="CN82" s="113"/>
      <c r="CO82" s="113"/>
      <c r="CP82" s="113"/>
      <c r="CQ82" s="113"/>
      <c r="CR82" s="113"/>
      <c r="CS82" s="113"/>
      <c r="CT82" s="113"/>
      <c r="CU82" s="113"/>
      <c r="CV82" s="113"/>
      <c r="CW82" s="113"/>
      <c r="CX82" s="113"/>
      <c r="CY82" s="113"/>
      <c r="CZ82" s="113"/>
      <c r="DA82" s="113"/>
      <c r="DB82" s="113"/>
      <c r="DC82" s="113"/>
      <c r="DD82" s="113"/>
      <c r="DE82" s="113"/>
      <c r="DF82" s="113"/>
      <c r="DG82" s="113"/>
      <c r="DH82" s="113"/>
      <c r="DI82" s="113"/>
      <c r="DJ82" s="113"/>
      <c r="DK82" s="113"/>
      <c r="DL82" s="114"/>
      <c r="DM82" s="47"/>
    </row>
    <row r="83" spans="1:117" x14ac:dyDescent="0.35">
      <c r="E83" s="111"/>
      <c r="F83" s="112"/>
      <c r="G83" s="112"/>
      <c r="H83" s="115"/>
      <c r="I83" s="70"/>
      <c r="J83" s="70"/>
      <c r="K83" s="68">
        <f t="shared" si="116"/>
        <v>0</v>
      </c>
      <c r="L83" s="39">
        <f t="shared" si="117"/>
        <v>0</v>
      </c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113"/>
      <c r="AE83" s="113"/>
      <c r="AF83" s="113"/>
      <c r="AG83" s="113"/>
      <c r="AH83" s="113"/>
      <c r="AI83" s="113"/>
      <c r="AJ83" s="113"/>
      <c r="AK83" s="113"/>
      <c r="AL83" s="113"/>
      <c r="AM83" s="113"/>
      <c r="AN83" s="113"/>
      <c r="AO83" s="113"/>
      <c r="AP83" s="113"/>
      <c r="AQ83" s="113"/>
      <c r="AR83" s="113"/>
      <c r="AS83" s="113"/>
      <c r="AT83" s="113"/>
      <c r="AU83" s="113"/>
      <c r="AV83" s="113"/>
      <c r="AW83" s="113"/>
      <c r="AX83" s="113"/>
      <c r="AY83" s="113"/>
      <c r="AZ83" s="113"/>
      <c r="BA83" s="113"/>
      <c r="BB83" s="113"/>
      <c r="BC83" s="113"/>
      <c r="BD83" s="113"/>
      <c r="BE83" s="113"/>
      <c r="BF83" s="113"/>
      <c r="BG83" s="113"/>
      <c r="BH83" s="113"/>
      <c r="BI83" s="113"/>
      <c r="BJ83" s="113"/>
      <c r="BK83" s="113"/>
      <c r="BL83" s="113"/>
      <c r="BM83" s="113"/>
      <c r="BN83" s="113"/>
      <c r="BO83" s="113"/>
      <c r="BP83" s="113"/>
      <c r="BQ83" s="113"/>
      <c r="BR83" s="113"/>
      <c r="BS83" s="113"/>
      <c r="BT83" s="113"/>
      <c r="BU83" s="113"/>
      <c r="BV83" s="113"/>
      <c r="BW83" s="113"/>
      <c r="BX83" s="113"/>
      <c r="BY83" s="113"/>
      <c r="BZ83" s="113"/>
      <c r="CA83" s="113"/>
      <c r="CB83" s="113"/>
      <c r="CC83" s="113"/>
      <c r="CD83" s="113"/>
      <c r="CE83" s="113"/>
      <c r="CF83" s="113"/>
      <c r="CG83" s="113"/>
      <c r="CH83" s="113"/>
      <c r="CI83" s="113"/>
      <c r="CJ83" s="113"/>
      <c r="CK83" s="113"/>
      <c r="CL83" s="113"/>
      <c r="CM83" s="113"/>
      <c r="CN83" s="113"/>
      <c r="CO83" s="113"/>
      <c r="CP83" s="113"/>
      <c r="CQ83" s="113"/>
      <c r="CR83" s="113"/>
      <c r="CS83" s="113"/>
      <c r="CT83" s="113"/>
      <c r="CU83" s="113"/>
      <c r="CV83" s="113"/>
      <c r="CW83" s="113"/>
      <c r="CX83" s="113"/>
      <c r="CY83" s="113"/>
      <c r="CZ83" s="113"/>
      <c r="DA83" s="113"/>
      <c r="DB83" s="113"/>
      <c r="DC83" s="113"/>
      <c r="DD83" s="113"/>
      <c r="DE83" s="113"/>
      <c r="DF83" s="113"/>
      <c r="DG83" s="113"/>
      <c r="DH83" s="113"/>
      <c r="DI83" s="113"/>
      <c r="DJ83" s="113"/>
      <c r="DK83" s="113"/>
      <c r="DL83" s="114"/>
      <c r="DM83" s="47"/>
    </row>
    <row r="84" spans="1:117" ht="15" thickBot="1" x14ac:dyDescent="0.4">
      <c r="E84" s="3"/>
      <c r="F84" s="41"/>
      <c r="G84" s="41"/>
      <c r="H84" s="41"/>
      <c r="I84" s="8"/>
      <c r="J84" s="8" t="s">
        <v>150</v>
      </c>
      <c r="K84" s="97">
        <f>SUM(K74:K83)</f>
        <v>0</v>
      </c>
      <c r="L84" s="96"/>
      <c r="M84" s="4">
        <f>SUM(M34:M83)</f>
        <v>46028.229166666664</v>
      </c>
      <c r="N84" s="4">
        <f t="shared" ref="N84:BY84" si="118">SUM(N34:N83)</f>
        <v>46067.229166666664</v>
      </c>
      <c r="O84" s="4">
        <f t="shared" si="118"/>
        <v>46082.229166666664</v>
      </c>
      <c r="P84" s="4">
        <f t="shared" si="118"/>
        <v>46121.229166666664</v>
      </c>
      <c r="Q84" s="4">
        <f t="shared" si="118"/>
        <v>46112.229166666664</v>
      </c>
      <c r="R84" s="4">
        <f t="shared" si="118"/>
        <v>46055.229166666664</v>
      </c>
      <c r="S84" s="4">
        <f t="shared" si="118"/>
        <v>46062.229166666664</v>
      </c>
      <c r="T84" s="4">
        <f t="shared" si="118"/>
        <v>46069.229166666664</v>
      </c>
      <c r="U84" s="4">
        <f t="shared" si="118"/>
        <v>46076.229166666664</v>
      </c>
      <c r="V84" s="4">
        <f t="shared" si="118"/>
        <v>46083.229166666664</v>
      </c>
      <c r="W84" s="4">
        <f t="shared" si="118"/>
        <v>46090.229166666664</v>
      </c>
      <c r="X84" s="4">
        <f t="shared" si="118"/>
        <v>46097.229166666664</v>
      </c>
      <c r="Y84" s="4">
        <f t="shared" si="118"/>
        <v>46104.229166666664</v>
      </c>
      <c r="Z84" s="4">
        <f t="shared" si="118"/>
        <v>46111.229166666664</v>
      </c>
      <c r="AA84" s="4">
        <f t="shared" si="118"/>
        <v>46118.229166666664</v>
      </c>
      <c r="AB84" s="4">
        <f t="shared" si="118"/>
        <v>46125.229166666664</v>
      </c>
      <c r="AC84" s="4">
        <f t="shared" si="118"/>
        <v>46132.229166666664</v>
      </c>
      <c r="AD84" s="4">
        <f t="shared" si="118"/>
        <v>46139.229166666664</v>
      </c>
      <c r="AE84" s="4">
        <f t="shared" si="118"/>
        <v>46146.229166666664</v>
      </c>
      <c r="AF84" s="4">
        <f t="shared" si="118"/>
        <v>46153.229166666664</v>
      </c>
      <c r="AG84" s="4">
        <f t="shared" si="118"/>
        <v>46160.229166666664</v>
      </c>
      <c r="AH84" s="4">
        <f t="shared" si="118"/>
        <v>46167.229166666664</v>
      </c>
      <c r="AI84" s="4">
        <f t="shared" si="118"/>
        <v>46174.229166666664</v>
      </c>
      <c r="AJ84" s="4">
        <f t="shared" si="118"/>
        <v>46181.229166666664</v>
      </c>
      <c r="AK84" s="4">
        <f t="shared" si="118"/>
        <v>46188.229166666664</v>
      </c>
      <c r="AL84" s="4">
        <f t="shared" si="118"/>
        <v>46195.229166666664</v>
      </c>
      <c r="AM84" s="4">
        <f t="shared" si="118"/>
        <v>46202.229166666664</v>
      </c>
      <c r="AN84" s="4">
        <f t="shared" si="118"/>
        <v>46209.229166666664</v>
      </c>
      <c r="AO84" s="4">
        <f t="shared" si="118"/>
        <v>46216.229166666664</v>
      </c>
      <c r="AP84" s="4">
        <f t="shared" si="118"/>
        <v>46223.229166666664</v>
      </c>
      <c r="AQ84" s="4">
        <f t="shared" si="118"/>
        <v>46230.229166666664</v>
      </c>
      <c r="AR84" s="4">
        <f t="shared" si="118"/>
        <v>46237.229166666664</v>
      </c>
      <c r="AS84" s="4">
        <f t="shared" si="118"/>
        <v>46244.229166666664</v>
      </c>
      <c r="AT84" s="4">
        <f t="shared" si="118"/>
        <v>46251.229166666664</v>
      </c>
      <c r="AU84" s="4">
        <f t="shared" si="118"/>
        <v>46258.229166666664</v>
      </c>
      <c r="AV84" s="4">
        <f t="shared" si="118"/>
        <v>46265.229166666664</v>
      </c>
      <c r="AW84" s="4">
        <f t="shared" si="118"/>
        <v>46272.229166666664</v>
      </c>
      <c r="AX84" s="4">
        <f t="shared" si="118"/>
        <v>46279.229166666664</v>
      </c>
      <c r="AY84" s="4">
        <f t="shared" si="118"/>
        <v>46286.229166666664</v>
      </c>
      <c r="AZ84" s="4">
        <f t="shared" si="118"/>
        <v>46293.229166666664</v>
      </c>
      <c r="BA84" s="4">
        <f t="shared" si="118"/>
        <v>46300.229166666664</v>
      </c>
      <c r="BB84" s="4">
        <f t="shared" si="118"/>
        <v>46307.229166666664</v>
      </c>
      <c r="BC84" s="4">
        <f t="shared" si="118"/>
        <v>46314.229166666664</v>
      </c>
      <c r="BD84" s="4">
        <f t="shared" si="118"/>
        <v>46321.229166666664</v>
      </c>
      <c r="BE84" s="4">
        <f t="shared" si="118"/>
        <v>46328.229166666664</v>
      </c>
      <c r="BF84" s="4">
        <f t="shared" si="118"/>
        <v>46335.229166666664</v>
      </c>
      <c r="BG84" s="4">
        <f t="shared" si="118"/>
        <v>46342.229166666664</v>
      </c>
      <c r="BH84" s="4">
        <f t="shared" si="118"/>
        <v>46349.229166666664</v>
      </c>
      <c r="BI84" s="4">
        <f t="shared" si="118"/>
        <v>46356.229166666664</v>
      </c>
      <c r="BJ84" s="4">
        <f t="shared" si="118"/>
        <v>46363.229166666664</v>
      </c>
      <c r="BK84" s="4">
        <f t="shared" si="118"/>
        <v>46370.229166666664</v>
      </c>
      <c r="BL84" s="4">
        <f t="shared" si="118"/>
        <v>46377.229166666664</v>
      </c>
      <c r="BM84" s="4">
        <f t="shared" si="118"/>
        <v>46384.229166666664</v>
      </c>
      <c r="BN84" s="4">
        <f t="shared" si="118"/>
        <v>46391.229166666664</v>
      </c>
      <c r="BO84" s="4">
        <f t="shared" si="118"/>
        <v>46398.229166666664</v>
      </c>
      <c r="BP84" s="4">
        <f t="shared" si="118"/>
        <v>46405.229166666664</v>
      </c>
      <c r="BQ84" s="4">
        <f t="shared" si="118"/>
        <v>46412.229166666664</v>
      </c>
      <c r="BR84" s="4">
        <f t="shared" si="118"/>
        <v>46419.229166666664</v>
      </c>
      <c r="BS84" s="4">
        <f t="shared" si="118"/>
        <v>46426.229166666664</v>
      </c>
      <c r="BT84" s="4">
        <f t="shared" si="118"/>
        <v>46433.229166666664</v>
      </c>
      <c r="BU84" s="4">
        <f t="shared" si="118"/>
        <v>46440.229166666664</v>
      </c>
      <c r="BV84" s="4">
        <f t="shared" si="118"/>
        <v>46447.229166666664</v>
      </c>
      <c r="BW84" s="4">
        <f t="shared" si="118"/>
        <v>46454.229166666664</v>
      </c>
      <c r="BX84" s="4">
        <f t="shared" si="118"/>
        <v>46461.229166666664</v>
      </c>
      <c r="BY84" s="4">
        <f t="shared" si="118"/>
        <v>46468.229166666664</v>
      </c>
      <c r="BZ84" s="4">
        <f t="shared" ref="BZ84:DL84" si="119">SUM(BZ34:BZ83)</f>
        <v>46475.229166666664</v>
      </c>
      <c r="CA84" s="4">
        <f t="shared" si="119"/>
        <v>46482.229166666664</v>
      </c>
      <c r="CB84" s="4">
        <f t="shared" si="119"/>
        <v>46489.229166666664</v>
      </c>
      <c r="CC84" s="4">
        <f t="shared" si="119"/>
        <v>46496.229166666664</v>
      </c>
      <c r="CD84" s="4">
        <f t="shared" si="119"/>
        <v>46503.229166666664</v>
      </c>
      <c r="CE84" s="4">
        <f t="shared" si="119"/>
        <v>46510.229166666664</v>
      </c>
      <c r="CF84" s="4">
        <f t="shared" si="119"/>
        <v>46517.229166666664</v>
      </c>
      <c r="CG84" s="4">
        <f t="shared" si="119"/>
        <v>46524.229166666664</v>
      </c>
      <c r="CH84" s="4">
        <f t="shared" si="119"/>
        <v>46531.229166666664</v>
      </c>
      <c r="CI84" s="4">
        <f t="shared" si="119"/>
        <v>46538.229166666664</v>
      </c>
      <c r="CJ84" s="4">
        <f t="shared" si="119"/>
        <v>46545.229166666664</v>
      </c>
      <c r="CK84" s="4">
        <f t="shared" si="119"/>
        <v>46552.229166666664</v>
      </c>
      <c r="CL84" s="4">
        <f t="shared" si="119"/>
        <v>46559.229166666664</v>
      </c>
      <c r="CM84" s="4">
        <f t="shared" si="119"/>
        <v>46566.229166666664</v>
      </c>
      <c r="CN84" s="4">
        <f t="shared" si="119"/>
        <v>46573.229166666664</v>
      </c>
      <c r="CO84" s="4">
        <f t="shared" si="119"/>
        <v>46580.229166666664</v>
      </c>
      <c r="CP84" s="4">
        <f t="shared" si="119"/>
        <v>46587.229166666664</v>
      </c>
      <c r="CQ84" s="4">
        <f t="shared" si="119"/>
        <v>46594.229166666664</v>
      </c>
      <c r="CR84" s="4">
        <f t="shared" si="119"/>
        <v>46601.229166666664</v>
      </c>
      <c r="CS84" s="4">
        <f t="shared" si="119"/>
        <v>46608.229166666664</v>
      </c>
      <c r="CT84" s="4">
        <f t="shared" si="119"/>
        <v>46615.229166666664</v>
      </c>
      <c r="CU84" s="4">
        <f t="shared" si="119"/>
        <v>46622.229166666664</v>
      </c>
      <c r="CV84" s="4">
        <f t="shared" si="119"/>
        <v>46629.229166666664</v>
      </c>
      <c r="CW84" s="4">
        <f t="shared" si="119"/>
        <v>46636.229166666664</v>
      </c>
      <c r="CX84" s="4">
        <f t="shared" si="119"/>
        <v>46643.229166666664</v>
      </c>
      <c r="CY84" s="4">
        <f t="shared" si="119"/>
        <v>46650.229166666664</v>
      </c>
      <c r="CZ84" s="4">
        <f t="shared" si="119"/>
        <v>46657.229166666664</v>
      </c>
      <c r="DA84" s="4">
        <f t="shared" si="119"/>
        <v>46664.229166666664</v>
      </c>
      <c r="DB84" s="4">
        <f t="shared" si="119"/>
        <v>46671.229166666664</v>
      </c>
      <c r="DC84" s="4">
        <f t="shared" si="119"/>
        <v>46678.229166666664</v>
      </c>
      <c r="DD84" s="4">
        <f t="shared" si="119"/>
        <v>46685.229166666664</v>
      </c>
      <c r="DE84" s="4">
        <f t="shared" si="119"/>
        <v>46692.229166666664</v>
      </c>
      <c r="DF84" s="4">
        <f t="shared" si="119"/>
        <v>46699.229166666664</v>
      </c>
      <c r="DG84" s="4">
        <f t="shared" si="119"/>
        <v>46706.229166666664</v>
      </c>
      <c r="DH84" s="4">
        <f t="shared" si="119"/>
        <v>46713.229166666664</v>
      </c>
      <c r="DI84" s="4">
        <f t="shared" si="119"/>
        <v>46720.229166666664</v>
      </c>
      <c r="DJ84" s="4">
        <f t="shared" si="119"/>
        <v>46727.229166666664</v>
      </c>
      <c r="DK84" s="4">
        <f t="shared" si="119"/>
        <v>46734.229166666664</v>
      </c>
      <c r="DL84" s="90">
        <f t="shared" si="119"/>
        <v>46741.229166666664</v>
      </c>
      <c r="DM84" s="47"/>
    </row>
    <row r="85" spans="1:117" ht="15" thickBot="1" x14ac:dyDescent="0.4"/>
    <row r="86" spans="1:117" ht="15" thickBot="1" x14ac:dyDescent="0.4">
      <c r="E86" s="43" t="s">
        <v>152</v>
      </c>
    </row>
    <row r="87" spans="1:117" x14ac:dyDescent="0.35">
      <c r="E87" s="28" t="s">
        <v>29</v>
      </c>
      <c r="F87" s="32" t="s">
        <v>261</v>
      </c>
      <c r="G87" s="32" t="s">
        <v>262</v>
      </c>
      <c r="H87" s="32" t="s">
        <v>259</v>
      </c>
      <c r="I87" s="33" t="s">
        <v>260</v>
      </c>
      <c r="J87" s="33" t="s">
        <v>308</v>
      </c>
      <c r="K87" s="33" t="s">
        <v>142</v>
      </c>
      <c r="L87" s="33" t="s">
        <v>257</v>
      </c>
      <c r="M87" s="33" t="s">
        <v>153</v>
      </c>
      <c r="N87" s="33" t="s">
        <v>154</v>
      </c>
      <c r="O87" s="33" t="s">
        <v>155</v>
      </c>
      <c r="P87" s="33" t="s">
        <v>156</v>
      </c>
      <c r="Q87" s="33" t="s">
        <v>157</v>
      </c>
      <c r="R87" s="33" t="s">
        <v>158</v>
      </c>
      <c r="S87" s="33" t="s">
        <v>159</v>
      </c>
      <c r="T87" s="33" t="s">
        <v>160</v>
      </c>
      <c r="U87" s="33" t="s">
        <v>161</v>
      </c>
      <c r="V87" s="33" t="s">
        <v>162</v>
      </c>
      <c r="W87" s="33" t="s">
        <v>163</v>
      </c>
      <c r="X87" s="33" t="s">
        <v>164</v>
      </c>
      <c r="Y87" s="33" t="s">
        <v>165</v>
      </c>
      <c r="Z87" s="33" t="s">
        <v>166</v>
      </c>
      <c r="AA87" s="33" t="s">
        <v>167</v>
      </c>
      <c r="AB87" s="33" t="s">
        <v>168</v>
      </c>
      <c r="AC87" s="33" t="s">
        <v>169</v>
      </c>
      <c r="AD87" s="33" t="s">
        <v>170</v>
      </c>
      <c r="AE87" s="33" t="s">
        <v>171</v>
      </c>
      <c r="AF87" s="33" t="s">
        <v>172</v>
      </c>
      <c r="AG87" s="33" t="s">
        <v>173</v>
      </c>
      <c r="AH87" s="33" t="s">
        <v>174</v>
      </c>
      <c r="AI87" s="33" t="s">
        <v>175</v>
      </c>
      <c r="AJ87" s="33" t="s">
        <v>176</v>
      </c>
      <c r="AK87" s="33" t="s">
        <v>177</v>
      </c>
      <c r="AL87" s="33" t="s">
        <v>178</v>
      </c>
      <c r="AM87" s="33" t="s">
        <v>179</v>
      </c>
      <c r="AN87" s="33" t="s">
        <v>180</v>
      </c>
      <c r="AO87" s="33" t="s">
        <v>181</v>
      </c>
      <c r="AP87" s="33" t="s">
        <v>182</v>
      </c>
      <c r="AQ87" s="33" t="s">
        <v>183</v>
      </c>
      <c r="AR87" s="33" t="s">
        <v>184</v>
      </c>
      <c r="AS87" s="33" t="s">
        <v>185</v>
      </c>
      <c r="AT87" s="33" t="s">
        <v>186</v>
      </c>
      <c r="AU87" s="33" t="s">
        <v>187</v>
      </c>
      <c r="AV87" s="33" t="s">
        <v>188</v>
      </c>
      <c r="AW87" s="33" t="s">
        <v>189</v>
      </c>
      <c r="AX87" s="33" t="s">
        <v>190</v>
      </c>
      <c r="AY87" s="33" t="s">
        <v>191</v>
      </c>
      <c r="AZ87" s="33" t="s">
        <v>192</v>
      </c>
      <c r="BA87" s="33" t="s">
        <v>193</v>
      </c>
      <c r="BB87" s="33" t="s">
        <v>194</v>
      </c>
      <c r="BC87" s="33" t="s">
        <v>195</v>
      </c>
      <c r="BD87" s="33" t="s">
        <v>196</v>
      </c>
      <c r="BE87" s="33" t="s">
        <v>197</v>
      </c>
      <c r="BF87" s="33" t="s">
        <v>198</v>
      </c>
      <c r="BG87" s="33" t="s">
        <v>199</v>
      </c>
      <c r="BH87" s="33" t="s">
        <v>200</v>
      </c>
      <c r="BI87" s="33" t="s">
        <v>201</v>
      </c>
      <c r="BJ87" s="33" t="s">
        <v>202</v>
      </c>
      <c r="BK87" s="33" t="s">
        <v>203</v>
      </c>
      <c r="BL87" s="33" t="s">
        <v>204</v>
      </c>
      <c r="BM87" s="33" t="s">
        <v>205</v>
      </c>
      <c r="BN87" s="33" t="s">
        <v>206</v>
      </c>
      <c r="BO87" s="33" t="s">
        <v>207</v>
      </c>
      <c r="BP87" s="33" t="s">
        <v>208</v>
      </c>
      <c r="BQ87" s="33" t="s">
        <v>209</v>
      </c>
      <c r="BR87" s="33" t="s">
        <v>210</v>
      </c>
      <c r="BS87" s="33" t="s">
        <v>211</v>
      </c>
      <c r="BT87" s="33" t="s">
        <v>212</v>
      </c>
      <c r="BU87" s="33" t="s">
        <v>213</v>
      </c>
      <c r="BV87" s="33" t="s">
        <v>214</v>
      </c>
      <c r="BW87" s="33" t="s">
        <v>215</v>
      </c>
      <c r="BX87" s="33" t="s">
        <v>216</v>
      </c>
      <c r="BY87" s="33" t="s">
        <v>217</v>
      </c>
      <c r="BZ87" s="33" t="s">
        <v>218</v>
      </c>
      <c r="CA87" s="33" t="s">
        <v>219</v>
      </c>
      <c r="CB87" s="33" t="s">
        <v>220</v>
      </c>
      <c r="CC87" s="33" t="s">
        <v>221</v>
      </c>
      <c r="CD87" s="33" t="s">
        <v>222</v>
      </c>
      <c r="CE87" s="33" t="s">
        <v>223</v>
      </c>
      <c r="CF87" s="33" t="s">
        <v>224</v>
      </c>
      <c r="CG87" s="33" t="s">
        <v>225</v>
      </c>
      <c r="CH87" s="33" t="s">
        <v>226</v>
      </c>
      <c r="CI87" s="33" t="s">
        <v>227</v>
      </c>
      <c r="CJ87" s="33" t="s">
        <v>228</v>
      </c>
      <c r="CK87" s="33" t="s">
        <v>229</v>
      </c>
      <c r="CL87" s="33" t="s">
        <v>230</v>
      </c>
      <c r="CM87" s="33" t="s">
        <v>231</v>
      </c>
      <c r="CN87" s="33" t="s">
        <v>232</v>
      </c>
      <c r="CO87" s="33" t="s">
        <v>233</v>
      </c>
      <c r="CP87" s="33" t="s">
        <v>234</v>
      </c>
      <c r="CQ87" s="33" t="s">
        <v>235</v>
      </c>
      <c r="CR87" s="33" t="s">
        <v>236</v>
      </c>
      <c r="CS87" s="33" t="s">
        <v>237</v>
      </c>
      <c r="CT87" s="33" t="s">
        <v>238</v>
      </c>
      <c r="CU87" s="33" t="s">
        <v>239</v>
      </c>
      <c r="CV87" s="33" t="s">
        <v>240</v>
      </c>
      <c r="CW87" s="33" t="s">
        <v>241</v>
      </c>
      <c r="CX87" s="33" t="s">
        <v>242</v>
      </c>
      <c r="CY87" s="33" t="s">
        <v>243</v>
      </c>
      <c r="CZ87" s="33" t="s">
        <v>244</v>
      </c>
      <c r="DA87" s="33" t="s">
        <v>245</v>
      </c>
      <c r="DB87" s="33" t="s">
        <v>246</v>
      </c>
      <c r="DC87" s="33" t="s">
        <v>247</v>
      </c>
      <c r="DD87" s="33" t="s">
        <v>248</v>
      </c>
      <c r="DE87" s="33" t="s">
        <v>249</v>
      </c>
      <c r="DF87" s="33" t="s">
        <v>250</v>
      </c>
      <c r="DG87" s="33" t="s">
        <v>251</v>
      </c>
      <c r="DH87" s="33" t="s">
        <v>252</v>
      </c>
      <c r="DI87" s="33" t="s">
        <v>253</v>
      </c>
      <c r="DJ87" s="33" t="s">
        <v>254</v>
      </c>
      <c r="DK87" s="33" t="s">
        <v>255</v>
      </c>
      <c r="DL87" s="33" t="s">
        <v>256</v>
      </c>
      <c r="DM87" s="45"/>
    </row>
    <row r="88" spans="1:117" x14ac:dyDescent="0.35">
      <c r="A88" s="117"/>
      <c r="B88" s="117"/>
      <c r="C88" s="117"/>
      <c r="D88" s="117"/>
      <c r="E88" s="111"/>
      <c r="F88" s="112"/>
      <c r="G88" s="112"/>
      <c r="H88" s="116"/>
      <c r="I88" s="116"/>
      <c r="J88" s="124" t="str">
        <f>IFERROR(1-(I88/H88),"-")</f>
        <v>-</v>
      </c>
      <c r="K88" s="38">
        <f>I88*L88</f>
        <v>0</v>
      </c>
      <c r="L88" s="39">
        <f t="shared" ref="L88:L117" si="120">SUM(M88:DL88)</f>
        <v>0</v>
      </c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113"/>
      <c r="AE88" s="113"/>
      <c r="AF88" s="113"/>
      <c r="AG88" s="113"/>
      <c r="AH88" s="113"/>
      <c r="AI88" s="113"/>
      <c r="AJ88" s="113"/>
      <c r="AK88" s="113"/>
      <c r="AL88" s="113"/>
      <c r="AM88" s="113"/>
      <c r="AN88" s="113"/>
      <c r="AO88" s="113"/>
      <c r="AP88" s="113"/>
      <c r="AQ88" s="113"/>
      <c r="AR88" s="113"/>
      <c r="AS88" s="113"/>
      <c r="AT88" s="113"/>
      <c r="AU88" s="113"/>
      <c r="AV88" s="113"/>
      <c r="AW88" s="113"/>
      <c r="AX88" s="113"/>
      <c r="AY88" s="113"/>
      <c r="AZ88" s="113"/>
      <c r="BA88" s="113"/>
      <c r="BB88" s="113"/>
      <c r="BC88" s="113"/>
      <c r="BD88" s="113"/>
      <c r="BE88" s="113"/>
      <c r="BF88" s="113"/>
      <c r="BG88" s="113"/>
      <c r="BH88" s="113"/>
      <c r="BI88" s="113"/>
      <c r="BJ88" s="113"/>
      <c r="BK88" s="113"/>
      <c r="BL88" s="113"/>
      <c r="BM88" s="113"/>
      <c r="BN88" s="113"/>
      <c r="BO88" s="113"/>
      <c r="BP88" s="113"/>
      <c r="BQ88" s="113"/>
      <c r="BR88" s="113"/>
      <c r="BS88" s="113"/>
      <c r="BT88" s="113"/>
      <c r="BU88" s="113"/>
      <c r="BV88" s="113"/>
      <c r="BW88" s="113"/>
      <c r="BX88" s="113"/>
      <c r="BY88" s="113"/>
      <c r="BZ88" s="113"/>
      <c r="CA88" s="113"/>
      <c r="CB88" s="113"/>
      <c r="CC88" s="113"/>
      <c r="CD88" s="113"/>
      <c r="CE88" s="113"/>
      <c r="CF88" s="113"/>
      <c r="CG88" s="113"/>
      <c r="CH88" s="113"/>
      <c r="CI88" s="113"/>
      <c r="CJ88" s="113"/>
      <c r="CK88" s="113"/>
      <c r="CL88" s="113"/>
      <c r="CM88" s="113"/>
      <c r="CN88" s="113"/>
      <c r="CO88" s="113"/>
      <c r="CP88" s="113"/>
      <c r="CQ88" s="113"/>
      <c r="CR88" s="113"/>
      <c r="CS88" s="113"/>
      <c r="CT88" s="113"/>
      <c r="CU88" s="113"/>
      <c r="CV88" s="113"/>
      <c r="CW88" s="113"/>
      <c r="CX88" s="113"/>
      <c r="CY88" s="113"/>
      <c r="CZ88" s="113"/>
      <c r="DA88" s="113"/>
      <c r="DB88" s="113"/>
      <c r="DC88" s="113"/>
      <c r="DD88" s="113"/>
      <c r="DE88" s="113"/>
      <c r="DF88" s="113"/>
      <c r="DG88" s="113"/>
      <c r="DH88" s="113"/>
      <c r="DI88" s="113"/>
      <c r="DJ88" s="113"/>
      <c r="DK88" s="113"/>
      <c r="DL88" s="114"/>
      <c r="DM88" s="47"/>
    </row>
    <row r="89" spans="1:117" x14ac:dyDescent="0.35">
      <c r="A89" s="117"/>
      <c r="B89" s="117"/>
      <c r="C89" s="117"/>
      <c r="D89" s="117"/>
      <c r="E89" s="111"/>
      <c r="F89" s="112"/>
      <c r="G89" s="112"/>
      <c r="H89" s="116"/>
      <c r="I89" s="116"/>
      <c r="J89" s="124" t="str">
        <f t="shared" ref="J89:J117" si="121">IFERROR(1-(I89/H89),"-")</f>
        <v>-</v>
      </c>
      <c r="K89" s="38">
        <f t="shared" ref="K89:K117" si="122">I89*L89</f>
        <v>0</v>
      </c>
      <c r="L89" s="39">
        <f t="shared" si="120"/>
        <v>0</v>
      </c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113"/>
      <c r="AE89" s="113"/>
      <c r="AF89" s="113"/>
      <c r="AG89" s="113"/>
      <c r="AH89" s="113"/>
      <c r="AI89" s="113"/>
      <c r="AJ89" s="113"/>
      <c r="AK89" s="113"/>
      <c r="AL89" s="113"/>
      <c r="AM89" s="113"/>
      <c r="AN89" s="113"/>
      <c r="AO89" s="113"/>
      <c r="AP89" s="113"/>
      <c r="AQ89" s="113"/>
      <c r="AR89" s="113"/>
      <c r="AS89" s="113"/>
      <c r="AT89" s="113"/>
      <c r="AU89" s="113"/>
      <c r="AV89" s="113"/>
      <c r="AW89" s="113"/>
      <c r="AX89" s="113"/>
      <c r="AY89" s="113"/>
      <c r="AZ89" s="113"/>
      <c r="BA89" s="113"/>
      <c r="BB89" s="113"/>
      <c r="BC89" s="113"/>
      <c r="BD89" s="113"/>
      <c r="BE89" s="113"/>
      <c r="BF89" s="113"/>
      <c r="BG89" s="113"/>
      <c r="BH89" s="113"/>
      <c r="BI89" s="113"/>
      <c r="BJ89" s="113"/>
      <c r="BK89" s="113"/>
      <c r="BL89" s="113"/>
      <c r="BM89" s="113"/>
      <c r="BN89" s="113"/>
      <c r="BO89" s="113"/>
      <c r="BP89" s="113"/>
      <c r="BQ89" s="113"/>
      <c r="BR89" s="113"/>
      <c r="BS89" s="113"/>
      <c r="BT89" s="113"/>
      <c r="BU89" s="113"/>
      <c r="BV89" s="113"/>
      <c r="BW89" s="113"/>
      <c r="BX89" s="113"/>
      <c r="BY89" s="113"/>
      <c r="BZ89" s="113"/>
      <c r="CA89" s="113"/>
      <c r="CB89" s="113"/>
      <c r="CC89" s="113"/>
      <c r="CD89" s="113"/>
      <c r="CE89" s="113"/>
      <c r="CF89" s="113"/>
      <c r="CG89" s="113"/>
      <c r="CH89" s="113"/>
      <c r="CI89" s="113"/>
      <c r="CJ89" s="113"/>
      <c r="CK89" s="113"/>
      <c r="CL89" s="113"/>
      <c r="CM89" s="113"/>
      <c r="CN89" s="113"/>
      <c r="CO89" s="113"/>
      <c r="CP89" s="113"/>
      <c r="CQ89" s="113"/>
      <c r="CR89" s="113"/>
      <c r="CS89" s="113"/>
      <c r="CT89" s="113"/>
      <c r="CU89" s="113"/>
      <c r="CV89" s="113"/>
      <c r="CW89" s="113"/>
      <c r="CX89" s="113"/>
      <c r="CY89" s="113"/>
      <c r="CZ89" s="113"/>
      <c r="DA89" s="113"/>
      <c r="DB89" s="113"/>
      <c r="DC89" s="113"/>
      <c r="DD89" s="113"/>
      <c r="DE89" s="113"/>
      <c r="DF89" s="113"/>
      <c r="DG89" s="113"/>
      <c r="DH89" s="113"/>
      <c r="DI89" s="113"/>
      <c r="DJ89" s="113"/>
      <c r="DK89" s="113"/>
      <c r="DL89" s="114"/>
      <c r="DM89" s="47"/>
    </row>
    <row r="90" spans="1:117" x14ac:dyDescent="0.35">
      <c r="A90" s="117"/>
      <c r="B90" s="117"/>
      <c r="C90" s="117"/>
      <c r="D90" s="117"/>
      <c r="E90" s="111"/>
      <c r="F90" s="112"/>
      <c r="G90" s="112"/>
      <c r="H90" s="116"/>
      <c r="I90" s="116"/>
      <c r="J90" s="124" t="str">
        <f t="shared" si="121"/>
        <v>-</v>
      </c>
      <c r="K90" s="38">
        <f t="shared" si="122"/>
        <v>0</v>
      </c>
      <c r="L90" s="39">
        <f t="shared" si="120"/>
        <v>0</v>
      </c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113"/>
      <c r="AE90" s="113"/>
      <c r="AF90" s="113"/>
      <c r="AG90" s="113"/>
      <c r="AH90" s="113"/>
      <c r="AI90" s="113"/>
      <c r="AJ90" s="113"/>
      <c r="AK90" s="113"/>
      <c r="AL90" s="113"/>
      <c r="AM90" s="113"/>
      <c r="AN90" s="113"/>
      <c r="AO90" s="113"/>
      <c r="AP90" s="113"/>
      <c r="AQ90" s="113"/>
      <c r="AR90" s="113"/>
      <c r="AS90" s="113"/>
      <c r="AT90" s="113"/>
      <c r="AU90" s="113"/>
      <c r="AV90" s="113"/>
      <c r="AW90" s="113"/>
      <c r="AX90" s="113"/>
      <c r="AY90" s="113"/>
      <c r="AZ90" s="113"/>
      <c r="BA90" s="113"/>
      <c r="BB90" s="113"/>
      <c r="BC90" s="113"/>
      <c r="BD90" s="113"/>
      <c r="BE90" s="113"/>
      <c r="BF90" s="113"/>
      <c r="BG90" s="113"/>
      <c r="BH90" s="113"/>
      <c r="BI90" s="113"/>
      <c r="BJ90" s="113"/>
      <c r="BK90" s="113"/>
      <c r="BL90" s="113"/>
      <c r="BM90" s="113"/>
      <c r="BN90" s="113"/>
      <c r="BO90" s="113"/>
      <c r="BP90" s="113"/>
      <c r="BQ90" s="113"/>
      <c r="BR90" s="113"/>
      <c r="BS90" s="113"/>
      <c r="BT90" s="113"/>
      <c r="BU90" s="113"/>
      <c r="BV90" s="113"/>
      <c r="BW90" s="113"/>
      <c r="BX90" s="113"/>
      <c r="BY90" s="113"/>
      <c r="BZ90" s="113"/>
      <c r="CA90" s="113"/>
      <c r="CB90" s="113"/>
      <c r="CC90" s="113"/>
      <c r="CD90" s="113"/>
      <c r="CE90" s="113"/>
      <c r="CF90" s="113"/>
      <c r="CG90" s="113"/>
      <c r="CH90" s="113"/>
      <c r="CI90" s="113"/>
      <c r="CJ90" s="113"/>
      <c r="CK90" s="113"/>
      <c r="CL90" s="113"/>
      <c r="CM90" s="113"/>
      <c r="CN90" s="113"/>
      <c r="CO90" s="113"/>
      <c r="CP90" s="113"/>
      <c r="CQ90" s="113"/>
      <c r="CR90" s="113"/>
      <c r="CS90" s="113"/>
      <c r="CT90" s="113"/>
      <c r="CU90" s="113"/>
      <c r="CV90" s="113"/>
      <c r="CW90" s="113"/>
      <c r="CX90" s="113"/>
      <c r="CY90" s="113"/>
      <c r="CZ90" s="113"/>
      <c r="DA90" s="113"/>
      <c r="DB90" s="113"/>
      <c r="DC90" s="113"/>
      <c r="DD90" s="113"/>
      <c r="DE90" s="113"/>
      <c r="DF90" s="113"/>
      <c r="DG90" s="113"/>
      <c r="DH90" s="113"/>
      <c r="DI90" s="113"/>
      <c r="DJ90" s="113"/>
      <c r="DK90" s="113"/>
      <c r="DL90" s="114"/>
      <c r="DM90" s="47"/>
    </row>
    <row r="91" spans="1:117" x14ac:dyDescent="0.35">
      <c r="A91" s="117"/>
      <c r="B91" s="117"/>
      <c r="C91" s="117"/>
      <c r="D91" s="117"/>
      <c r="E91" s="111"/>
      <c r="F91" s="112"/>
      <c r="G91" s="112"/>
      <c r="H91" s="116"/>
      <c r="I91" s="116"/>
      <c r="J91" s="124" t="str">
        <f t="shared" si="121"/>
        <v>-</v>
      </c>
      <c r="K91" s="38">
        <f t="shared" si="122"/>
        <v>0</v>
      </c>
      <c r="L91" s="39">
        <f t="shared" si="120"/>
        <v>0</v>
      </c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113"/>
      <c r="AE91" s="113"/>
      <c r="AF91" s="113"/>
      <c r="AG91" s="113"/>
      <c r="AH91" s="113"/>
      <c r="AI91" s="113"/>
      <c r="AJ91" s="113"/>
      <c r="AK91" s="113"/>
      <c r="AL91" s="113"/>
      <c r="AM91" s="113"/>
      <c r="AN91" s="113"/>
      <c r="AO91" s="113"/>
      <c r="AP91" s="113"/>
      <c r="AQ91" s="113"/>
      <c r="AR91" s="113"/>
      <c r="AS91" s="113"/>
      <c r="AT91" s="113"/>
      <c r="AU91" s="113"/>
      <c r="AV91" s="113"/>
      <c r="AW91" s="113"/>
      <c r="AX91" s="113"/>
      <c r="AY91" s="113"/>
      <c r="AZ91" s="113"/>
      <c r="BA91" s="113"/>
      <c r="BB91" s="113"/>
      <c r="BC91" s="113"/>
      <c r="BD91" s="113"/>
      <c r="BE91" s="113"/>
      <c r="BF91" s="113"/>
      <c r="BG91" s="113"/>
      <c r="BH91" s="113"/>
      <c r="BI91" s="113"/>
      <c r="BJ91" s="113"/>
      <c r="BK91" s="113"/>
      <c r="BL91" s="113"/>
      <c r="BM91" s="113"/>
      <c r="BN91" s="113"/>
      <c r="BO91" s="113"/>
      <c r="BP91" s="113"/>
      <c r="BQ91" s="113"/>
      <c r="BR91" s="113"/>
      <c r="BS91" s="113"/>
      <c r="BT91" s="113"/>
      <c r="BU91" s="113"/>
      <c r="BV91" s="113"/>
      <c r="BW91" s="113"/>
      <c r="BX91" s="113"/>
      <c r="BY91" s="113"/>
      <c r="BZ91" s="113"/>
      <c r="CA91" s="113"/>
      <c r="CB91" s="113"/>
      <c r="CC91" s="113"/>
      <c r="CD91" s="113"/>
      <c r="CE91" s="113"/>
      <c r="CF91" s="113"/>
      <c r="CG91" s="113"/>
      <c r="CH91" s="113"/>
      <c r="CI91" s="113"/>
      <c r="CJ91" s="113"/>
      <c r="CK91" s="113"/>
      <c r="CL91" s="113"/>
      <c r="CM91" s="113"/>
      <c r="CN91" s="113"/>
      <c r="CO91" s="113"/>
      <c r="CP91" s="113"/>
      <c r="CQ91" s="113"/>
      <c r="CR91" s="113"/>
      <c r="CS91" s="113"/>
      <c r="CT91" s="113"/>
      <c r="CU91" s="113"/>
      <c r="CV91" s="113"/>
      <c r="CW91" s="113"/>
      <c r="CX91" s="113"/>
      <c r="CY91" s="113"/>
      <c r="CZ91" s="113"/>
      <c r="DA91" s="113"/>
      <c r="DB91" s="113"/>
      <c r="DC91" s="113"/>
      <c r="DD91" s="113"/>
      <c r="DE91" s="113"/>
      <c r="DF91" s="113"/>
      <c r="DG91" s="113"/>
      <c r="DH91" s="113"/>
      <c r="DI91" s="113"/>
      <c r="DJ91" s="113"/>
      <c r="DK91" s="113"/>
      <c r="DL91" s="114"/>
      <c r="DM91" s="47"/>
    </row>
    <row r="92" spans="1:117" x14ac:dyDescent="0.35">
      <c r="A92" s="117"/>
      <c r="B92" s="117"/>
      <c r="C92" s="117"/>
      <c r="D92" s="117"/>
      <c r="E92" s="111"/>
      <c r="F92" s="112"/>
      <c r="G92" s="112"/>
      <c r="H92" s="116"/>
      <c r="I92" s="116"/>
      <c r="J92" s="124" t="str">
        <f t="shared" si="121"/>
        <v>-</v>
      </c>
      <c r="K92" s="38">
        <f t="shared" si="122"/>
        <v>0</v>
      </c>
      <c r="L92" s="39">
        <f t="shared" si="120"/>
        <v>0</v>
      </c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113"/>
      <c r="AE92" s="113"/>
      <c r="AF92" s="113"/>
      <c r="AG92" s="113"/>
      <c r="AH92" s="113"/>
      <c r="AI92" s="113"/>
      <c r="AJ92" s="113"/>
      <c r="AK92" s="113"/>
      <c r="AL92" s="113"/>
      <c r="AM92" s="113"/>
      <c r="AN92" s="113"/>
      <c r="AO92" s="113"/>
      <c r="AP92" s="113"/>
      <c r="AQ92" s="113"/>
      <c r="AR92" s="113"/>
      <c r="AS92" s="113"/>
      <c r="AT92" s="113"/>
      <c r="AU92" s="113"/>
      <c r="AV92" s="113"/>
      <c r="AW92" s="113"/>
      <c r="AX92" s="113"/>
      <c r="AY92" s="113"/>
      <c r="AZ92" s="113"/>
      <c r="BA92" s="113"/>
      <c r="BB92" s="113"/>
      <c r="BC92" s="113"/>
      <c r="BD92" s="113"/>
      <c r="BE92" s="113"/>
      <c r="BF92" s="113"/>
      <c r="BG92" s="113"/>
      <c r="BH92" s="113"/>
      <c r="BI92" s="113"/>
      <c r="BJ92" s="113"/>
      <c r="BK92" s="113"/>
      <c r="BL92" s="113"/>
      <c r="BM92" s="113"/>
      <c r="BN92" s="113"/>
      <c r="BO92" s="113"/>
      <c r="BP92" s="113"/>
      <c r="BQ92" s="113"/>
      <c r="BR92" s="113"/>
      <c r="BS92" s="113"/>
      <c r="BT92" s="113"/>
      <c r="BU92" s="113"/>
      <c r="BV92" s="113"/>
      <c r="BW92" s="113"/>
      <c r="BX92" s="113"/>
      <c r="BY92" s="113"/>
      <c r="BZ92" s="113"/>
      <c r="CA92" s="113"/>
      <c r="CB92" s="113"/>
      <c r="CC92" s="113"/>
      <c r="CD92" s="113"/>
      <c r="CE92" s="113"/>
      <c r="CF92" s="113"/>
      <c r="CG92" s="113"/>
      <c r="CH92" s="113"/>
      <c r="CI92" s="113"/>
      <c r="CJ92" s="113"/>
      <c r="CK92" s="113"/>
      <c r="CL92" s="113"/>
      <c r="CM92" s="113"/>
      <c r="CN92" s="113"/>
      <c r="CO92" s="113"/>
      <c r="CP92" s="113"/>
      <c r="CQ92" s="113"/>
      <c r="CR92" s="113"/>
      <c r="CS92" s="113"/>
      <c r="CT92" s="113"/>
      <c r="CU92" s="113"/>
      <c r="CV92" s="113"/>
      <c r="CW92" s="113"/>
      <c r="CX92" s="113"/>
      <c r="CY92" s="113"/>
      <c r="CZ92" s="113"/>
      <c r="DA92" s="113"/>
      <c r="DB92" s="113"/>
      <c r="DC92" s="113"/>
      <c r="DD92" s="113"/>
      <c r="DE92" s="113"/>
      <c r="DF92" s="113"/>
      <c r="DG92" s="113"/>
      <c r="DH92" s="113"/>
      <c r="DI92" s="113"/>
      <c r="DJ92" s="113"/>
      <c r="DK92" s="113"/>
      <c r="DL92" s="114"/>
      <c r="DM92" s="47"/>
    </row>
    <row r="93" spans="1:117" x14ac:dyDescent="0.35">
      <c r="A93" s="117"/>
      <c r="B93" s="117"/>
      <c r="C93" s="117"/>
      <c r="D93" s="117"/>
      <c r="E93" s="111"/>
      <c r="F93" s="112"/>
      <c r="G93" s="112"/>
      <c r="H93" s="116"/>
      <c r="I93" s="116"/>
      <c r="J93" s="124" t="str">
        <f t="shared" si="121"/>
        <v>-</v>
      </c>
      <c r="K93" s="38">
        <f t="shared" si="122"/>
        <v>0</v>
      </c>
      <c r="L93" s="39">
        <f t="shared" si="120"/>
        <v>0</v>
      </c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113"/>
      <c r="AE93" s="113"/>
      <c r="AF93" s="113"/>
      <c r="AG93" s="113"/>
      <c r="AH93" s="113"/>
      <c r="AI93" s="113"/>
      <c r="AJ93" s="113"/>
      <c r="AK93" s="113"/>
      <c r="AL93" s="113"/>
      <c r="AM93" s="113"/>
      <c r="AN93" s="113"/>
      <c r="AO93" s="113"/>
      <c r="AP93" s="113"/>
      <c r="AQ93" s="113"/>
      <c r="AR93" s="113"/>
      <c r="AS93" s="113"/>
      <c r="AT93" s="113"/>
      <c r="AU93" s="113"/>
      <c r="AV93" s="113"/>
      <c r="AW93" s="113"/>
      <c r="AX93" s="113"/>
      <c r="AY93" s="11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  <c r="BO93" s="113"/>
      <c r="BP93" s="113"/>
      <c r="BQ93" s="113"/>
      <c r="BR93" s="113"/>
      <c r="BS93" s="113"/>
      <c r="BT93" s="113"/>
      <c r="BU93" s="113"/>
      <c r="BV93" s="113"/>
      <c r="BW93" s="113"/>
      <c r="BX93" s="113"/>
      <c r="BY93" s="113"/>
      <c r="BZ93" s="113"/>
      <c r="CA93" s="113"/>
      <c r="CB93" s="113"/>
      <c r="CC93" s="113"/>
      <c r="CD93" s="113"/>
      <c r="CE93" s="113"/>
      <c r="CF93" s="113"/>
      <c r="CG93" s="113"/>
      <c r="CH93" s="113"/>
      <c r="CI93" s="113"/>
      <c r="CJ93" s="113"/>
      <c r="CK93" s="113"/>
      <c r="CL93" s="113"/>
      <c r="CM93" s="113"/>
      <c r="CN93" s="113"/>
      <c r="CO93" s="113"/>
      <c r="CP93" s="113"/>
      <c r="CQ93" s="113"/>
      <c r="CR93" s="113"/>
      <c r="CS93" s="113"/>
      <c r="CT93" s="113"/>
      <c r="CU93" s="113"/>
      <c r="CV93" s="113"/>
      <c r="CW93" s="113"/>
      <c r="CX93" s="113"/>
      <c r="CY93" s="113"/>
      <c r="CZ93" s="113"/>
      <c r="DA93" s="113"/>
      <c r="DB93" s="113"/>
      <c r="DC93" s="113"/>
      <c r="DD93" s="113"/>
      <c r="DE93" s="113"/>
      <c r="DF93" s="113"/>
      <c r="DG93" s="113"/>
      <c r="DH93" s="113"/>
      <c r="DI93" s="113"/>
      <c r="DJ93" s="113"/>
      <c r="DK93" s="113"/>
      <c r="DL93" s="114"/>
      <c r="DM93" s="47"/>
    </row>
    <row r="94" spans="1:117" x14ac:dyDescent="0.35">
      <c r="A94" s="117"/>
      <c r="B94" s="117"/>
      <c r="C94" s="117"/>
      <c r="D94" s="117"/>
      <c r="E94" s="111"/>
      <c r="F94" s="112"/>
      <c r="G94" s="112"/>
      <c r="H94" s="116"/>
      <c r="I94" s="116"/>
      <c r="J94" s="124" t="str">
        <f t="shared" si="121"/>
        <v>-</v>
      </c>
      <c r="K94" s="38">
        <f t="shared" si="122"/>
        <v>0</v>
      </c>
      <c r="L94" s="39">
        <f t="shared" si="120"/>
        <v>0</v>
      </c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113"/>
      <c r="AE94" s="113"/>
      <c r="AF94" s="113"/>
      <c r="AG94" s="113"/>
      <c r="AH94" s="113"/>
      <c r="AI94" s="113"/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  <c r="AW94" s="113"/>
      <c r="AX94" s="113"/>
      <c r="AY94" s="113"/>
      <c r="AZ94" s="113"/>
      <c r="BA94" s="113"/>
      <c r="BB94" s="113"/>
      <c r="BC94" s="113"/>
      <c r="BD94" s="113"/>
      <c r="BE94" s="113"/>
      <c r="BF94" s="113"/>
      <c r="BG94" s="113"/>
      <c r="BH94" s="113"/>
      <c r="BI94" s="113"/>
      <c r="BJ94" s="113"/>
      <c r="BK94" s="113"/>
      <c r="BL94" s="113"/>
      <c r="BM94" s="113"/>
      <c r="BN94" s="113"/>
      <c r="BO94" s="113"/>
      <c r="BP94" s="113"/>
      <c r="BQ94" s="113"/>
      <c r="BR94" s="113"/>
      <c r="BS94" s="113"/>
      <c r="BT94" s="113"/>
      <c r="BU94" s="113"/>
      <c r="BV94" s="113"/>
      <c r="BW94" s="113"/>
      <c r="BX94" s="113"/>
      <c r="BY94" s="113"/>
      <c r="BZ94" s="113"/>
      <c r="CA94" s="113"/>
      <c r="CB94" s="113"/>
      <c r="CC94" s="113"/>
      <c r="CD94" s="113"/>
      <c r="CE94" s="113"/>
      <c r="CF94" s="113"/>
      <c r="CG94" s="113"/>
      <c r="CH94" s="113"/>
      <c r="CI94" s="113"/>
      <c r="CJ94" s="113"/>
      <c r="CK94" s="113"/>
      <c r="CL94" s="113"/>
      <c r="CM94" s="113"/>
      <c r="CN94" s="113"/>
      <c r="CO94" s="113"/>
      <c r="CP94" s="113"/>
      <c r="CQ94" s="113"/>
      <c r="CR94" s="113"/>
      <c r="CS94" s="113"/>
      <c r="CT94" s="113"/>
      <c r="CU94" s="113"/>
      <c r="CV94" s="113"/>
      <c r="CW94" s="113"/>
      <c r="CX94" s="113"/>
      <c r="CY94" s="113"/>
      <c r="CZ94" s="113"/>
      <c r="DA94" s="113"/>
      <c r="DB94" s="113"/>
      <c r="DC94" s="113"/>
      <c r="DD94" s="113"/>
      <c r="DE94" s="113"/>
      <c r="DF94" s="113"/>
      <c r="DG94" s="113"/>
      <c r="DH94" s="113"/>
      <c r="DI94" s="113"/>
      <c r="DJ94" s="113"/>
      <c r="DK94" s="113"/>
      <c r="DL94" s="114"/>
      <c r="DM94" s="47"/>
    </row>
    <row r="95" spans="1:117" x14ac:dyDescent="0.35">
      <c r="A95" s="117"/>
      <c r="B95" s="117"/>
      <c r="C95" s="117"/>
      <c r="D95" s="117"/>
      <c r="E95" s="111"/>
      <c r="F95" s="112"/>
      <c r="G95" s="112"/>
      <c r="H95" s="116"/>
      <c r="I95" s="116"/>
      <c r="J95" s="124" t="str">
        <f t="shared" si="121"/>
        <v>-</v>
      </c>
      <c r="K95" s="38">
        <f t="shared" si="122"/>
        <v>0</v>
      </c>
      <c r="L95" s="39">
        <f t="shared" si="120"/>
        <v>0</v>
      </c>
      <c r="M95" s="113"/>
      <c r="N95" s="113"/>
      <c r="O95" s="113"/>
      <c r="P95" s="113"/>
      <c r="Q95" s="113"/>
      <c r="R95" s="113"/>
      <c r="S95" s="113"/>
      <c r="T95" s="113"/>
      <c r="U95" s="113"/>
      <c r="V95" s="113"/>
      <c r="W95" s="113"/>
      <c r="X95" s="113"/>
      <c r="Y95" s="113"/>
      <c r="Z95" s="113"/>
      <c r="AA95" s="113"/>
      <c r="AB95" s="113"/>
      <c r="AC95" s="113"/>
      <c r="AD95" s="113"/>
      <c r="AE95" s="113"/>
      <c r="AF95" s="113"/>
      <c r="AG95" s="113"/>
      <c r="AH95" s="113"/>
      <c r="AI95" s="113"/>
      <c r="AJ95" s="113"/>
      <c r="AK95" s="113"/>
      <c r="AL95" s="113"/>
      <c r="AM95" s="113"/>
      <c r="AN95" s="113"/>
      <c r="AO95" s="113"/>
      <c r="AP95" s="113"/>
      <c r="AQ95" s="113"/>
      <c r="AR95" s="113"/>
      <c r="AS95" s="113"/>
      <c r="AT95" s="113"/>
      <c r="AU95" s="113"/>
      <c r="AV95" s="113"/>
      <c r="AW95" s="113"/>
      <c r="AX95" s="113"/>
      <c r="AY95" s="113"/>
      <c r="AZ95" s="113"/>
      <c r="BA95" s="113"/>
      <c r="BB95" s="113"/>
      <c r="BC95" s="113"/>
      <c r="BD95" s="113"/>
      <c r="BE95" s="113"/>
      <c r="BF95" s="113"/>
      <c r="BG95" s="113"/>
      <c r="BH95" s="113"/>
      <c r="BI95" s="113"/>
      <c r="BJ95" s="113"/>
      <c r="BK95" s="113"/>
      <c r="BL95" s="113"/>
      <c r="BM95" s="113"/>
      <c r="BN95" s="113"/>
      <c r="BO95" s="113"/>
      <c r="BP95" s="113"/>
      <c r="BQ95" s="113"/>
      <c r="BR95" s="113"/>
      <c r="BS95" s="113"/>
      <c r="BT95" s="113"/>
      <c r="BU95" s="113"/>
      <c r="BV95" s="113"/>
      <c r="BW95" s="113"/>
      <c r="BX95" s="113"/>
      <c r="BY95" s="113"/>
      <c r="BZ95" s="113"/>
      <c r="CA95" s="113"/>
      <c r="CB95" s="113"/>
      <c r="CC95" s="113"/>
      <c r="CD95" s="113"/>
      <c r="CE95" s="113"/>
      <c r="CF95" s="113"/>
      <c r="CG95" s="113"/>
      <c r="CH95" s="113"/>
      <c r="CI95" s="113"/>
      <c r="CJ95" s="113"/>
      <c r="CK95" s="113"/>
      <c r="CL95" s="113"/>
      <c r="CM95" s="113"/>
      <c r="CN95" s="113"/>
      <c r="CO95" s="113"/>
      <c r="CP95" s="113"/>
      <c r="CQ95" s="113"/>
      <c r="CR95" s="113"/>
      <c r="CS95" s="113"/>
      <c r="CT95" s="113"/>
      <c r="CU95" s="113"/>
      <c r="CV95" s="113"/>
      <c r="CW95" s="113"/>
      <c r="CX95" s="113"/>
      <c r="CY95" s="113"/>
      <c r="CZ95" s="113"/>
      <c r="DA95" s="113"/>
      <c r="DB95" s="113"/>
      <c r="DC95" s="113"/>
      <c r="DD95" s="113"/>
      <c r="DE95" s="113"/>
      <c r="DF95" s="113"/>
      <c r="DG95" s="113"/>
      <c r="DH95" s="113"/>
      <c r="DI95" s="113"/>
      <c r="DJ95" s="113"/>
      <c r="DK95" s="113"/>
      <c r="DL95" s="114"/>
      <c r="DM95" s="47"/>
    </row>
    <row r="96" spans="1:117" x14ac:dyDescent="0.35">
      <c r="A96" s="117"/>
      <c r="B96" s="117"/>
      <c r="C96" s="117"/>
      <c r="D96" s="117"/>
      <c r="E96" s="111"/>
      <c r="F96" s="112"/>
      <c r="G96" s="112"/>
      <c r="H96" s="116"/>
      <c r="I96" s="116"/>
      <c r="J96" s="124" t="str">
        <f t="shared" si="121"/>
        <v>-</v>
      </c>
      <c r="K96" s="38">
        <f t="shared" si="122"/>
        <v>0</v>
      </c>
      <c r="L96" s="39">
        <f t="shared" si="120"/>
        <v>0</v>
      </c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3"/>
      <c r="BN96" s="113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4"/>
      <c r="DM96" s="47"/>
    </row>
    <row r="97" spans="1:117" x14ac:dyDescent="0.35">
      <c r="A97" s="117"/>
      <c r="B97" s="117"/>
      <c r="C97" s="117"/>
      <c r="D97" s="117"/>
      <c r="E97" s="111"/>
      <c r="F97" s="112"/>
      <c r="G97" s="112"/>
      <c r="H97" s="116"/>
      <c r="I97" s="116"/>
      <c r="J97" s="124" t="str">
        <f t="shared" si="121"/>
        <v>-</v>
      </c>
      <c r="K97" s="38">
        <f t="shared" si="122"/>
        <v>0</v>
      </c>
      <c r="L97" s="39">
        <f t="shared" si="120"/>
        <v>0</v>
      </c>
      <c r="M97" s="113"/>
      <c r="N97" s="113"/>
      <c r="O97" s="113"/>
      <c r="P97" s="113"/>
      <c r="Q97" s="113"/>
      <c r="R97" s="113"/>
      <c r="S97" s="113"/>
      <c r="T97" s="113"/>
      <c r="U97" s="113"/>
      <c r="V97" s="113"/>
      <c r="W97" s="113"/>
      <c r="X97" s="113"/>
      <c r="Y97" s="113"/>
      <c r="Z97" s="113"/>
      <c r="AA97" s="113"/>
      <c r="AB97" s="113"/>
      <c r="AC97" s="113"/>
      <c r="AD97" s="113"/>
      <c r="AE97" s="113"/>
      <c r="AF97" s="113"/>
      <c r="AG97" s="113"/>
      <c r="AH97" s="113"/>
      <c r="AI97" s="113"/>
      <c r="AJ97" s="113"/>
      <c r="AK97" s="113"/>
      <c r="AL97" s="113"/>
      <c r="AM97" s="113"/>
      <c r="AN97" s="113"/>
      <c r="AO97" s="113"/>
      <c r="AP97" s="113"/>
      <c r="AQ97" s="113"/>
      <c r="AR97" s="113"/>
      <c r="AS97" s="113"/>
      <c r="AT97" s="113"/>
      <c r="AU97" s="113"/>
      <c r="AV97" s="113"/>
      <c r="AW97" s="113"/>
      <c r="AX97" s="113"/>
      <c r="AY97" s="113"/>
      <c r="AZ97" s="113"/>
      <c r="BA97" s="113"/>
      <c r="BB97" s="113"/>
      <c r="BC97" s="113"/>
      <c r="BD97" s="113"/>
      <c r="BE97" s="113"/>
      <c r="BF97" s="113"/>
      <c r="BG97" s="113"/>
      <c r="BH97" s="113"/>
      <c r="BI97" s="113"/>
      <c r="BJ97" s="113"/>
      <c r="BK97" s="113"/>
      <c r="BL97" s="113"/>
      <c r="BM97" s="113"/>
      <c r="BN97" s="113"/>
      <c r="BO97" s="113"/>
      <c r="BP97" s="113"/>
      <c r="BQ97" s="113"/>
      <c r="BR97" s="113"/>
      <c r="BS97" s="113"/>
      <c r="BT97" s="113"/>
      <c r="BU97" s="113"/>
      <c r="BV97" s="113"/>
      <c r="BW97" s="113"/>
      <c r="BX97" s="113"/>
      <c r="BY97" s="113"/>
      <c r="BZ97" s="113"/>
      <c r="CA97" s="113"/>
      <c r="CB97" s="113"/>
      <c r="CC97" s="113"/>
      <c r="CD97" s="113"/>
      <c r="CE97" s="113"/>
      <c r="CF97" s="113"/>
      <c r="CG97" s="113"/>
      <c r="CH97" s="113"/>
      <c r="CI97" s="113"/>
      <c r="CJ97" s="113"/>
      <c r="CK97" s="113"/>
      <c r="CL97" s="113"/>
      <c r="CM97" s="113"/>
      <c r="CN97" s="113"/>
      <c r="CO97" s="113"/>
      <c r="CP97" s="113"/>
      <c r="CQ97" s="113"/>
      <c r="CR97" s="113"/>
      <c r="CS97" s="113"/>
      <c r="CT97" s="113"/>
      <c r="CU97" s="113"/>
      <c r="CV97" s="113"/>
      <c r="CW97" s="113"/>
      <c r="CX97" s="113"/>
      <c r="CY97" s="113"/>
      <c r="CZ97" s="113"/>
      <c r="DA97" s="113"/>
      <c r="DB97" s="113"/>
      <c r="DC97" s="113"/>
      <c r="DD97" s="113"/>
      <c r="DE97" s="113"/>
      <c r="DF97" s="113"/>
      <c r="DG97" s="113"/>
      <c r="DH97" s="113"/>
      <c r="DI97" s="113"/>
      <c r="DJ97" s="113"/>
      <c r="DK97" s="113"/>
      <c r="DL97" s="114"/>
      <c r="DM97" s="47"/>
    </row>
    <row r="98" spans="1:117" x14ac:dyDescent="0.35">
      <c r="E98" s="36"/>
      <c r="F98" s="37"/>
      <c r="G98" s="37"/>
      <c r="H98" s="116"/>
      <c r="I98" s="116"/>
      <c r="J98" s="124" t="str">
        <f t="shared" si="121"/>
        <v>-</v>
      </c>
      <c r="K98" s="38">
        <f t="shared" si="122"/>
        <v>0</v>
      </c>
      <c r="L98" s="39">
        <f t="shared" si="120"/>
        <v>0</v>
      </c>
      <c r="M98" s="113"/>
      <c r="N98" s="113"/>
      <c r="O98" s="113"/>
      <c r="P98" s="113"/>
      <c r="Q98" s="113"/>
      <c r="R98" s="113"/>
      <c r="S98" s="113"/>
      <c r="T98" s="113"/>
      <c r="U98" s="113"/>
      <c r="V98" s="113"/>
      <c r="W98" s="113"/>
      <c r="X98" s="113"/>
      <c r="Y98" s="113"/>
      <c r="Z98" s="113"/>
      <c r="AA98" s="113"/>
      <c r="AB98" s="113"/>
      <c r="AC98" s="113"/>
      <c r="AD98" s="113"/>
      <c r="AE98" s="113"/>
      <c r="AF98" s="113"/>
      <c r="AG98" s="113"/>
      <c r="AH98" s="113"/>
      <c r="AI98" s="113"/>
      <c r="AJ98" s="113"/>
      <c r="AK98" s="113"/>
      <c r="AL98" s="113"/>
      <c r="AM98" s="113"/>
      <c r="AN98" s="113"/>
      <c r="AO98" s="113"/>
      <c r="AP98" s="113"/>
      <c r="AQ98" s="113"/>
      <c r="AR98" s="113"/>
      <c r="AS98" s="113"/>
      <c r="AT98" s="113"/>
      <c r="AU98" s="113"/>
      <c r="AV98" s="113"/>
      <c r="AW98" s="113"/>
      <c r="AX98" s="113"/>
      <c r="AY98" s="113"/>
      <c r="AZ98" s="113"/>
      <c r="BA98" s="113"/>
      <c r="BB98" s="113"/>
      <c r="BC98" s="113"/>
      <c r="BD98" s="113"/>
      <c r="BE98" s="113"/>
      <c r="BF98" s="113"/>
      <c r="BG98" s="113"/>
      <c r="BH98" s="113"/>
      <c r="BI98" s="113"/>
      <c r="BJ98" s="113"/>
      <c r="BK98" s="113"/>
      <c r="BL98" s="113"/>
      <c r="BM98" s="113"/>
      <c r="BN98" s="113"/>
      <c r="BO98" s="113"/>
      <c r="BP98" s="113"/>
      <c r="BQ98" s="113"/>
      <c r="BR98" s="113"/>
      <c r="BS98" s="113"/>
      <c r="BT98" s="113"/>
      <c r="BU98" s="113"/>
      <c r="BV98" s="113"/>
      <c r="BW98" s="113"/>
      <c r="BX98" s="113"/>
      <c r="BY98" s="113"/>
      <c r="BZ98" s="113"/>
      <c r="CA98" s="113"/>
      <c r="CB98" s="113"/>
      <c r="CC98" s="113"/>
      <c r="CD98" s="113"/>
      <c r="CE98" s="113"/>
      <c r="CF98" s="113"/>
      <c r="CG98" s="113"/>
      <c r="CH98" s="113"/>
      <c r="CI98" s="113"/>
      <c r="CJ98" s="113"/>
      <c r="CK98" s="113"/>
      <c r="CL98" s="113"/>
      <c r="CM98" s="113"/>
      <c r="CN98" s="113"/>
      <c r="CO98" s="113"/>
      <c r="CP98" s="113"/>
      <c r="CQ98" s="113"/>
      <c r="CR98" s="113"/>
      <c r="CS98" s="113"/>
      <c r="CT98" s="113"/>
      <c r="CU98" s="113"/>
      <c r="CV98" s="113"/>
      <c r="CW98" s="113"/>
      <c r="CX98" s="113"/>
      <c r="CY98" s="113"/>
      <c r="CZ98" s="113"/>
      <c r="DA98" s="113"/>
      <c r="DB98" s="113"/>
      <c r="DC98" s="113"/>
      <c r="DD98" s="113"/>
      <c r="DE98" s="113"/>
      <c r="DF98" s="113"/>
      <c r="DG98" s="113"/>
      <c r="DH98" s="113"/>
      <c r="DI98" s="113"/>
      <c r="DJ98" s="113"/>
      <c r="DK98" s="113"/>
      <c r="DL98" s="114"/>
      <c r="DM98" s="47"/>
    </row>
    <row r="99" spans="1:117" x14ac:dyDescent="0.35">
      <c r="E99" s="36"/>
      <c r="F99" s="37"/>
      <c r="G99" s="37"/>
      <c r="H99" s="116"/>
      <c r="I99" s="116"/>
      <c r="J99" s="124" t="str">
        <f t="shared" si="121"/>
        <v>-</v>
      </c>
      <c r="K99" s="38">
        <f t="shared" si="122"/>
        <v>0</v>
      </c>
      <c r="L99" s="39">
        <f t="shared" si="120"/>
        <v>0</v>
      </c>
      <c r="M99" s="113"/>
      <c r="N99" s="113"/>
      <c r="O99" s="113"/>
      <c r="P99" s="113"/>
      <c r="Q99" s="113"/>
      <c r="R99" s="113"/>
      <c r="S99" s="113"/>
      <c r="T99" s="113"/>
      <c r="U99" s="113"/>
      <c r="V99" s="113"/>
      <c r="W99" s="113"/>
      <c r="X99" s="113"/>
      <c r="Y99" s="113"/>
      <c r="Z99" s="113"/>
      <c r="AA99" s="113"/>
      <c r="AB99" s="113"/>
      <c r="AC99" s="113"/>
      <c r="AD99" s="113"/>
      <c r="AE99" s="113"/>
      <c r="AF99" s="113"/>
      <c r="AG99" s="113"/>
      <c r="AH99" s="113"/>
      <c r="AI99" s="113"/>
      <c r="AJ99" s="113"/>
      <c r="AK99" s="113"/>
      <c r="AL99" s="113"/>
      <c r="AM99" s="113"/>
      <c r="AN99" s="113"/>
      <c r="AO99" s="113"/>
      <c r="AP99" s="113"/>
      <c r="AQ99" s="113"/>
      <c r="AR99" s="113"/>
      <c r="AS99" s="113"/>
      <c r="AT99" s="113"/>
      <c r="AU99" s="113"/>
      <c r="AV99" s="113"/>
      <c r="AW99" s="113"/>
      <c r="AX99" s="113"/>
      <c r="AY99" s="113"/>
      <c r="AZ99" s="113"/>
      <c r="BA99" s="113"/>
      <c r="BB99" s="113"/>
      <c r="BC99" s="113"/>
      <c r="BD99" s="113"/>
      <c r="BE99" s="113"/>
      <c r="BF99" s="113"/>
      <c r="BG99" s="113"/>
      <c r="BH99" s="113"/>
      <c r="BI99" s="113"/>
      <c r="BJ99" s="113"/>
      <c r="BK99" s="113"/>
      <c r="BL99" s="113"/>
      <c r="BM99" s="113"/>
      <c r="BN99" s="113"/>
      <c r="BO99" s="113"/>
      <c r="BP99" s="113"/>
      <c r="BQ99" s="113"/>
      <c r="BR99" s="113"/>
      <c r="BS99" s="113"/>
      <c r="BT99" s="113"/>
      <c r="BU99" s="113"/>
      <c r="BV99" s="113"/>
      <c r="BW99" s="113"/>
      <c r="BX99" s="113"/>
      <c r="BY99" s="113"/>
      <c r="BZ99" s="113"/>
      <c r="CA99" s="113"/>
      <c r="CB99" s="113"/>
      <c r="CC99" s="113"/>
      <c r="CD99" s="113"/>
      <c r="CE99" s="113"/>
      <c r="CF99" s="113"/>
      <c r="CG99" s="113"/>
      <c r="CH99" s="113"/>
      <c r="CI99" s="113"/>
      <c r="CJ99" s="113"/>
      <c r="CK99" s="113"/>
      <c r="CL99" s="113"/>
      <c r="CM99" s="113"/>
      <c r="CN99" s="113"/>
      <c r="CO99" s="113"/>
      <c r="CP99" s="113"/>
      <c r="CQ99" s="113"/>
      <c r="CR99" s="113"/>
      <c r="CS99" s="113"/>
      <c r="CT99" s="113"/>
      <c r="CU99" s="113"/>
      <c r="CV99" s="113"/>
      <c r="CW99" s="113"/>
      <c r="CX99" s="113"/>
      <c r="CY99" s="113"/>
      <c r="CZ99" s="113"/>
      <c r="DA99" s="113"/>
      <c r="DB99" s="113"/>
      <c r="DC99" s="113"/>
      <c r="DD99" s="113"/>
      <c r="DE99" s="113"/>
      <c r="DF99" s="113"/>
      <c r="DG99" s="113"/>
      <c r="DH99" s="113"/>
      <c r="DI99" s="113"/>
      <c r="DJ99" s="113"/>
      <c r="DK99" s="113"/>
      <c r="DL99" s="114"/>
      <c r="DM99" s="47"/>
    </row>
    <row r="100" spans="1:117" x14ac:dyDescent="0.35">
      <c r="E100" s="36"/>
      <c r="F100" s="37"/>
      <c r="G100" s="37"/>
      <c r="H100" s="116"/>
      <c r="I100" s="116"/>
      <c r="J100" s="124" t="str">
        <f t="shared" si="121"/>
        <v>-</v>
      </c>
      <c r="K100" s="38">
        <f t="shared" si="122"/>
        <v>0</v>
      </c>
      <c r="L100" s="39">
        <f t="shared" si="120"/>
        <v>0</v>
      </c>
      <c r="M100" s="113"/>
      <c r="N100" s="113"/>
      <c r="O100" s="113"/>
      <c r="P100" s="113"/>
      <c r="Q100" s="113"/>
      <c r="R100" s="113"/>
      <c r="S100" s="113"/>
      <c r="T100" s="113"/>
      <c r="U100" s="113"/>
      <c r="V100" s="113"/>
      <c r="W100" s="113"/>
      <c r="X100" s="113"/>
      <c r="Y100" s="113"/>
      <c r="Z100" s="113"/>
      <c r="AA100" s="113"/>
      <c r="AB100" s="113"/>
      <c r="AC100" s="113"/>
      <c r="AD100" s="113"/>
      <c r="AE100" s="113"/>
      <c r="AF100" s="113"/>
      <c r="AG100" s="113"/>
      <c r="AH100" s="113"/>
      <c r="AI100" s="113"/>
      <c r="AJ100" s="113"/>
      <c r="AK100" s="113"/>
      <c r="AL100" s="113"/>
      <c r="AM100" s="113"/>
      <c r="AN100" s="113"/>
      <c r="AO100" s="113"/>
      <c r="AP100" s="113"/>
      <c r="AQ100" s="113"/>
      <c r="AR100" s="113"/>
      <c r="AS100" s="113"/>
      <c r="AT100" s="113"/>
      <c r="AU100" s="113"/>
      <c r="AV100" s="113"/>
      <c r="AW100" s="113"/>
      <c r="AX100" s="113"/>
      <c r="AY100" s="113"/>
      <c r="AZ100" s="113"/>
      <c r="BA100" s="113"/>
      <c r="BB100" s="113"/>
      <c r="BC100" s="113"/>
      <c r="BD100" s="113"/>
      <c r="BE100" s="113"/>
      <c r="BF100" s="113"/>
      <c r="BG100" s="113"/>
      <c r="BH100" s="113"/>
      <c r="BI100" s="113"/>
      <c r="BJ100" s="113"/>
      <c r="BK100" s="113"/>
      <c r="BL100" s="113"/>
      <c r="BM100" s="113"/>
      <c r="BN100" s="113"/>
      <c r="BO100" s="113"/>
      <c r="BP100" s="113"/>
      <c r="BQ100" s="113"/>
      <c r="BR100" s="113"/>
      <c r="BS100" s="113"/>
      <c r="BT100" s="113"/>
      <c r="BU100" s="113"/>
      <c r="BV100" s="113"/>
      <c r="BW100" s="113"/>
      <c r="BX100" s="113"/>
      <c r="BY100" s="113"/>
      <c r="BZ100" s="113"/>
      <c r="CA100" s="113"/>
      <c r="CB100" s="113"/>
      <c r="CC100" s="113"/>
      <c r="CD100" s="113"/>
      <c r="CE100" s="113"/>
      <c r="CF100" s="113"/>
      <c r="CG100" s="113"/>
      <c r="CH100" s="113"/>
      <c r="CI100" s="113"/>
      <c r="CJ100" s="113"/>
      <c r="CK100" s="113"/>
      <c r="CL100" s="113"/>
      <c r="CM100" s="113"/>
      <c r="CN100" s="113"/>
      <c r="CO100" s="113"/>
      <c r="CP100" s="113"/>
      <c r="CQ100" s="113"/>
      <c r="CR100" s="113"/>
      <c r="CS100" s="113"/>
      <c r="CT100" s="113"/>
      <c r="CU100" s="113"/>
      <c r="CV100" s="113"/>
      <c r="CW100" s="113"/>
      <c r="CX100" s="113"/>
      <c r="CY100" s="113"/>
      <c r="CZ100" s="113"/>
      <c r="DA100" s="113"/>
      <c r="DB100" s="113"/>
      <c r="DC100" s="113"/>
      <c r="DD100" s="113"/>
      <c r="DE100" s="113"/>
      <c r="DF100" s="113"/>
      <c r="DG100" s="113"/>
      <c r="DH100" s="113"/>
      <c r="DI100" s="113"/>
      <c r="DJ100" s="113"/>
      <c r="DK100" s="113"/>
      <c r="DL100" s="114"/>
      <c r="DM100" s="47"/>
    </row>
    <row r="101" spans="1:117" x14ac:dyDescent="0.35">
      <c r="E101" s="36"/>
      <c r="F101" s="37"/>
      <c r="G101" s="37"/>
      <c r="H101" s="116"/>
      <c r="I101" s="116"/>
      <c r="J101" s="124" t="str">
        <f t="shared" si="121"/>
        <v>-</v>
      </c>
      <c r="K101" s="38">
        <f t="shared" si="122"/>
        <v>0</v>
      </c>
      <c r="L101" s="39">
        <f t="shared" si="120"/>
        <v>0</v>
      </c>
      <c r="M101" s="113"/>
      <c r="N101" s="113"/>
      <c r="O101" s="113"/>
      <c r="P101" s="113"/>
      <c r="Q101" s="113"/>
      <c r="R101" s="113"/>
      <c r="S101" s="113"/>
      <c r="T101" s="113"/>
      <c r="U101" s="113"/>
      <c r="V101" s="113"/>
      <c r="W101" s="113"/>
      <c r="X101" s="113"/>
      <c r="Y101" s="113"/>
      <c r="Z101" s="113"/>
      <c r="AA101" s="113"/>
      <c r="AB101" s="113"/>
      <c r="AC101" s="113"/>
      <c r="AD101" s="113"/>
      <c r="AE101" s="113"/>
      <c r="AF101" s="113"/>
      <c r="AG101" s="113"/>
      <c r="AH101" s="113"/>
      <c r="AI101" s="113"/>
      <c r="AJ101" s="113"/>
      <c r="AK101" s="113"/>
      <c r="AL101" s="113"/>
      <c r="AM101" s="113"/>
      <c r="AN101" s="113"/>
      <c r="AO101" s="113"/>
      <c r="AP101" s="113"/>
      <c r="AQ101" s="113"/>
      <c r="AR101" s="113"/>
      <c r="AS101" s="113"/>
      <c r="AT101" s="113"/>
      <c r="AU101" s="113"/>
      <c r="AV101" s="113"/>
      <c r="AW101" s="113"/>
      <c r="AX101" s="113"/>
      <c r="AY101" s="113"/>
      <c r="AZ101" s="113"/>
      <c r="BA101" s="113"/>
      <c r="BB101" s="113"/>
      <c r="BC101" s="113"/>
      <c r="BD101" s="113"/>
      <c r="BE101" s="113"/>
      <c r="BF101" s="113"/>
      <c r="BG101" s="113"/>
      <c r="BH101" s="113"/>
      <c r="BI101" s="113"/>
      <c r="BJ101" s="113"/>
      <c r="BK101" s="113"/>
      <c r="BL101" s="113"/>
      <c r="BM101" s="113"/>
      <c r="BN101" s="113"/>
      <c r="BO101" s="113"/>
      <c r="BP101" s="113"/>
      <c r="BQ101" s="113"/>
      <c r="BR101" s="113"/>
      <c r="BS101" s="113"/>
      <c r="BT101" s="113"/>
      <c r="BU101" s="113"/>
      <c r="BV101" s="113"/>
      <c r="BW101" s="113"/>
      <c r="BX101" s="113"/>
      <c r="BY101" s="113"/>
      <c r="BZ101" s="113"/>
      <c r="CA101" s="113"/>
      <c r="CB101" s="113"/>
      <c r="CC101" s="113"/>
      <c r="CD101" s="113"/>
      <c r="CE101" s="113"/>
      <c r="CF101" s="113"/>
      <c r="CG101" s="113"/>
      <c r="CH101" s="113"/>
      <c r="CI101" s="113"/>
      <c r="CJ101" s="113"/>
      <c r="CK101" s="113"/>
      <c r="CL101" s="113"/>
      <c r="CM101" s="113"/>
      <c r="CN101" s="113"/>
      <c r="CO101" s="113"/>
      <c r="CP101" s="113"/>
      <c r="CQ101" s="113"/>
      <c r="CR101" s="113"/>
      <c r="CS101" s="113"/>
      <c r="CT101" s="113"/>
      <c r="CU101" s="113"/>
      <c r="CV101" s="113"/>
      <c r="CW101" s="113"/>
      <c r="CX101" s="113"/>
      <c r="CY101" s="113"/>
      <c r="CZ101" s="113"/>
      <c r="DA101" s="113"/>
      <c r="DB101" s="113"/>
      <c r="DC101" s="113"/>
      <c r="DD101" s="113"/>
      <c r="DE101" s="113"/>
      <c r="DF101" s="113"/>
      <c r="DG101" s="113"/>
      <c r="DH101" s="113"/>
      <c r="DI101" s="113"/>
      <c r="DJ101" s="113"/>
      <c r="DK101" s="113"/>
      <c r="DL101" s="114"/>
      <c r="DM101" s="47"/>
    </row>
    <row r="102" spans="1:117" x14ac:dyDescent="0.35">
      <c r="E102" s="36"/>
      <c r="F102" s="37"/>
      <c r="G102" s="37"/>
      <c r="H102" s="116"/>
      <c r="I102" s="116"/>
      <c r="J102" s="124" t="str">
        <f t="shared" si="121"/>
        <v>-</v>
      </c>
      <c r="K102" s="38">
        <f t="shared" si="122"/>
        <v>0</v>
      </c>
      <c r="L102" s="39">
        <f t="shared" si="120"/>
        <v>0</v>
      </c>
      <c r="M102" s="113"/>
      <c r="N102" s="113"/>
      <c r="O102" s="113"/>
      <c r="P102" s="113"/>
      <c r="Q102" s="113"/>
      <c r="R102" s="113"/>
      <c r="S102" s="113"/>
      <c r="T102" s="113"/>
      <c r="U102" s="113"/>
      <c r="V102" s="113"/>
      <c r="W102" s="113"/>
      <c r="X102" s="113"/>
      <c r="Y102" s="113"/>
      <c r="Z102" s="113"/>
      <c r="AA102" s="113"/>
      <c r="AB102" s="113"/>
      <c r="AC102" s="113"/>
      <c r="AD102" s="113"/>
      <c r="AE102" s="113"/>
      <c r="AF102" s="113"/>
      <c r="AG102" s="113"/>
      <c r="AH102" s="113"/>
      <c r="AI102" s="113"/>
      <c r="AJ102" s="113"/>
      <c r="AK102" s="113"/>
      <c r="AL102" s="113"/>
      <c r="AM102" s="113"/>
      <c r="AN102" s="113"/>
      <c r="AO102" s="113"/>
      <c r="AP102" s="113"/>
      <c r="AQ102" s="113"/>
      <c r="AR102" s="113"/>
      <c r="AS102" s="113"/>
      <c r="AT102" s="113"/>
      <c r="AU102" s="113"/>
      <c r="AV102" s="113"/>
      <c r="AW102" s="113"/>
      <c r="AX102" s="113"/>
      <c r="AY102" s="11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  <c r="BO102" s="113"/>
      <c r="BP102" s="113"/>
      <c r="BQ102" s="113"/>
      <c r="BR102" s="113"/>
      <c r="BS102" s="113"/>
      <c r="BT102" s="113"/>
      <c r="BU102" s="113"/>
      <c r="BV102" s="113"/>
      <c r="BW102" s="113"/>
      <c r="BX102" s="113"/>
      <c r="BY102" s="113"/>
      <c r="BZ102" s="113"/>
      <c r="CA102" s="113"/>
      <c r="CB102" s="113"/>
      <c r="CC102" s="113"/>
      <c r="CD102" s="113"/>
      <c r="CE102" s="113"/>
      <c r="CF102" s="113"/>
      <c r="CG102" s="113"/>
      <c r="CH102" s="113"/>
      <c r="CI102" s="113"/>
      <c r="CJ102" s="113"/>
      <c r="CK102" s="113"/>
      <c r="CL102" s="113"/>
      <c r="CM102" s="113"/>
      <c r="CN102" s="113"/>
      <c r="CO102" s="113"/>
      <c r="CP102" s="113"/>
      <c r="CQ102" s="113"/>
      <c r="CR102" s="113"/>
      <c r="CS102" s="113"/>
      <c r="CT102" s="113"/>
      <c r="CU102" s="113"/>
      <c r="CV102" s="113"/>
      <c r="CW102" s="113"/>
      <c r="CX102" s="113"/>
      <c r="CY102" s="113"/>
      <c r="CZ102" s="113"/>
      <c r="DA102" s="113"/>
      <c r="DB102" s="113"/>
      <c r="DC102" s="113"/>
      <c r="DD102" s="113"/>
      <c r="DE102" s="113"/>
      <c r="DF102" s="113"/>
      <c r="DG102" s="113"/>
      <c r="DH102" s="113"/>
      <c r="DI102" s="113"/>
      <c r="DJ102" s="113"/>
      <c r="DK102" s="113"/>
      <c r="DL102" s="114"/>
      <c r="DM102" s="47"/>
    </row>
    <row r="103" spans="1:117" x14ac:dyDescent="0.35">
      <c r="E103" s="36"/>
      <c r="F103" s="37"/>
      <c r="G103" s="37"/>
      <c r="H103" s="116"/>
      <c r="I103" s="116"/>
      <c r="J103" s="124" t="str">
        <f t="shared" si="121"/>
        <v>-</v>
      </c>
      <c r="K103" s="38">
        <f t="shared" si="122"/>
        <v>0</v>
      </c>
      <c r="L103" s="39">
        <f t="shared" si="120"/>
        <v>0</v>
      </c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  <c r="AA103" s="113"/>
      <c r="AB103" s="113"/>
      <c r="AC103" s="113"/>
      <c r="AD103" s="113"/>
      <c r="AE103" s="113"/>
      <c r="AF103" s="113"/>
      <c r="AG103" s="113"/>
      <c r="AH103" s="113"/>
      <c r="AI103" s="113"/>
      <c r="AJ103" s="113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  <c r="AU103" s="113"/>
      <c r="AV103" s="113"/>
      <c r="AW103" s="113"/>
      <c r="AX103" s="113"/>
      <c r="AY103" s="11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  <c r="BO103" s="113"/>
      <c r="BP103" s="113"/>
      <c r="BQ103" s="113"/>
      <c r="BR103" s="113"/>
      <c r="BS103" s="113"/>
      <c r="BT103" s="113"/>
      <c r="BU103" s="113"/>
      <c r="BV103" s="113"/>
      <c r="BW103" s="113"/>
      <c r="BX103" s="113"/>
      <c r="BY103" s="113"/>
      <c r="BZ103" s="113"/>
      <c r="CA103" s="113"/>
      <c r="CB103" s="113"/>
      <c r="CC103" s="113"/>
      <c r="CD103" s="113"/>
      <c r="CE103" s="113"/>
      <c r="CF103" s="113"/>
      <c r="CG103" s="113"/>
      <c r="CH103" s="113"/>
      <c r="CI103" s="113"/>
      <c r="CJ103" s="113"/>
      <c r="CK103" s="113"/>
      <c r="CL103" s="113"/>
      <c r="CM103" s="113"/>
      <c r="CN103" s="113"/>
      <c r="CO103" s="113"/>
      <c r="CP103" s="113"/>
      <c r="CQ103" s="113"/>
      <c r="CR103" s="113"/>
      <c r="CS103" s="113"/>
      <c r="CT103" s="113"/>
      <c r="CU103" s="113"/>
      <c r="CV103" s="113"/>
      <c r="CW103" s="113"/>
      <c r="CX103" s="113"/>
      <c r="CY103" s="113"/>
      <c r="CZ103" s="113"/>
      <c r="DA103" s="113"/>
      <c r="DB103" s="113"/>
      <c r="DC103" s="113"/>
      <c r="DD103" s="113"/>
      <c r="DE103" s="113"/>
      <c r="DF103" s="113"/>
      <c r="DG103" s="113"/>
      <c r="DH103" s="113"/>
      <c r="DI103" s="113"/>
      <c r="DJ103" s="113"/>
      <c r="DK103" s="113"/>
      <c r="DL103" s="114"/>
      <c r="DM103" s="47"/>
    </row>
    <row r="104" spans="1:117" x14ac:dyDescent="0.35">
      <c r="E104" s="36"/>
      <c r="F104" s="37"/>
      <c r="G104" s="37"/>
      <c r="H104" s="116"/>
      <c r="I104" s="116"/>
      <c r="J104" s="124" t="str">
        <f t="shared" si="121"/>
        <v>-</v>
      </c>
      <c r="K104" s="38">
        <f t="shared" si="122"/>
        <v>0</v>
      </c>
      <c r="L104" s="39">
        <f t="shared" si="120"/>
        <v>0</v>
      </c>
      <c r="M104" s="113"/>
      <c r="N104" s="113"/>
      <c r="O104" s="113"/>
      <c r="P104" s="113"/>
      <c r="Q104" s="113"/>
      <c r="R104" s="113"/>
      <c r="S104" s="113"/>
      <c r="T104" s="113"/>
      <c r="U104" s="113"/>
      <c r="V104" s="113"/>
      <c r="W104" s="113"/>
      <c r="X104" s="113"/>
      <c r="Y104" s="113"/>
      <c r="Z104" s="113"/>
      <c r="AA104" s="113"/>
      <c r="AB104" s="113"/>
      <c r="AC104" s="113"/>
      <c r="AD104" s="113"/>
      <c r="AE104" s="113"/>
      <c r="AF104" s="113"/>
      <c r="AG104" s="113"/>
      <c r="AH104" s="113"/>
      <c r="AI104" s="113"/>
      <c r="AJ104" s="113"/>
      <c r="AK104" s="113"/>
      <c r="AL104" s="113"/>
      <c r="AM104" s="113"/>
      <c r="AN104" s="113"/>
      <c r="AO104" s="113"/>
      <c r="AP104" s="113"/>
      <c r="AQ104" s="113"/>
      <c r="AR104" s="113"/>
      <c r="AS104" s="113"/>
      <c r="AT104" s="113"/>
      <c r="AU104" s="113"/>
      <c r="AV104" s="113"/>
      <c r="AW104" s="113"/>
      <c r="AX104" s="113"/>
      <c r="AY104" s="11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  <c r="BO104" s="113"/>
      <c r="BP104" s="113"/>
      <c r="BQ104" s="113"/>
      <c r="BR104" s="113"/>
      <c r="BS104" s="113"/>
      <c r="BT104" s="113"/>
      <c r="BU104" s="113"/>
      <c r="BV104" s="113"/>
      <c r="BW104" s="113"/>
      <c r="BX104" s="113"/>
      <c r="BY104" s="113"/>
      <c r="BZ104" s="113"/>
      <c r="CA104" s="113"/>
      <c r="CB104" s="113"/>
      <c r="CC104" s="113"/>
      <c r="CD104" s="113"/>
      <c r="CE104" s="113"/>
      <c r="CF104" s="113"/>
      <c r="CG104" s="113"/>
      <c r="CH104" s="113"/>
      <c r="CI104" s="113"/>
      <c r="CJ104" s="113"/>
      <c r="CK104" s="113"/>
      <c r="CL104" s="113"/>
      <c r="CM104" s="113"/>
      <c r="CN104" s="113"/>
      <c r="CO104" s="113"/>
      <c r="CP104" s="113"/>
      <c r="CQ104" s="113"/>
      <c r="CR104" s="113"/>
      <c r="CS104" s="113"/>
      <c r="CT104" s="113"/>
      <c r="CU104" s="113"/>
      <c r="CV104" s="113"/>
      <c r="CW104" s="113"/>
      <c r="CX104" s="113"/>
      <c r="CY104" s="113"/>
      <c r="CZ104" s="113"/>
      <c r="DA104" s="113"/>
      <c r="DB104" s="113"/>
      <c r="DC104" s="113"/>
      <c r="DD104" s="113"/>
      <c r="DE104" s="113"/>
      <c r="DF104" s="113"/>
      <c r="DG104" s="113"/>
      <c r="DH104" s="113"/>
      <c r="DI104" s="113"/>
      <c r="DJ104" s="113"/>
      <c r="DK104" s="113"/>
      <c r="DL104" s="114"/>
      <c r="DM104" s="47"/>
    </row>
    <row r="105" spans="1:117" x14ac:dyDescent="0.35">
      <c r="E105" s="36"/>
      <c r="F105" s="37"/>
      <c r="G105" s="37"/>
      <c r="H105" s="116"/>
      <c r="I105" s="116"/>
      <c r="J105" s="124" t="str">
        <f t="shared" si="121"/>
        <v>-</v>
      </c>
      <c r="K105" s="38">
        <f t="shared" si="122"/>
        <v>0</v>
      </c>
      <c r="L105" s="39">
        <f t="shared" si="120"/>
        <v>0</v>
      </c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113"/>
      <c r="AE105" s="113"/>
      <c r="AF105" s="113"/>
      <c r="AG105" s="113"/>
      <c r="AH105" s="113"/>
      <c r="AI105" s="113"/>
      <c r="AJ105" s="113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  <c r="BZ105" s="113"/>
      <c r="CA105" s="113"/>
      <c r="CB105" s="113"/>
      <c r="CC105" s="113"/>
      <c r="CD105" s="113"/>
      <c r="CE105" s="113"/>
      <c r="CF105" s="113"/>
      <c r="CG105" s="113"/>
      <c r="CH105" s="113"/>
      <c r="CI105" s="113"/>
      <c r="CJ105" s="113"/>
      <c r="CK105" s="113"/>
      <c r="CL105" s="113"/>
      <c r="CM105" s="113"/>
      <c r="CN105" s="113"/>
      <c r="CO105" s="113"/>
      <c r="CP105" s="113"/>
      <c r="CQ105" s="113"/>
      <c r="CR105" s="113"/>
      <c r="CS105" s="113"/>
      <c r="CT105" s="113"/>
      <c r="CU105" s="113"/>
      <c r="CV105" s="113"/>
      <c r="CW105" s="113"/>
      <c r="CX105" s="113"/>
      <c r="CY105" s="113"/>
      <c r="CZ105" s="113"/>
      <c r="DA105" s="113"/>
      <c r="DB105" s="113"/>
      <c r="DC105" s="113"/>
      <c r="DD105" s="113"/>
      <c r="DE105" s="113"/>
      <c r="DF105" s="113"/>
      <c r="DG105" s="113"/>
      <c r="DH105" s="113"/>
      <c r="DI105" s="113"/>
      <c r="DJ105" s="113"/>
      <c r="DK105" s="113"/>
      <c r="DL105" s="114"/>
      <c r="DM105" s="47"/>
    </row>
    <row r="106" spans="1:117" x14ac:dyDescent="0.35">
      <c r="E106" s="36"/>
      <c r="F106" s="37"/>
      <c r="G106" s="37"/>
      <c r="H106" s="116"/>
      <c r="I106" s="116"/>
      <c r="J106" s="124" t="str">
        <f t="shared" si="121"/>
        <v>-</v>
      </c>
      <c r="K106" s="38">
        <f t="shared" si="122"/>
        <v>0</v>
      </c>
      <c r="L106" s="39">
        <f t="shared" si="120"/>
        <v>0</v>
      </c>
      <c r="M106" s="113"/>
      <c r="N106" s="113"/>
      <c r="O106" s="113"/>
      <c r="P106" s="113"/>
      <c r="Q106" s="113"/>
      <c r="R106" s="113"/>
      <c r="S106" s="113"/>
      <c r="T106" s="113"/>
      <c r="U106" s="113"/>
      <c r="V106" s="113"/>
      <c r="W106" s="113"/>
      <c r="X106" s="113"/>
      <c r="Y106" s="113"/>
      <c r="Z106" s="113"/>
      <c r="AA106" s="113"/>
      <c r="AB106" s="113"/>
      <c r="AC106" s="113"/>
      <c r="AD106" s="113"/>
      <c r="AE106" s="113"/>
      <c r="AF106" s="113"/>
      <c r="AG106" s="113"/>
      <c r="AH106" s="113"/>
      <c r="AI106" s="113"/>
      <c r="AJ106" s="113"/>
      <c r="AK106" s="113"/>
      <c r="AL106" s="113"/>
      <c r="AM106" s="113"/>
      <c r="AN106" s="113"/>
      <c r="AO106" s="113"/>
      <c r="AP106" s="113"/>
      <c r="AQ106" s="113"/>
      <c r="AR106" s="113"/>
      <c r="AS106" s="113"/>
      <c r="AT106" s="113"/>
      <c r="AU106" s="113"/>
      <c r="AV106" s="113"/>
      <c r="AW106" s="113"/>
      <c r="AX106" s="113"/>
      <c r="AY106" s="113"/>
      <c r="AZ106" s="113"/>
      <c r="BA106" s="113"/>
      <c r="BB106" s="113"/>
      <c r="BC106" s="113"/>
      <c r="BD106" s="113"/>
      <c r="BE106" s="113"/>
      <c r="BF106" s="113"/>
      <c r="BG106" s="113"/>
      <c r="BH106" s="113"/>
      <c r="BI106" s="113"/>
      <c r="BJ106" s="113"/>
      <c r="BK106" s="113"/>
      <c r="BL106" s="113"/>
      <c r="BM106" s="113"/>
      <c r="BN106" s="113"/>
      <c r="BO106" s="113"/>
      <c r="BP106" s="113"/>
      <c r="BQ106" s="113"/>
      <c r="BR106" s="113"/>
      <c r="BS106" s="113"/>
      <c r="BT106" s="113"/>
      <c r="BU106" s="113"/>
      <c r="BV106" s="113"/>
      <c r="BW106" s="113"/>
      <c r="BX106" s="113"/>
      <c r="BY106" s="113"/>
      <c r="BZ106" s="113"/>
      <c r="CA106" s="113"/>
      <c r="CB106" s="113"/>
      <c r="CC106" s="113"/>
      <c r="CD106" s="113"/>
      <c r="CE106" s="113"/>
      <c r="CF106" s="113"/>
      <c r="CG106" s="113"/>
      <c r="CH106" s="113"/>
      <c r="CI106" s="113"/>
      <c r="CJ106" s="113"/>
      <c r="CK106" s="113"/>
      <c r="CL106" s="113"/>
      <c r="CM106" s="113"/>
      <c r="CN106" s="113"/>
      <c r="CO106" s="113"/>
      <c r="CP106" s="113"/>
      <c r="CQ106" s="113"/>
      <c r="CR106" s="113"/>
      <c r="CS106" s="113"/>
      <c r="CT106" s="113"/>
      <c r="CU106" s="113"/>
      <c r="CV106" s="113"/>
      <c r="CW106" s="113"/>
      <c r="CX106" s="113"/>
      <c r="CY106" s="113"/>
      <c r="CZ106" s="113"/>
      <c r="DA106" s="113"/>
      <c r="DB106" s="113"/>
      <c r="DC106" s="113"/>
      <c r="DD106" s="113"/>
      <c r="DE106" s="113"/>
      <c r="DF106" s="113"/>
      <c r="DG106" s="113"/>
      <c r="DH106" s="113"/>
      <c r="DI106" s="113"/>
      <c r="DJ106" s="113"/>
      <c r="DK106" s="113"/>
      <c r="DL106" s="114"/>
      <c r="DM106" s="47"/>
    </row>
    <row r="107" spans="1:117" x14ac:dyDescent="0.35">
      <c r="E107" s="36"/>
      <c r="F107" s="37"/>
      <c r="G107" s="37"/>
      <c r="H107" s="116"/>
      <c r="I107" s="116"/>
      <c r="J107" s="124" t="str">
        <f t="shared" si="121"/>
        <v>-</v>
      </c>
      <c r="K107" s="38">
        <f t="shared" si="122"/>
        <v>0</v>
      </c>
      <c r="L107" s="39">
        <f t="shared" si="120"/>
        <v>0</v>
      </c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  <c r="AA107" s="113"/>
      <c r="AB107" s="113"/>
      <c r="AC107" s="113"/>
      <c r="AD107" s="113"/>
      <c r="AE107" s="113"/>
      <c r="AF107" s="113"/>
      <c r="AG107" s="113"/>
      <c r="AH107" s="113"/>
      <c r="AI107" s="113"/>
      <c r="AJ107" s="113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  <c r="BZ107" s="113"/>
      <c r="CA107" s="113"/>
      <c r="CB107" s="113"/>
      <c r="CC107" s="113"/>
      <c r="CD107" s="113"/>
      <c r="CE107" s="113"/>
      <c r="CF107" s="113"/>
      <c r="CG107" s="113"/>
      <c r="CH107" s="113"/>
      <c r="CI107" s="113"/>
      <c r="CJ107" s="113"/>
      <c r="CK107" s="113"/>
      <c r="CL107" s="113"/>
      <c r="CM107" s="113"/>
      <c r="CN107" s="113"/>
      <c r="CO107" s="113"/>
      <c r="CP107" s="113"/>
      <c r="CQ107" s="113"/>
      <c r="CR107" s="113"/>
      <c r="CS107" s="113"/>
      <c r="CT107" s="113"/>
      <c r="CU107" s="113"/>
      <c r="CV107" s="113"/>
      <c r="CW107" s="113"/>
      <c r="CX107" s="113"/>
      <c r="CY107" s="113"/>
      <c r="CZ107" s="113"/>
      <c r="DA107" s="113"/>
      <c r="DB107" s="113"/>
      <c r="DC107" s="113"/>
      <c r="DD107" s="113"/>
      <c r="DE107" s="113"/>
      <c r="DF107" s="113"/>
      <c r="DG107" s="113"/>
      <c r="DH107" s="113"/>
      <c r="DI107" s="113"/>
      <c r="DJ107" s="113"/>
      <c r="DK107" s="113"/>
      <c r="DL107" s="114"/>
      <c r="DM107" s="47"/>
    </row>
    <row r="108" spans="1:117" x14ac:dyDescent="0.35">
      <c r="E108" s="36"/>
      <c r="F108" s="37"/>
      <c r="G108" s="37"/>
      <c r="H108" s="116"/>
      <c r="I108" s="116"/>
      <c r="J108" s="124" t="str">
        <f t="shared" si="121"/>
        <v>-</v>
      </c>
      <c r="K108" s="38">
        <f t="shared" si="122"/>
        <v>0</v>
      </c>
      <c r="L108" s="39">
        <f t="shared" si="120"/>
        <v>0</v>
      </c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  <c r="AB108" s="113"/>
      <c r="AC108" s="113"/>
      <c r="AD108" s="113"/>
      <c r="AE108" s="113"/>
      <c r="AF108" s="113"/>
      <c r="AG108" s="113"/>
      <c r="AH108" s="113"/>
      <c r="AI108" s="113"/>
      <c r="AJ108" s="113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  <c r="BZ108" s="113"/>
      <c r="CA108" s="113"/>
      <c r="CB108" s="113"/>
      <c r="CC108" s="113"/>
      <c r="CD108" s="113"/>
      <c r="CE108" s="113"/>
      <c r="CF108" s="113"/>
      <c r="CG108" s="113"/>
      <c r="CH108" s="113"/>
      <c r="CI108" s="113"/>
      <c r="CJ108" s="113"/>
      <c r="CK108" s="113"/>
      <c r="CL108" s="113"/>
      <c r="CM108" s="113"/>
      <c r="CN108" s="113"/>
      <c r="CO108" s="113"/>
      <c r="CP108" s="113"/>
      <c r="CQ108" s="113"/>
      <c r="CR108" s="113"/>
      <c r="CS108" s="113"/>
      <c r="CT108" s="113"/>
      <c r="CU108" s="113"/>
      <c r="CV108" s="113"/>
      <c r="CW108" s="113"/>
      <c r="CX108" s="113"/>
      <c r="CY108" s="113"/>
      <c r="CZ108" s="113"/>
      <c r="DA108" s="113"/>
      <c r="DB108" s="113"/>
      <c r="DC108" s="113"/>
      <c r="DD108" s="113"/>
      <c r="DE108" s="113"/>
      <c r="DF108" s="113"/>
      <c r="DG108" s="113"/>
      <c r="DH108" s="113"/>
      <c r="DI108" s="113"/>
      <c r="DJ108" s="113"/>
      <c r="DK108" s="113"/>
      <c r="DL108" s="114"/>
      <c r="DM108" s="47"/>
    </row>
    <row r="109" spans="1:117" x14ac:dyDescent="0.35">
      <c r="E109" s="36"/>
      <c r="F109" s="37"/>
      <c r="G109" s="37"/>
      <c r="H109" s="116"/>
      <c r="I109" s="116"/>
      <c r="J109" s="124" t="str">
        <f t="shared" si="121"/>
        <v>-</v>
      </c>
      <c r="K109" s="38">
        <f t="shared" si="122"/>
        <v>0</v>
      </c>
      <c r="L109" s="39">
        <f t="shared" si="120"/>
        <v>0</v>
      </c>
      <c r="M109" s="113"/>
      <c r="N109" s="113"/>
      <c r="O109" s="113"/>
      <c r="P109" s="113"/>
      <c r="Q109" s="113"/>
      <c r="R109" s="113"/>
      <c r="S109" s="113"/>
      <c r="T109" s="113"/>
      <c r="U109" s="113"/>
      <c r="V109" s="113"/>
      <c r="W109" s="113"/>
      <c r="X109" s="113"/>
      <c r="Y109" s="113"/>
      <c r="Z109" s="113"/>
      <c r="AA109" s="113"/>
      <c r="AB109" s="113"/>
      <c r="AC109" s="113"/>
      <c r="AD109" s="113"/>
      <c r="AE109" s="113"/>
      <c r="AF109" s="113"/>
      <c r="AG109" s="113"/>
      <c r="AH109" s="113"/>
      <c r="AI109" s="113"/>
      <c r="AJ109" s="113"/>
      <c r="AK109" s="113"/>
      <c r="AL109" s="113"/>
      <c r="AM109" s="113"/>
      <c r="AN109" s="113"/>
      <c r="AO109" s="113"/>
      <c r="AP109" s="113"/>
      <c r="AQ109" s="113"/>
      <c r="AR109" s="113"/>
      <c r="AS109" s="113"/>
      <c r="AT109" s="113"/>
      <c r="AU109" s="113"/>
      <c r="AV109" s="113"/>
      <c r="AW109" s="113"/>
      <c r="AX109" s="113"/>
      <c r="AY109" s="113"/>
      <c r="AZ109" s="113"/>
      <c r="BA109" s="113"/>
      <c r="BB109" s="113"/>
      <c r="BC109" s="113"/>
      <c r="BD109" s="113"/>
      <c r="BE109" s="113"/>
      <c r="BF109" s="113"/>
      <c r="BG109" s="113"/>
      <c r="BH109" s="113"/>
      <c r="BI109" s="113"/>
      <c r="BJ109" s="113"/>
      <c r="BK109" s="113"/>
      <c r="BL109" s="113"/>
      <c r="BM109" s="113"/>
      <c r="BN109" s="113"/>
      <c r="BO109" s="113"/>
      <c r="BP109" s="113"/>
      <c r="BQ109" s="113"/>
      <c r="BR109" s="113"/>
      <c r="BS109" s="113"/>
      <c r="BT109" s="113"/>
      <c r="BU109" s="113"/>
      <c r="BV109" s="113"/>
      <c r="BW109" s="113"/>
      <c r="BX109" s="113"/>
      <c r="BY109" s="113"/>
      <c r="BZ109" s="113"/>
      <c r="CA109" s="113"/>
      <c r="CB109" s="113"/>
      <c r="CC109" s="113"/>
      <c r="CD109" s="113"/>
      <c r="CE109" s="113"/>
      <c r="CF109" s="113"/>
      <c r="CG109" s="113"/>
      <c r="CH109" s="113"/>
      <c r="CI109" s="113"/>
      <c r="CJ109" s="113"/>
      <c r="CK109" s="113"/>
      <c r="CL109" s="113"/>
      <c r="CM109" s="113"/>
      <c r="CN109" s="113"/>
      <c r="CO109" s="113"/>
      <c r="CP109" s="113"/>
      <c r="CQ109" s="113"/>
      <c r="CR109" s="113"/>
      <c r="CS109" s="113"/>
      <c r="CT109" s="113"/>
      <c r="CU109" s="113"/>
      <c r="CV109" s="113"/>
      <c r="CW109" s="113"/>
      <c r="CX109" s="113"/>
      <c r="CY109" s="113"/>
      <c r="CZ109" s="113"/>
      <c r="DA109" s="113"/>
      <c r="DB109" s="113"/>
      <c r="DC109" s="113"/>
      <c r="DD109" s="113"/>
      <c r="DE109" s="113"/>
      <c r="DF109" s="113"/>
      <c r="DG109" s="113"/>
      <c r="DH109" s="113"/>
      <c r="DI109" s="113"/>
      <c r="DJ109" s="113"/>
      <c r="DK109" s="113"/>
      <c r="DL109" s="114"/>
      <c r="DM109" s="47"/>
    </row>
    <row r="110" spans="1:117" x14ac:dyDescent="0.35">
      <c r="E110" s="36"/>
      <c r="F110" s="37"/>
      <c r="G110" s="37"/>
      <c r="H110" s="116"/>
      <c r="I110" s="116"/>
      <c r="J110" s="124" t="str">
        <f t="shared" si="121"/>
        <v>-</v>
      </c>
      <c r="K110" s="38">
        <f t="shared" si="122"/>
        <v>0</v>
      </c>
      <c r="L110" s="39">
        <f t="shared" si="120"/>
        <v>0</v>
      </c>
      <c r="M110" s="113"/>
      <c r="N110" s="113"/>
      <c r="O110" s="113"/>
      <c r="P110" s="113"/>
      <c r="Q110" s="113"/>
      <c r="R110" s="113"/>
      <c r="S110" s="113"/>
      <c r="T110" s="113"/>
      <c r="U110" s="113"/>
      <c r="V110" s="113"/>
      <c r="W110" s="113"/>
      <c r="X110" s="113"/>
      <c r="Y110" s="113"/>
      <c r="Z110" s="113"/>
      <c r="AA110" s="113"/>
      <c r="AB110" s="113"/>
      <c r="AC110" s="113"/>
      <c r="AD110" s="113"/>
      <c r="AE110" s="113"/>
      <c r="AF110" s="113"/>
      <c r="AG110" s="113"/>
      <c r="AH110" s="113"/>
      <c r="AI110" s="113"/>
      <c r="AJ110" s="113"/>
      <c r="AK110" s="113"/>
      <c r="AL110" s="113"/>
      <c r="AM110" s="113"/>
      <c r="AN110" s="113"/>
      <c r="AO110" s="113"/>
      <c r="AP110" s="113"/>
      <c r="AQ110" s="113"/>
      <c r="AR110" s="113"/>
      <c r="AS110" s="113"/>
      <c r="AT110" s="113"/>
      <c r="AU110" s="113"/>
      <c r="AV110" s="113"/>
      <c r="AW110" s="113"/>
      <c r="AX110" s="113"/>
      <c r="AY110" s="113"/>
      <c r="AZ110" s="113"/>
      <c r="BA110" s="113"/>
      <c r="BB110" s="113"/>
      <c r="BC110" s="113"/>
      <c r="BD110" s="113"/>
      <c r="BE110" s="113"/>
      <c r="BF110" s="113"/>
      <c r="BG110" s="113"/>
      <c r="BH110" s="113"/>
      <c r="BI110" s="113"/>
      <c r="BJ110" s="113"/>
      <c r="BK110" s="113"/>
      <c r="BL110" s="113"/>
      <c r="BM110" s="113"/>
      <c r="BN110" s="113"/>
      <c r="BO110" s="113"/>
      <c r="BP110" s="113"/>
      <c r="BQ110" s="113"/>
      <c r="BR110" s="113"/>
      <c r="BS110" s="113"/>
      <c r="BT110" s="113"/>
      <c r="BU110" s="113"/>
      <c r="BV110" s="113"/>
      <c r="BW110" s="113"/>
      <c r="BX110" s="113"/>
      <c r="BY110" s="113"/>
      <c r="BZ110" s="113"/>
      <c r="CA110" s="113"/>
      <c r="CB110" s="113"/>
      <c r="CC110" s="113"/>
      <c r="CD110" s="113"/>
      <c r="CE110" s="113"/>
      <c r="CF110" s="113"/>
      <c r="CG110" s="113"/>
      <c r="CH110" s="113"/>
      <c r="CI110" s="113"/>
      <c r="CJ110" s="113"/>
      <c r="CK110" s="113"/>
      <c r="CL110" s="113"/>
      <c r="CM110" s="113"/>
      <c r="CN110" s="113"/>
      <c r="CO110" s="113"/>
      <c r="CP110" s="113"/>
      <c r="CQ110" s="113"/>
      <c r="CR110" s="113"/>
      <c r="CS110" s="113"/>
      <c r="CT110" s="113"/>
      <c r="CU110" s="113"/>
      <c r="CV110" s="113"/>
      <c r="CW110" s="113"/>
      <c r="CX110" s="113"/>
      <c r="CY110" s="113"/>
      <c r="CZ110" s="113"/>
      <c r="DA110" s="113"/>
      <c r="DB110" s="113"/>
      <c r="DC110" s="113"/>
      <c r="DD110" s="113"/>
      <c r="DE110" s="113"/>
      <c r="DF110" s="113"/>
      <c r="DG110" s="113"/>
      <c r="DH110" s="113"/>
      <c r="DI110" s="113"/>
      <c r="DJ110" s="113"/>
      <c r="DK110" s="113"/>
      <c r="DL110" s="114"/>
      <c r="DM110" s="47"/>
    </row>
    <row r="111" spans="1:117" x14ac:dyDescent="0.35">
      <c r="E111" s="36"/>
      <c r="F111" s="37"/>
      <c r="G111" s="37"/>
      <c r="H111" s="116"/>
      <c r="I111" s="116"/>
      <c r="J111" s="124" t="str">
        <f t="shared" si="121"/>
        <v>-</v>
      </c>
      <c r="K111" s="38">
        <f t="shared" si="122"/>
        <v>0</v>
      </c>
      <c r="L111" s="39">
        <f t="shared" si="120"/>
        <v>0</v>
      </c>
      <c r="M111" s="113"/>
      <c r="N111" s="113"/>
      <c r="O111" s="113"/>
      <c r="P111" s="113"/>
      <c r="Q111" s="113"/>
      <c r="R111" s="113"/>
      <c r="S111" s="113"/>
      <c r="T111" s="113"/>
      <c r="U111" s="113"/>
      <c r="V111" s="113"/>
      <c r="W111" s="113"/>
      <c r="X111" s="113"/>
      <c r="Y111" s="113"/>
      <c r="Z111" s="113"/>
      <c r="AA111" s="113"/>
      <c r="AB111" s="113"/>
      <c r="AC111" s="113"/>
      <c r="AD111" s="113"/>
      <c r="AE111" s="113"/>
      <c r="AF111" s="113"/>
      <c r="AG111" s="113"/>
      <c r="AH111" s="113"/>
      <c r="AI111" s="113"/>
      <c r="AJ111" s="113"/>
      <c r="AK111" s="113"/>
      <c r="AL111" s="113"/>
      <c r="AM111" s="113"/>
      <c r="AN111" s="113"/>
      <c r="AO111" s="113"/>
      <c r="AP111" s="113"/>
      <c r="AQ111" s="113"/>
      <c r="AR111" s="113"/>
      <c r="AS111" s="113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  <c r="BZ111" s="113"/>
      <c r="CA111" s="113"/>
      <c r="CB111" s="113"/>
      <c r="CC111" s="113"/>
      <c r="CD111" s="113"/>
      <c r="CE111" s="113"/>
      <c r="CF111" s="113"/>
      <c r="CG111" s="113"/>
      <c r="CH111" s="113"/>
      <c r="CI111" s="113"/>
      <c r="CJ111" s="113"/>
      <c r="CK111" s="113"/>
      <c r="CL111" s="113"/>
      <c r="CM111" s="113"/>
      <c r="CN111" s="113"/>
      <c r="CO111" s="113"/>
      <c r="CP111" s="113"/>
      <c r="CQ111" s="113"/>
      <c r="CR111" s="113"/>
      <c r="CS111" s="113"/>
      <c r="CT111" s="113"/>
      <c r="CU111" s="113"/>
      <c r="CV111" s="113"/>
      <c r="CW111" s="113"/>
      <c r="CX111" s="113"/>
      <c r="CY111" s="113"/>
      <c r="CZ111" s="113"/>
      <c r="DA111" s="113"/>
      <c r="DB111" s="113"/>
      <c r="DC111" s="113"/>
      <c r="DD111" s="113"/>
      <c r="DE111" s="113"/>
      <c r="DF111" s="113"/>
      <c r="DG111" s="113"/>
      <c r="DH111" s="113"/>
      <c r="DI111" s="113"/>
      <c r="DJ111" s="113"/>
      <c r="DK111" s="113"/>
      <c r="DL111" s="114"/>
      <c r="DM111" s="47"/>
    </row>
    <row r="112" spans="1:117" x14ac:dyDescent="0.35">
      <c r="E112" s="36"/>
      <c r="F112" s="37"/>
      <c r="G112" s="37"/>
      <c r="H112" s="116"/>
      <c r="I112" s="116"/>
      <c r="J112" s="124" t="str">
        <f t="shared" si="121"/>
        <v>-</v>
      </c>
      <c r="K112" s="38">
        <f t="shared" si="122"/>
        <v>0</v>
      </c>
      <c r="L112" s="39">
        <f t="shared" si="120"/>
        <v>0</v>
      </c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  <c r="AA112" s="113"/>
      <c r="AB112" s="113"/>
      <c r="AC112" s="113"/>
      <c r="AD112" s="113"/>
      <c r="AE112" s="113"/>
      <c r="AF112" s="113"/>
      <c r="AG112" s="113"/>
      <c r="AH112" s="113"/>
      <c r="AI112" s="113"/>
      <c r="AJ112" s="113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  <c r="BZ112" s="113"/>
      <c r="CA112" s="113"/>
      <c r="CB112" s="113"/>
      <c r="CC112" s="113"/>
      <c r="CD112" s="113"/>
      <c r="CE112" s="113"/>
      <c r="CF112" s="113"/>
      <c r="CG112" s="113"/>
      <c r="CH112" s="113"/>
      <c r="CI112" s="113"/>
      <c r="CJ112" s="113"/>
      <c r="CK112" s="113"/>
      <c r="CL112" s="113"/>
      <c r="CM112" s="113"/>
      <c r="CN112" s="113"/>
      <c r="CO112" s="113"/>
      <c r="CP112" s="113"/>
      <c r="CQ112" s="113"/>
      <c r="CR112" s="113"/>
      <c r="CS112" s="113"/>
      <c r="CT112" s="113"/>
      <c r="CU112" s="113"/>
      <c r="CV112" s="113"/>
      <c r="CW112" s="113"/>
      <c r="CX112" s="113"/>
      <c r="CY112" s="113"/>
      <c r="CZ112" s="113"/>
      <c r="DA112" s="113"/>
      <c r="DB112" s="113"/>
      <c r="DC112" s="113"/>
      <c r="DD112" s="113"/>
      <c r="DE112" s="113"/>
      <c r="DF112" s="113"/>
      <c r="DG112" s="113"/>
      <c r="DH112" s="113"/>
      <c r="DI112" s="113"/>
      <c r="DJ112" s="113"/>
      <c r="DK112" s="113"/>
      <c r="DL112" s="114"/>
      <c r="DM112" s="47"/>
    </row>
    <row r="113" spans="5:117" x14ac:dyDescent="0.35">
      <c r="E113" s="36"/>
      <c r="F113" s="37"/>
      <c r="G113" s="37"/>
      <c r="H113" s="116"/>
      <c r="I113" s="116"/>
      <c r="J113" s="124" t="str">
        <f t="shared" si="121"/>
        <v>-</v>
      </c>
      <c r="K113" s="38">
        <f t="shared" si="122"/>
        <v>0</v>
      </c>
      <c r="L113" s="39">
        <f t="shared" si="120"/>
        <v>0</v>
      </c>
      <c r="M113" s="113"/>
      <c r="N113" s="113"/>
      <c r="O113" s="113"/>
      <c r="P113" s="113"/>
      <c r="Q113" s="113"/>
      <c r="R113" s="113"/>
      <c r="S113" s="113"/>
      <c r="T113" s="113"/>
      <c r="U113" s="113"/>
      <c r="V113" s="113"/>
      <c r="W113" s="113"/>
      <c r="X113" s="113"/>
      <c r="Y113" s="113"/>
      <c r="Z113" s="113"/>
      <c r="AA113" s="113"/>
      <c r="AB113" s="113"/>
      <c r="AC113" s="113"/>
      <c r="AD113" s="113"/>
      <c r="AE113" s="113"/>
      <c r="AF113" s="113"/>
      <c r="AG113" s="113"/>
      <c r="AH113" s="113"/>
      <c r="AI113" s="113"/>
      <c r="AJ113" s="113"/>
      <c r="AK113" s="113"/>
      <c r="AL113" s="113"/>
      <c r="AM113" s="113"/>
      <c r="AN113" s="113"/>
      <c r="AO113" s="113"/>
      <c r="AP113" s="113"/>
      <c r="AQ113" s="113"/>
      <c r="AR113" s="113"/>
      <c r="AS113" s="113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  <c r="BZ113" s="113"/>
      <c r="CA113" s="113"/>
      <c r="CB113" s="113"/>
      <c r="CC113" s="113"/>
      <c r="CD113" s="113"/>
      <c r="CE113" s="113"/>
      <c r="CF113" s="113"/>
      <c r="CG113" s="113"/>
      <c r="CH113" s="113"/>
      <c r="CI113" s="113"/>
      <c r="CJ113" s="113"/>
      <c r="CK113" s="113"/>
      <c r="CL113" s="113"/>
      <c r="CM113" s="113"/>
      <c r="CN113" s="113"/>
      <c r="CO113" s="113"/>
      <c r="CP113" s="113"/>
      <c r="CQ113" s="113"/>
      <c r="CR113" s="113"/>
      <c r="CS113" s="113"/>
      <c r="CT113" s="113"/>
      <c r="CU113" s="113"/>
      <c r="CV113" s="113"/>
      <c r="CW113" s="113"/>
      <c r="CX113" s="113"/>
      <c r="CY113" s="113"/>
      <c r="CZ113" s="113"/>
      <c r="DA113" s="113"/>
      <c r="DB113" s="113"/>
      <c r="DC113" s="113"/>
      <c r="DD113" s="113"/>
      <c r="DE113" s="113"/>
      <c r="DF113" s="113"/>
      <c r="DG113" s="113"/>
      <c r="DH113" s="113"/>
      <c r="DI113" s="113"/>
      <c r="DJ113" s="113"/>
      <c r="DK113" s="113"/>
      <c r="DL113" s="114"/>
      <c r="DM113" s="47"/>
    </row>
    <row r="114" spans="5:117" x14ac:dyDescent="0.35">
      <c r="E114" s="36"/>
      <c r="F114" s="37"/>
      <c r="G114" s="37"/>
      <c r="H114" s="116"/>
      <c r="I114" s="116"/>
      <c r="J114" s="124" t="str">
        <f t="shared" si="121"/>
        <v>-</v>
      </c>
      <c r="K114" s="38">
        <f t="shared" si="122"/>
        <v>0</v>
      </c>
      <c r="L114" s="39">
        <f t="shared" si="120"/>
        <v>0</v>
      </c>
      <c r="M114" s="113"/>
      <c r="N114" s="113"/>
      <c r="O114" s="113"/>
      <c r="P114" s="113"/>
      <c r="Q114" s="113"/>
      <c r="R114" s="113"/>
      <c r="S114" s="113"/>
      <c r="T114" s="113"/>
      <c r="U114" s="113"/>
      <c r="V114" s="113"/>
      <c r="W114" s="113"/>
      <c r="X114" s="113"/>
      <c r="Y114" s="113"/>
      <c r="Z114" s="113"/>
      <c r="AA114" s="113"/>
      <c r="AB114" s="113"/>
      <c r="AC114" s="113"/>
      <c r="AD114" s="113"/>
      <c r="AE114" s="113"/>
      <c r="AF114" s="113"/>
      <c r="AG114" s="113"/>
      <c r="AH114" s="113"/>
      <c r="AI114" s="113"/>
      <c r="AJ114" s="113"/>
      <c r="AK114" s="113"/>
      <c r="AL114" s="113"/>
      <c r="AM114" s="113"/>
      <c r="AN114" s="113"/>
      <c r="AO114" s="113"/>
      <c r="AP114" s="113"/>
      <c r="AQ114" s="113"/>
      <c r="AR114" s="113"/>
      <c r="AS114" s="113"/>
      <c r="AT114" s="113"/>
      <c r="AU114" s="113"/>
      <c r="AV114" s="113"/>
      <c r="AW114" s="113"/>
      <c r="AX114" s="113"/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  <c r="BZ114" s="113"/>
      <c r="CA114" s="113"/>
      <c r="CB114" s="113"/>
      <c r="CC114" s="113"/>
      <c r="CD114" s="113"/>
      <c r="CE114" s="113"/>
      <c r="CF114" s="113"/>
      <c r="CG114" s="113"/>
      <c r="CH114" s="113"/>
      <c r="CI114" s="113"/>
      <c r="CJ114" s="113"/>
      <c r="CK114" s="113"/>
      <c r="CL114" s="113"/>
      <c r="CM114" s="113"/>
      <c r="CN114" s="113"/>
      <c r="CO114" s="113"/>
      <c r="CP114" s="113"/>
      <c r="CQ114" s="113"/>
      <c r="CR114" s="113"/>
      <c r="CS114" s="113"/>
      <c r="CT114" s="113"/>
      <c r="CU114" s="113"/>
      <c r="CV114" s="113"/>
      <c r="CW114" s="113"/>
      <c r="CX114" s="113"/>
      <c r="CY114" s="113"/>
      <c r="CZ114" s="113"/>
      <c r="DA114" s="113"/>
      <c r="DB114" s="113"/>
      <c r="DC114" s="113"/>
      <c r="DD114" s="113"/>
      <c r="DE114" s="113"/>
      <c r="DF114" s="113"/>
      <c r="DG114" s="113"/>
      <c r="DH114" s="113"/>
      <c r="DI114" s="113"/>
      <c r="DJ114" s="113"/>
      <c r="DK114" s="113"/>
      <c r="DL114" s="114"/>
      <c r="DM114" s="47"/>
    </row>
    <row r="115" spans="5:117" x14ac:dyDescent="0.35">
      <c r="E115" s="36"/>
      <c r="F115" s="37"/>
      <c r="G115" s="37"/>
      <c r="H115" s="116"/>
      <c r="I115" s="116"/>
      <c r="J115" s="124" t="str">
        <f t="shared" si="121"/>
        <v>-</v>
      </c>
      <c r="K115" s="38">
        <f t="shared" si="122"/>
        <v>0</v>
      </c>
      <c r="L115" s="39">
        <f t="shared" si="120"/>
        <v>0</v>
      </c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  <c r="AB115" s="113"/>
      <c r="AC115" s="113"/>
      <c r="AD115" s="113"/>
      <c r="AE115" s="113"/>
      <c r="AF115" s="113"/>
      <c r="AG115" s="113"/>
      <c r="AH115" s="113"/>
      <c r="AI115" s="113"/>
      <c r="AJ115" s="113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  <c r="BZ115" s="113"/>
      <c r="CA115" s="113"/>
      <c r="CB115" s="113"/>
      <c r="CC115" s="113"/>
      <c r="CD115" s="113"/>
      <c r="CE115" s="113"/>
      <c r="CF115" s="113"/>
      <c r="CG115" s="113"/>
      <c r="CH115" s="113"/>
      <c r="CI115" s="113"/>
      <c r="CJ115" s="113"/>
      <c r="CK115" s="113"/>
      <c r="CL115" s="113"/>
      <c r="CM115" s="113"/>
      <c r="CN115" s="113"/>
      <c r="CO115" s="113"/>
      <c r="CP115" s="113"/>
      <c r="CQ115" s="113"/>
      <c r="CR115" s="113"/>
      <c r="CS115" s="113"/>
      <c r="CT115" s="113"/>
      <c r="CU115" s="113"/>
      <c r="CV115" s="113"/>
      <c r="CW115" s="113"/>
      <c r="CX115" s="113"/>
      <c r="CY115" s="113"/>
      <c r="CZ115" s="113"/>
      <c r="DA115" s="113"/>
      <c r="DB115" s="113"/>
      <c r="DC115" s="113"/>
      <c r="DD115" s="113"/>
      <c r="DE115" s="113"/>
      <c r="DF115" s="113"/>
      <c r="DG115" s="113"/>
      <c r="DH115" s="113"/>
      <c r="DI115" s="113"/>
      <c r="DJ115" s="113"/>
      <c r="DK115" s="113"/>
      <c r="DL115" s="114"/>
      <c r="DM115" s="47"/>
    </row>
    <row r="116" spans="5:117" x14ac:dyDescent="0.35">
      <c r="E116" s="36"/>
      <c r="F116" s="37"/>
      <c r="G116" s="37"/>
      <c r="H116" s="116"/>
      <c r="I116" s="116"/>
      <c r="J116" s="124" t="str">
        <f t="shared" si="121"/>
        <v>-</v>
      </c>
      <c r="K116" s="38">
        <f t="shared" si="122"/>
        <v>0</v>
      </c>
      <c r="L116" s="39">
        <f t="shared" si="120"/>
        <v>0</v>
      </c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  <c r="AB116" s="113"/>
      <c r="AC116" s="113"/>
      <c r="AD116" s="113"/>
      <c r="AE116" s="113"/>
      <c r="AF116" s="113"/>
      <c r="AG116" s="113"/>
      <c r="AH116" s="113"/>
      <c r="AI116" s="113"/>
      <c r="AJ116" s="113"/>
      <c r="AK116" s="113"/>
      <c r="AL116" s="113"/>
      <c r="AM116" s="113"/>
      <c r="AN116" s="113"/>
      <c r="AO116" s="113"/>
      <c r="AP116" s="113"/>
      <c r="AQ116" s="113"/>
      <c r="AR116" s="113"/>
      <c r="AS116" s="113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  <c r="BZ116" s="113"/>
      <c r="CA116" s="113"/>
      <c r="CB116" s="113"/>
      <c r="CC116" s="113"/>
      <c r="CD116" s="113"/>
      <c r="CE116" s="113"/>
      <c r="CF116" s="113"/>
      <c r="CG116" s="113"/>
      <c r="CH116" s="113"/>
      <c r="CI116" s="113"/>
      <c r="CJ116" s="113"/>
      <c r="CK116" s="113"/>
      <c r="CL116" s="113"/>
      <c r="CM116" s="113"/>
      <c r="CN116" s="113"/>
      <c r="CO116" s="113"/>
      <c r="CP116" s="113"/>
      <c r="CQ116" s="113"/>
      <c r="CR116" s="113"/>
      <c r="CS116" s="113"/>
      <c r="CT116" s="113"/>
      <c r="CU116" s="113"/>
      <c r="CV116" s="113"/>
      <c r="CW116" s="113"/>
      <c r="CX116" s="113"/>
      <c r="CY116" s="113"/>
      <c r="CZ116" s="113"/>
      <c r="DA116" s="113"/>
      <c r="DB116" s="113"/>
      <c r="DC116" s="113"/>
      <c r="DD116" s="113"/>
      <c r="DE116" s="113"/>
      <c r="DF116" s="113"/>
      <c r="DG116" s="113"/>
      <c r="DH116" s="113"/>
      <c r="DI116" s="113"/>
      <c r="DJ116" s="113"/>
      <c r="DK116" s="113"/>
      <c r="DL116" s="114"/>
      <c r="DM116" s="47"/>
    </row>
    <row r="117" spans="5:117" x14ac:dyDescent="0.35">
      <c r="E117" s="36"/>
      <c r="F117" s="37"/>
      <c r="G117" s="37"/>
      <c r="H117" s="116"/>
      <c r="I117" s="116"/>
      <c r="J117" s="124" t="str">
        <f t="shared" si="121"/>
        <v>-</v>
      </c>
      <c r="K117" s="38">
        <f t="shared" si="122"/>
        <v>0</v>
      </c>
      <c r="L117" s="39">
        <f t="shared" si="120"/>
        <v>0</v>
      </c>
      <c r="M117" s="113"/>
      <c r="N117" s="113"/>
      <c r="O117" s="113"/>
      <c r="P117" s="113"/>
      <c r="Q117" s="113"/>
      <c r="R117" s="113"/>
      <c r="S117" s="113"/>
      <c r="T117" s="113"/>
      <c r="U117" s="113"/>
      <c r="V117" s="113"/>
      <c r="W117" s="113"/>
      <c r="X117" s="113"/>
      <c r="Y117" s="113"/>
      <c r="Z117" s="113"/>
      <c r="AA117" s="113"/>
      <c r="AB117" s="113"/>
      <c r="AC117" s="113"/>
      <c r="AD117" s="113"/>
      <c r="AE117" s="113"/>
      <c r="AF117" s="113"/>
      <c r="AG117" s="113"/>
      <c r="AH117" s="113"/>
      <c r="AI117" s="113"/>
      <c r="AJ117" s="113"/>
      <c r="AK117" s="113"/>
      <c r="AL117" s="113"/>
      <c r="AM117" s="113"/>
      <c r="AN117" s="113"/>
      <c r="AO117" s="113"/>
      <c r="AP117" s="113"/>
      <c r="AQ117" s="113"/>
      <c r="AR117" s="113"/>
      <c r="AS117" s="113"/>
      <c r="AT117" s="113"/>
      <c r="AU117" s="113"/>
      <c r="AV117" s="113"/>
      <c r="AW117" s="113"/>
      <c r="AX117" s="113"/>
      <c r="AY117" s="113"/>
      <c r="AZ117" s="113"/>
      <c r="BA117" s="113"/>
      <c r="BB117" s="113"/>
      <c r="BC117" s="113"/>
      <c r="BD117" s="113"/>
      <c r="BE117" s="113"/>
      <c r="BF117" s="113"/>
      <c r="BG117" s="113"/>
      <c r="BH117" s="113"/>
      <c r="BI117" s="113"/>
      <c r="BJ117" s="113"/>
      <c r="BK117" s="113"/>
      <c r="BL117" s="113"/>
      <c r="BM117" s="113"/>
      <c r="BN117" s="113"/>
      <c r="BO117" s="113"/>
      <c r="BP117" s="113"/>
      <c r="BQ117" s="113"/>
      <c r="BR117" s="113"/>
      <c r="BS117" s="113"/>
      <c r="BT117" s="113"/>
      <c r="BU117" s="113"/>
      <c r="BV117" s="113"/>
      <c r="BW117" s="113"/>
      <c r="BX117" s="113"/>
      <c r="BY117" s="113"/>
      <c r="BZ117" s="113"/>
      <c r="CA117" s="113"/>
      <c r="CB117" s="113"/>
      <c r="CC117" s="113"/>
      <c r="CD117" s="113"/>
      <c r="CE117" s="113"/>
      <c r="CF117" s="113"/>
      <c r="CG117" s="113"/>
      <c r="CH117" s="113"/>
      <c r="CI117" s="113"/>
      <c r="CJ117" s="113"/>
      <c r="CK117" s="113"/>
      <c r="CL117" s="113"/>
      <c r="CM117" s="113"/>
      <c r="CN117" s="113"/>
      <c r="CO117" s="113"/>
      <c r="CP117" s="113"/>
      <c r="CQ117" s="113"/>
      <c r="CR117" s="113"/>
      <c r="CS117" s="113"/>
      <c r="CT117" s="113"/>
      <c r="CU117" s="113"/>
      <c r="CV117" s="113"/>
      <c r="CW117" s="113"/>
      <c r="CX117" s="113"/>
      <c r="CY117" s="113"/>
      <c r="CZ117" s="113"/>
      <c r="DA117" s="113"/>
      <c r="DB117" s="113"/>
      <c r="DC117" s="113"/>
      <c r="DD117" s="113"/>
      <c r="DE117" s="113"/>
      <c r="DF117" s="113"/>
      <c r="DG117" s="113"/>
      <c r="DH117" s="113"/>
      <c r="DI117" s="113"/>
      <c r="DJ117" s="113"/>
      <c r="DK117" s="113"/>
      <c r="DL117" s="114"/>
      <c r="DM117" s="47"/>
    </row>
    <row r="118" spans="5:117" ht="15" thickBot="1" x14ac:dyDescent="0.4">
      <c r="E118" s="3" t="s">
        <v>275</v>
      </c>
      <c r="F118" s="41"/>
      <c r="G118" s="41"/>
      <c r="H118" s="41"/>
      <c r="I118" s="8" t="s">
        <v>150</v>
      </c>
      <c r="J118" s="125" t="str">
        <f>IFERROR(1-(K118/SUMPRODUCT(H88:H117,L88:L117)),"-")</f>
        <v>-</v>
      </c>
      <c r="K118" s="98">
        <f t="shared" ref="K118:AO118" si="123">SUM(K88:K117)</f>
        <v>0</v>
      </c>
      <c r="L118" s="99">
        <f t="shared" si="123"/>
        <v>0</v>
      </c>
      <c r="M118" s="4">
        <f t="shared" si="123"/>
        <v>0</v>
      </c>
      <c r="N118" s="4">
        <f t="shared" si="123"/>
        <v>0</v>
      </c>
      <c r="O118" s="4">
        <f t="shared" si="123"/>
        <v>0</v>
      </c>
      <c r="P118" s="4">
        <f t="shared" si="123"/>
        <v>0</v>
      </c>
      <c r="Q118" s="4">
        <f t="shared" si="123"/>
        <v>0</v>
      </c>
      <c r="R118" s="4">
        <f t="shared" si="123"/>
        <v>0</v>
      </c>
      <c r="S118" s="4">
        <f t="shared" si="123"/>
        <v>0</v>
      </c>
      <c r="T118" s="4">
        <f t="shared" si="123"/>
        <v>0</v>
      </c>
      <c r="U118" s="4">
        <f t="shared" si="123"/>
        <v>0</v>
      </c>
      <c r="V118" s="4">
        <f t="shared" si="123"/>
        <v>0</v>
      </c>
      <c r="W118" s="4">
        <f t="shared" si="123"/>
        <v>0</v>
      </c>
      <c r="X118" s="4">
        <f t="shared" si="123"/>
        <v>0</v>
      </c>
      <c r="Y118" s="4">
        <f t="shared" si="123"/>
        <v>0</v>
      </c>
      <c r="Z118" s="4">
        <f t="shared" si="123"/>
        <v>0</v>
      </c>
      <c r="AA118" s="4">
        <f t="shared" si="123"/>
        <v>0</v>
      </c>
      <c r="AB118" s="4">
        <f t="shared" si="123"/>
        <v>0</v>
      </c>
      <c r="AC118" s="4">
        <f t="shared" si="123"/>
        <v>0</v>
      </c>
      <c r="AD118" s="4">
        <f t="shared" si="123"/>
        <v>0</v>
      </c>
      <c r="AE118" s="4">
        <f t="shared" si="123"/>
        <v>0</v>
      </c>
      <c r="AF118" s="4">
        <f t="shared" si="123"/>
        <v>0</v>
      </c>
      <c r="AG118" s="4">
        <f t="shared" si="123"/>
        <v>0</v>
      </c>
      <c r="AH118" s="4">
        <f t="shared" si="123"/>
        <v>0</v>
      </c>
      <c r="AI118" s="4">
        <f t="shared" si="123"/>
        <v>0</v>
      </c>
      <c r="AJ118" s="4">
        <f t="shared" si="123"/>
        <v>0</v>
      </c>
      <c r="AK118" s="4">
        <f t="shared" si="123"/>
        <v>0</v>
      </c>
      <c r="AL118" s="4">
        <f t="shared" si="123"/>
        <v>0</v>
      </c>
      <c r="AM118" s="4">
        <f t="shared" si="123"/>
        <v>0</v>
      </c>
      <c r="AN118" s="4">
        <f t="shared" si="123"/>
        <v>0</v>
      </c>
      <c r="AO118" s="4">
        <f t="shared" si="123"/>
        <v>0</v>
      </c>
      <c r="AP118" s="4">
        <f t="shared" ref="AP118:BU118" si="124">SUM(AP88:AP117)</f>
        <v>0</v>
      </c>
      <c r="AQ118" s="4">
        <f t="shared" si="124"/>
        <v>0</v>
      </c>
      <c r="AR118" s="4">
        <f t="shared" si="124"/>
        <v>0</v>
      </c>
      <c r="AS118" s="4">
        <f t="shared" si="124"/>
        <v>0</v>
      </c>
      <c r="AT118" s="4">
        <f t="shared" si="124"/>
        <v>0</v>
      </c>
      <c r="AU118" s="4">
        <f t="shared" si="124"/>
        <v>0</v>
      </c>
      <c r="AV118" s="4">
        <f t="shared" si="124"/>
        <v>0</v>
      </c>
      <c r="AW118" s="4">
        <f t="shared" si="124"/>
        <v>0</v>
      </c>
      <c r="AX118" s="4">
        <f t="shared" si="124"/>
        <v>0</v>
      </c>
      <c r="AY118" s="4">
        <f t="shared" si="124"/>
        <v>0</v>
      </c>
      <c r="AZ118" s="4">
        <f t="shared" si="124"/>
        <v>0</v>
      </c>
      <c r="BA118" s="4">
        <f t="shared" si="124"/>
        <v>0</v>
      </c>
      <c r="BB118" s="4">
        <f t="shared" si="124"/>
        <v>0</v>
      </c>
      <c r="BC118" s="4">
        <f t="shared" si="124"/>
        <v>0</v>
      </c>
      <c r="BD118" s="4">
        <f t="shared" si="124"/>
        <v>0</v>
      </c>
      <c r="BE118" s="4">
        <f t="shared" si="124"/>
        <v>0</v>
      </c>
      <c r="BF118" s="4">
        <f t="shared" si="124"/>
        <v>0</v>
      </c>
      <c r="BG118" s="4">
        <f t="shared" si="124"/>
        <v>0</v>
      </c>
      <c r="BH118" s="4">
        <f t="shared" si="124"/>
        <v>0</v>
      </c>
      <c r="BI118" s="4">
        <f t="shared" si="124"/>
        <v>0</v>
      </c>
      <c r="BJ118" s="4">
        <f t="shared" si="124"/>
        <v>0</v>
      </c>
      <c r="BK118" s="4">
        <f t="shared" si="124"/>
        <v>0</v>
      </c>
      <c r="BL118" s="4">
        <f t="shared" si="124"/>
        <v>0</v>
      </c>
      <c r="BM118" s="4">
        <f t="shared" si="124"/>
        <v>0</v>
      </c>
      <c r="BN118" s="4">
        <f t="shared" si="124"/>
        <v>0</v>
      </c>
      <c r="BO118" s="4">
        <f t="shared" si="124"/>
        <v>0</v>
      </c>
      <c r="BP118" s="4">
        <f t="shared" si="124"/>
        <v>0</v>
      </c>
      <c r="BQ118" s="4">
        <f t="shared" si="124"/>
        <v>0</v>
      </c>
      <c r="BR118" s="4">
        <f t="shared" si="124"/>
        <v>0</v>
      </c>
      <c r="BS118" s="4">
        <f t="shared" si="124"/>
        <v>0</v>
      </c>
      <c r="BT118" s="4">
        <f t="shared" si="124"/>
        <v>0</v>
      </c>
      <c r="BU118" s="4">
        <f t="shared" si="124"/>
        <v>0</v>
      </c>
      <c r="BV118" s="4">
        <f t="shared" ref="BV118:DA118" si="125">SUM(BV88:BV117)</f>
        <v>0</v>
      </c>
      <c r="BW118" s="4">
        <f t="shared" si="125"/>
        <v>0</v>
      </c>
      <c r="BX118" s="4">
        <f t="shared" si="125"/>
        <v>0</v>
      </c>
      <c r="BY118" s="4">
        <f t="shared" si="125"/>
        <v>0</v>
      </c>
      <c r="BZ118" s="4">
        <f t="shared" si="125"/>
        <v>0</v>
      </c>
      <c r="CA118" s="4">
        <f t="shared" si="125"/>
        <v>0</v>
      </c>
      <c r="CB118" s="4">
        <f t="shared" si="125"/>
        <v>0</v>
      </c>
      <c r="CC118" s="4">
        <f t="shared" si="125"/>
        <v>0</v>
      </c>
      <c r="CD118" s="4">
        <f t="shared" si="125"/>
        <v>0</v>
      </c>
      <c r="CE118" s="4">
        <f t="shared" si="125"/>
        <v>0</v>
      </c>
      <c r="CF118" s="4">
        <f t="shared" si="125"/>
        <v>0</v>
      </c>
      <c r="CG118" s="4">
        <f t="shared" si="125"/>
        <v>0</v>
      </c>
      <c r="CH118" s="4">
        <f t="shared" si="125"/>
        <v>0</v>
      </c>
      <c r="CI118" s="4">
        <f t="shared" si="125"/>
        <v>0</v>
      </c>
      <c r="CJ118" s="4">
        <f t="shared" si="125"/>
        <v>0</v>
      </c>
      <c r="CK118" s="4">
        <f t="shared" si="125"/>
        <v>0</v>
      </c>
      <c r="CL118" s="4">
        <f t="shared" si="125"/>
        <v>0</v>
      </c>
      <c r="CM118" s="4">
        <f t="shared" si="125"/>
        <v>0</v>
      </c>
      <c r="CN118" s="4">
        <f t="shared" si="125"/>
        <v>0</v>
      </c>
      <c r="CO118" s="4">
        <f t="shared" si="125"/>
        <v>0</v>
      </c>
      <c r="CP118" s="4">
        <f t="shared" si="125"/>
        <v>0</v>
      </c>
      <c r="CQ118" s="4">
        <f t="shared" si="125"/>
        <v>0</v>
      </c>
      <c r="CR118" s="4">
        <f t="shared" si="125"/>
        <v>0</v>
      </c>
      <c r="CS118" s="4">
        <f t="shared" si="125"/>
        <v>0</v>
      </c>
      <c r="CT118" s="4">
        <f t="shared" si="125"/>
        <v>0</v>
      </c>
      <c r="CU118" s="4">
        <f t="shared" si="125"/>
        <v>0</v>
      </c>
      <c r="CV118" s="4">
        <f t="shared" si="125"/>
        <v>0</v>
      </c>
      <c r="CW118" s="4">
        <f t="shared" si="125"/>
        <v>0</v>
      </c>
      <c r="CX118" s="4">
        <f t="shared" si="125"/>
        <v>0</v>
      </c>
      <c r="CY118" s="4">
        <f t="shared" si="125"/>
        <v>0</v>
      </c>
      <c r="CZ118" s="4">
        <f t="shared" si="125"/>
        <v>0</v>
      </c>
      <c r="DA118" s="4">
        <f t="shared" si="125"/>
        <v>0</v>
      </c>
      <c r="DB118" s="4">
        <f t="shared" ref="DB118:DL118" si="126">SUM(DB88:DB117)</f>
        <v>0</v>
      </c>
      <c r="DC118" s="4">
        <f t="shared" si="126"/>
        <v>0</v>
      </c>
      <c r="DD118" s="4">
        <f t="shared" si="126"/>
        <v>0</v>
      </c>
      <c r="DE118" s="4">
        <f t="shared" si="126"/>
        <v>0</v>
      </c>
      <c r="DF118" s="4">
        <f t="shared" si="126"/>
        <v>0</v>
      </c>
      <c r="DG118" s="4">
        <f t="shared" si="126"/>
        <v>0</v>
      </c>
      <c r="DH118" s="4">
        <f t="shared" si="126"/>
        <v>0</v>
      </c>
      <c r="DI118" s="4">
        <f t="shared" si="126"/>
        <v>0</v>
      </c>
      <c r="DJ118" s="4">
        <f t="shared" si="126"/>
        <v>0</v>
      </c>
      <c r="DK118" s="4">
        <f t="shared" si="126"/>
        <v>0</v>
      </c>
      <c r="DL118" s="4">
        <f t="shared" si="126"/>
        <v>0</v>
      </c>
      <c r="DM118" s="47"/>
    </row>
    <row r="119" spans="5:117" ht="15" thickBot="1" x14ac:dyDescent="0.4"/>
    <row r="120" spans="5:117" ht="15" thickBot="1" x14ac:dyDescent="0.4">
      <c r="E120" s="43" t="s">
        <v>263</v>
      </c>
      <c r="M120" s="48"/>
    </row>
    <row r="121" spans="5:117" x14ac:dyDescent="0.35">
      <c r="E121" s="28" t="s">
        <v>29</v>
      </c>
      <c r="F121" s="32" t="s">
        <v>145</v>
      </c>
      <c r="G121" s="32" t="s">
        <v>265</v>
      </c>
      <c r="H121" s="32" t="s">
        <v>143</v>
      </c>
      <c r="I121" s="33" t="s">
        <v>264</v>
      </c>
      <c r="J121" s="33" t="s">
        <v>258</v>
      </c>
      <c r="K121" s="33" t="s">
        <v>142</v>
      </c>
      <c r="L121" s="33" t="s">
        <v>34</v>
      </c>
      <c r="M121" s="34" t="s">
        <v>35</v>
      </c>
      <c r="N121" s="33" t="s">
        <v>36</v>
      </c>
      <c r="O121" s="33" t="s">
        <v>37</v>
      </c>
      <c r="P121" s="33" t="s">
        <v>38</v>
      </c>
      <c r="Q121" s="33" t="s">
        <v>39</v>
      </c>
      <c r="R121" s="33" t="s">
        <v>40</v>
      </c>
      <c r="S121" s="33" t="s">
        <v>41</v>
      </c>
      <c r="T121" s="33" t="s">
        <v>42</v>
      </c>
      <c r="U121" s="33" t="s">
        <v>43</v>
      </c>
      <c r="V121" s="33" t="s">
        <v>44</v>
      </c>
      <c r="W121" s="33" t="s">
        <v>45</v>
      </c>
      <c r="X121" s="33" t="s">
        <v>46</v>
      </c>
      <c r="Y121" s="33" t="s">
        <v>47</v>
      </c>
      <c r="Z121" s="33" t="s">
        <v>48</v>
      </c>
      <c r="AA121" s="33" t="s">
        <v>49</v>
      </c>
      <c r="AB121" s="33" t="s">
        <v>50</v>
      </c>
      <c r="AC121" s="33" t="s">
        <v>51</v>
      </c>
      <c r="AD121" s="33" t="s">
        <v>52</v>
      </c>
      <c r="AE121" s="33" t="s">
        <v>53</v>
      </c>
      <c r="AF121" s="33" t="s">
        <v>54</v>
      </c>
      <c r="AG121" s="33" t="s">
        <v>55</v>
      </c>
      <c r="AH121" s="33" t="s">
        <v>56</v>
      </c>
      <c r="AI121" s="33" t="s">
        <v>57</v>
      </c>
      <c r="AJ121" s="33" t="s">
        <v>58</v>
      </c>
      <c r="AK121" s="33" t="s">
        <v>59</v>
      </c>
      <c r="AL121" s="33" t="s">
        <v>60</v>
      </c>
      <c r="AM121" s="33" t="s">
        <v>61</v>
      </c>
      <c r="AN121" s="33" t="s">
        <v>62</v>
      </c>
      <c r="AO121" s="33" t="s">
        <v>63</v>
      </c>
      <c r="AP121" s="33" t="s">
        <v>64</v>
      </c>
      <c r="AQ121" s="33" t="s">
        <v>65</v>
      </c>
      <c r="AR121" s="33" t="s">
        <v>66</v>
      </c>
      <c r="AS121" s="33" t="s">
        <v>67</v>
      </c>
      <c r="AT121" s="33" t="s">
        <v>68</v>
      </c>
      <c r="AU121" s="33" t="s">
        <v>69</v>
      </c>
      <c r="AV121" s="33" t="s">
        <v>70</v>
      </c>
      <c r="AW121" s="33" t="s">
        <v>71</v>
      </c>
      <c r="AX121" s="33" t="s">
        <v>72</v>
      </c>
      <c r="AY121" s="33" t="s">
        <v>73</v>
      </c>
      <c r="AZ121" s="33" t="s">
        <v>74</v>
      </c>
      <c r="BA121" s="33" t="s">
        <v>75</v>
      </c>
      <c r="BB121" s="33" t="s">
        <v>76</v>
      </c>
      <c r="BC121" s="33" t="s">
        <v>77</v>
      </c>
      <c r="BD121" s="33" t="s">
        <v>78</v>
      </c>
      <c r="BE121" s="33" t="s">
        <v>79</v>
      </c>
      <c r="BF121" s="33" t="s">
        <v>80</v>
      </c>
      <c r="BG121" s="33" t="s">
        <v>81</v>
      </c>
      <c r="BH121" s="33" t="s">
        <v>82</v>
      </c>
      <c r="BI121" s="33" t="s">
        <v>83</v>
      </c>
      <c r="BJ121" s="33" t="s">
        <v>84</v>
      </c>
      <c r="BK121" s="33" t="s">
        <v>85</v>
      </c>
      <c r="BL121" s="33" t="s">
        <v>86</v>
      </c>
      <c r="BM121" s="33" t="s">
        <v>87</v>
      </c>
      <c r="BN121" s="33" t="s">
        <v>88</v>
      </c>
      <c r="BO121" s="33" t="s">
        <v>89</v>
      </c>
      <c r="BP121" s="33" t="s">
        <v>90</v>
      </c>
      <c r="BQ121" s="33" t="s">
        <v>91</v>
      </c>
      <c r="BR121" s="33" t="s">
        <v>92</v>
      </c>
      <c r="BS121" s="33" t="s">
        <v>93</v>
      </c>
      <c r="BT121" s="33" t="s">
        <v>94</v>
      </c>
      <c r="BU121" s="33" t="s">
        <v>95</v>
      </c>
      <c r="BV121" s="33" t="s">
        <v>96</v>
      </c>
      <c r="BW121" s="33" t="s">
        <v>97</v>
      </c>
      <c r="BX121" s="33" t="s">
        <v>98</v>
      </c>
      <c r="BY121" s="33" t="s">
        <v>99</v>
      </c>
      <c r="BZ121" s="33" t="s">
        <v>100</v>
      </c>
      <c r="CA121" s="33" t="s">
        <v>101</v>
      </c>
      <c r="CB121" s="33" t="s">
        <v>102</v>
      </c>
      <c r="CC121" s="33" t="s">
        <v>103</v>
      </c>
      <c r="CD121" s="33" t="s">
        <v>104</v>
      </c>
      <c r="CE121" s="33" t="s">
        <v>105</v>
      </c>
      <c r="CF121" s="33" t="s">
        <v>106</v>
      </c>
      <c r="CG121" s="33" t="s">
        <v>107</v>
      </c>
      <c r="CH121" s="33" t="s">
        <v>108</v>
      </c>
      <c r="CI121" s="33" t="s">
        <v>109</v>
      </c>
      <c r="CJ121" s="33" t="s">
        <v>110</v>
      </c>
      <c r="CK121" s="33" t="s">
        <v>111</v>
      </c>
      <c r="CL121" s="33" t="s">
        <v>112</v>
      </c>
      <c r="CM121" s="33" t="s">
        <v>113</v>
      </c>
      <c r="CN121" s="33" t="s">
        <v>114</v>
      </c>
      <c r="CO121" s="33" t="s">
        <v>115</v>
      </c>
      <c r="CP121" s="33" t="s">
        <v>116</v>
      </c>
      <c r="CQ121" s="33" t="s">
        <v>117</v>
      </c>
      <c r="CR121" s="33" t="s">
        <v>118</v>
      </c>
      <c r="CS121" s="33" t="s">
        <v>119</v>
      </c>
      <c r="CT121" s="33" t="s">
        <v>120</v>
      </c>
      <c r="CU121" s="33" t="s">
        <v>121</v>
      </c>
      <c r="CV121" s="33" t="s">
        <v>122</v>
      </c>
      <c r="CW121" s="33" t="s">
        <v>123</v>
      </c>
      <c r="CX121" s="33" t="s">
        <v>124</v>
      </c>
      <c r="CY121" s="33" t="s">
        <v>125</v>
      </c>
      <c r="CZ121" s="33" t="s">
        <v>126</v>
      </c>
      <c r="DA121" s="33" t="s">
        <v>127</v>
      </c>
      <c r="DB121" s="33" t="s">
        <v>128</v>
      </c>
      <c r="DC121" s="33" t="s">
        <v>129</v>
      </c>
      <c r="DD121" s="33" t="s">
        <v>130</v>
      </c>
      <c r="DE121" s="33" t="s">
        <v>131</v>
      </c>
      <c r="DF121" s="33" t="s">
        <v>132</v>
      </c>
      <c r="DG121" s="33" t="s">
        <v>133</v>
      </c>
      <c r="DH121" s="33" t="s">
        <v>134</v>
      </c>
      <c r="DI121" s="33" t="s">
        <v>135</v>
      </c>
      <c r="DJ121" s="33" t="s">
        <v>136</v>
      </c>
      <c r="DK121" s="33" t="s">
        <v>137</v>
      </c>
      <c r="DL121" s="33" t="s">
        <v>138</v>
      </c>
      <c r="DM121" s="45"/>
    </row>
    <row r="122" spans="5:117" x14ac:dyDescent="0.35">
      <c r="E122" s="111"/>
      <c r="F122" s="112"/>
      <c r="G122" s="112"/>
      <c r="H122" s="116"/>
      <c r="I122" s="116"/>
      <c r="J122" s="38">
        <f>H122*M122</f>
        <v>0</v>
      </c>
      <c r="K122" s="38">
        <f>I122*L122</f>
        <v>0</v>
      </c>
      <c r="L122" s="39">
        <f t="shared" ref="L122:L151" si="127">SUM(M122:DL122)</f>
        <v>0</v>
      </c>
      <c r="M122" s="113"/>
      <c r="N122" s="113"/>
      <c r="O122" s="113"/>
      <c r="P122" s="113"/>
      <c r="Q122" s="113"/>
      <c r="R122" s="113"/>
      <c r="S122" s="113"/>
      <c r="T122" s="113"/>
      <c r="U122" s="113"/>
      <c r="V122" s="113"/>
      <c r="W122" s="113"/>
      <c r="X122" s="113"/>
      <c r="Y122" s="113"/>
      <c r="Z122" s="113"/>
      <c r="AA122" s="113"/>
      <c r="AB122" s="113"/>
      <c r="AC122" s="113"/>
      <c r="AD122" s="113"/>
      <c r="AE122" s="113"/>
      <c r="AF122" s="113"/>
      <c r="AG122" s="113"/>
      <c r="AH122" s="113"/>
      <c r="AI122" s="113"/>
      <c r="AJ122" s="113"/>
      <c r="AK122" s="113"/>
      <c r="AL122" s="113"/>
      <c r="AM122" s="113"/>
      <c r="AN122" s="113"/>
      <c r="AO122" s="113"/>
      <c r="AP122" s="113"/>
      <c r="AQ122" s="113"/>
      <c r="AR122" s="113"/>
      <c r="AS122" s="113"/>
      <c r="AT122" s="113"/>
      <c r="AU122" s="113"/>
      <c r="AV122" s="113"/>
      <c r="AW122" s="113"/>
      <c r="AX122" s="113"/>
      <c r="AY122" s="113"/>
      <c r="AZ122" s="113"/>
      <c r="BA122" s="113"/>
      <c r="BB122" s="113"/>
      <c r="BC122" s="113"/>
      <c r="BD122" s="113"/>
      <c r="BE122" s="113"/>
      <c r="BF122" s="113"/>
      <c r="BG122" s="113"/>
      <c r="BH122" s="113"/>
      <c r="BI122" s="113"/>
      <c r="BJ122" s="113"/>
      <c r="BK122" s="113"/>
      <c r="BL122" s="113"/>
      <c r="BM122" s="113"/>
      <c r="BN122" s="113"/>
      <c r="BO122" s="113"/>
      <c r="BP122" s="113"/>
      <c r="BQ122" s="113"/>
      <c r="BR122" s="113"/>
      <c r="BS122" s="113"/>
      <c r="BT122" s="113"/>
      <c r="BU122" s="113"/>
      <c r="BV122" s="113"/>
      <c r="BW122" s="113"/>
      <c r="BX122" s="113"/>
      <c r="BY122" s="113"/>
      <c r="BZ122" s="113"/>
      <c r="CA122" s="113"/>
      <c r="CB122" s="113"/>
      <c r="CC122" s="113"/>
      <c r="CD122" s="113"/>
      <c r="CE122" s="113"/>
      <c r="CF122" s="113"/>
      <c r="CG122" s="113"/>
      <c r="CH122" s="113"/>
      <c r="CI122" s="113"/>
      <c r="CJ122" s="113"/>
      <c r="CK122" s="113"/>
      <c r="CL122" s="113"/>
      <c r="CM122" s="113"/>
      <c r="CN122" s="113"/>
      <c r="CO122" s="113"/>
      <c r="CP122" s="113"/>
      <c r="CQ122" s="113"/>
      <c r="CR122" s="113"/>
      <c r="CS122" s="113"/>
      <c r="CT122" s="113"/>
      <c r="CU122" s="113"/>
      <c r="CV122" s="113"/>
      <c r="CW122" s="113"/>
      <c r="CX122" s="113"/>
      <c r="CY122" s="113"/>
      <c r="CZ122" s="113"/>
      <c r="DA122" s="113"/>
      <c r="DB122" s="113"/>
      <c r="DC122" s="113"/>
      <c r="DD122" s="113"/>
      <c r="DE122" s="113"/>
      <c r="DF122" s="113"/>
      <c r="DG122" s="113"/>
      <c r="DH122" s="113"/>
      <c r="DI122" s="113"/>
      <c r="DJ122" s="113"/>
      <c r="DK122" s="113"/>
      <c r="DL122" s="114"/>
      <c r="DM122" s="47"/>
    </row>
    <row r="123" spans="5:117" x14ac:dyDescent="0.35">
      <c r="E123" s="111"/>
      <c r="F123" s="112"/>
      <c r="G123" s="112"/>
      <c r="H123" s="116"/>
      <c r="I123" s="116"/>
      <c r="J123" s="38">
        <f t="shared" ref="J123:J151" si="128">H123*M123</f>
        <v>0</v>
      </c>
      <c r="K123" s="38">
        <f t="shared" ref="K123:K151" si="129">I123*L123</f>
        <v>0</v>
      </c>
      <c r="L123" s="39">
        <f t="shared" si="127"/>
        <v>0</v>
      </c>
      <c r="M123" s="113"/>
      <c r="N123" s="113"/>
      <c r="O123" s="113"/>
      <c r="P123" s="113"/>
      <c r="Q123" s="113"/>
      <c r="R123" s="113"/>
      <c r="S123" s="113"/>
      <c r="T123" s="113"/>
      <c r="U123" s="113"/>
      <c r="V123" s="113"/>
      <c r="W123" s="113"/>
      <c r="X123" s="113"/>
      <c r="Y123" s="113"/>
      <c r="Z123" s="113"/>
      <c r="AA123" s="113"/>
      <c r="AB123" s="113"/>
      <c r="AC123" s="113"/>
      <c r="AD123" s="113"/>
      <c r="AE123" s="113"/>
      <c r="AF123" s="113"/>
      <c r="AG123" s="113"/>
      <c r="AH123" s="113"/>
      <c r="AI123" s="113"/>
      <c r="AJ123" s="113"/>
      <c r="AK123" s="113"/>
      <c r="AL123" s="113"/>
      <c r="AM123" s="113"/>
      <c r="AN123" s="113"/>
      <c r="AO123" s="113"/>
      <c r="AP123" s="113"/>
      <c r="AQ123" s="113"/>
      <c r="AR123" s="113"/>
      <c r="AS123" s="113"/>
      <c r="AT123" s="113"/>
      <c r="AU123" s="113"/>
      <c r="AV123" s="113"/>
      <c r="AW123" s="113"/>
      <c r="AX123" s="113"/>
      <c r="AY123" s="113"/>
      <c r="AZ123" s="113"/>
      <c r="BA123" s="113"/>
      <c r="BB123" s="113"/>
      <c r="BC123" s="113"/>
      <c r="BD123" s="113"/>
      <c r="BE123" s="113"/>
      <c r="BF123" s="113"/>
      <c r="BG123" s="113"/>
      <c r="BH123" s="113"/>
      <c r="BI123" s="113"/>
      <c r="BJ123" s="113"/>
      <c r="BK123" s="113"/>
      <c r="BL123" s="113"/>
      <c r="BM123" s="113"/>
      <c r="BN123" s="113"/>
      <c r="BO123" s="113"/>
      <c r="BP123" s="113"/>
      <c r="BQ123" s="113"/>
      <c r="BR123" s="113"/>
      <c r="BS123" s="113"/>
      <c r="BT123" s="113"/>
      <c r="BU123" s="113"/>
      <c r="BV123" s="113"/>
      <c r="BW123" s="113"/>
      <c r="BX123" s="113"/>
      <c r="BY123" s="113"/>
      <c r="BZ123" s="113"/>
      <c r="CA123" s="113"/>
      <c r="CB123" s="113"/>
      <c r="CC123" s="113"/>
      <c r="CD123" s="113"/>
      <c r="CE123" s="113"/>
      <c r="CF123" s="113"/>
      <c r="CG123" s="113"/>
      <c r="CH123" s="113"/>
      <c r="CI123" s="113"/>
      <c r="CJ123" s="113"/>
      <c r="CK123" s="113"/>
      <c r="CL123" s="113"/>
      <c r="CM123" s="113"/>
      <c r="CN123" s="113"/>
      <c r="CO123" s="113"/>
      <c r="CP123" s="113"/>
      <c r="CQ123" s="113"/>
      <c r="CR123" s="113"/>
      <c r="CS123" s="113"/>
      <c r="CT123" s="113"/>
      <c r="CU123" s="113"/>
      <c r="CV123" s="113"/>
      <c r="CW123" s="113"/>
      <c r="CX123" s="113"/>
      <c r="CY123" s="113"/>
      <c r="CZ123" s="113"/>
      <c r="DA123" s="113"/>
      <c r="DB123" s="113"/>
      <c r="DC123" s="113"/>
      <c r="DD123" s="113"/>
      <c r="DE123" s="113"/>
      <c r="DF123" s="113"/>
      <c r="DG123" s="113"/>
      <c r="DH123" s="113"/>
      <c r="DI123" s="113"/>
      <c r="DJ123" s="113"/>
      <c r="DK123" s="113"/>
      <c r="DL123" s="114"/>
      <c r="DM123" s="47"/>
    </row>
    <row r="124" spans="5:117" x14ac:dyDescent="0.35">
      <c r="E124" s="111"/>
      <c r="F124" s="112"/>
      <c r="G124" s="112"/>
      <c r="H124" s="116"/>
      <c r="I124" s="116"/>
      <c r="J124" s="38">
        <f t="shared" si="128"/>
        <v>0</v>
      </c>
      <c r="K124" s="38">
        <f t="shared" si="129"/>
        <v>0</v>
      </c>
      <c r="L124" s="39">
        <f t="shared" si="127"/>
        <v>0</v>
      </c>
      <c r="M124" s="113"/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113"/>
      <c r="Y124" s="113"/>
      <c r="Z124" s="113"/>
      <c r="AA124" s="113"/>
      <c r="AB124" s="113"/>
      <c r="AC124" s="113"/>
      <c r="AD124" s="113"/>
      <c r="AE124" s="113"/>
      <c r="AF124" s="113"/>
      <c r="AG124" s="113"/>
      <c r="AH124" s="113"/>
      <c r="AI124" s="113"/>
      <c r="AJ124" s="113"/>
      <c r="AK124" s="113"/>
      <c r="AL124" s="113"/>
      <c r="AM124" s="113"/>
      <c r="AN124" s="113"/>
      <c r="AO124" s="113"/>
      <c r="AP124" s="113"/>
      <c r="AQ124" s="113"/>
      <c r="AR124" s="113"/>
      <c r="AS124" s="113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  <c r="BU124" s="113"/>
      <c r="BV124" s="113"/>
      <c r="BW124" s="113"/>
      <c r="BX124" s="113"/>
      <c r="BY124" s="113"/>
      <c r="BZ124" s="113"/>
      <c r="CA124" s="113"/>
      <c r="CB124" s="113"/>
      <c r="CC124" s="113"/>
      <c r="CD124" s="113"/>
      <c r="CE124" s="113"/>
      <c r="CF124" s="113"/>
      <c r="CG124" s="113"/>
      <c r="CH124" s="113"/>
      <c r="CI124" s="113"/>
      <c r="CJ124" s="113"/>
      <c r="CK124" s="113"/>
      <c r="CL124" s="113"/>
      <c r="CM124" s="113"/>
      <c r="CN124" s="113"/>
      <c r="CO124" s="113"/>
      <c r="CP124" s="113"/>
      <c r="CQ124" s="113"/>
      <c r="CR124" s="113"/>
      <c r="CS124" s="113"/>
      <c r="CT124" s="113"/>
      <c r="CU124" s="113"/>
      <c r="CV124" s="113"/>
      <c r="CW124" s="113"/>
      <c r="CX124" s="113"/>
      <c r="CY124" s="113"/>
      <c r="CZ124" s="113"/>
      <c r="DA124" s="113"/>
      <c r="DB124" s="113"/>
      <c r="DC124" s="113"/>
      <c r="DD124" s="113"/>
      <c r="DE124" s="113"/>
      <c r="DF124" s="113"/>
      <c r="DG124" s="113"/>
      <c r="DH124" s="113"/>
      <c r="DI124" s="113"/>
      <c r="DJ124" s="113"/>
      <c r="DK124" s="113"/>
      <c r="DL124" s="114"/>
      <c r="DM124" s="47"/>
    </row>
    <row r="125" spans="5:117" x14ac:dyDescent="0.35">
      <c r="E125" s="111"/>
      <c r="F125" s="112"/>
      <c r="G125" s="112"/>
      <c r="H125" s="116"/>
      <c r="I125" s="116"/>
      <c r="J125" s="38">
        <f t="shared" si="128"/>
        <v>0</v>
      </c>
      <c r="K125" s="38">
        <f t="shared" si="129"/>
        <v>0</v>
      </c>
      <c r="L125" s="39">
        <f t="shared" si="127"/>
        <v>0</v>
      </c>
      <c r="M125" s="113"/>
      <c r="N125" s="113"/>
      <c r="O125" s="113"/>
      <c r="P125" s="113"/>
      <c r="Q125" s="113"/>
      <c r="R125" s="113"/>
      <c r="S125" s="113"/>
      <c r="T125" s="113"/>
      <c r="U125" s="113"/>
      <c r="V125" s="113"/>
      <c r="W125" s="113"/>
      <c r="X125" s="113"/>
      <c r="Y125" s="113"/>
      <c r="Z125" s="113"/>
      <c r="AA125" s="113"/>
      <c r="AB125" s="113"/>
      <c r="AC125" s="113"/>
      <c r="AD125" s="113"/>
      <c r="AE125" s="113"/>
      <c r="AF125" s="113"/>
      <c r="AG125" s="113"/>
      <c r="AH125" s="113"/>
      <c r="AI125" s="113"/>
      <c r="AJ125" s="113"/>
      <c r="AK125" s="113"/>
      <c r="AL125" s="113"/>
      <c r="AM125" s="113"/>
      <c r="AN125" s="113"/>
      <c r="AO125" s="113"/>
      <c r="AP125" s="113"/>
      <c r="AQ125" s="113"/>
      <c r="AR125" s="113"/>
      <c r="AS125" s="113"/>
      <c r="AT125" s="113"/>
      <c r="AU125" s="113"/>
      <c r="AV125" s="113"/>
      <c r="AW125" s="113"/>
      <c r="AX125" s="113"/>
      <c r="AY125" s="113"/>
      <c r="AZ125" s="113"/>
      <c r="BA125" s="113"/>
      <c r="BB125" s="113"/>
      <c r="BC125" s="113"/>
      <c r="BD125" s="113"/>
      <c r="BE125" s="113"/>
      <c r="BF125" s="113"/>
      <c r="BG125" s="113"/>
      <c r="BH125" s="113"/>
      <c r="BI125" s="113"/>
      <c r="BJ125" s="113"/>
      <c r="BK125" s="113"/>
      <c r="BL125" s="113"/>
      <c r="BM125" s="113"/>
      <c r="BN125" s="113"/>
      <c r="BO125" s="113"/>
      <c r="BP125" s="113"/>
      <c r="BQ125" s="113"/>
      <c r="BR125" s="113"/>
      <c r="BS125" s="113"/>
      <c r="BT125" s="113"/>
      <c r="BU125" s="113"/>
      <c r="BV125" s="113"/>
      <c r="BW125" s="113"/>
      <c r="BX125" s="113"/>
      <c r="BY125" s="113"/>
      <c r="BZ125" s="113"/>
      <c r="CA125" s="113"/>
      <c r="CB125" s="113"/>
      <c r="CC125" s="113"/>
      <c r="CD125" s="113"/>
      <c r="CE125" s="113"/>
      <c r="CF125" s="113"/>
      <c r="CG125" s="113"/>
      <c r="CH125" s="113"/>
      <c r="CI125" s="113"/>
      <c r="CJ125" s="113"/>
      <c r="CK125" s="113"/>
      <c r="CL125" s="113"/>
      <c r="CM125" s="113"/>
      <c r="CN125" s="113"/>
      <c r="CO125" s="113"/>
      <c r="CP125" s="113"/>
      <c r="CQ125" s="113"/>
      <c r="CR125" s="113"/>
      <c r="CS125" s="113"/>
      <c r="CT125" s="113"/>
      <c r="CU125" s="113"/>
      <c r="CV125" s="113"/>
      <c r="CW125" s="113"/>
      <c r="CX125" s="113"/>
      <c r="CY125" s="113"/>
      <c r="CZ125" s="113"/>
      <c r="DA125" s="113"/>
      <c r="DB125" s="113"/>
      <c r="DC125" s="113"/>
      <c r="DD125" s="113"/>
      <c r="DE125" s="113"/>
      <c r="DF125" s="113"/>
      <c r="DG125" s="113"/>
      <c r="DH125" s="113"/>
      <c r="DI125" s="113"/>
      <c r="DJ125" s="113"/>
      <c r="DK125" s="113"/>
      <c r="DL125" s="114"/>
      <c r="DM125" s="47"/>
    </row>
    <row r="126" spans="5:117" x14ac:dyDescent="0.35">
      <c r="E126" s="111"/>
      <c r="F126" s="112"/>
      <c r="G126" s="112"/>
      <c r="H126" s="116"/>
      <c r="I126" s="116"/>
      <c r="J126" s="38">
        <f t="shared" si="128"/>
        <v>0</v>
      </c>
      <c r="K126" s="38">
        <f t="shared" si="129"/>
        <v>0</v>
      </c>
      <c r="L126" s="39">
        <f t="shared" si="127"/>
        <v>0</v>
      </c>
      <c r="M126" s="113"/>
      <c r="N126" s="113"/>
      <c r="O126" s="113"/>
      <c r="P126" s="113"/>
      <c r="Q126" s="113"/>
      <c r="R126" s="113"/>
      <c r="S126" s="113"/>
      <c r="T126" s="113"/>
      <c r="U126" s="113"/>
      <c r="V126" s="113"/>
      <c r="W126" s="113"/>
      <c r="X126" s="113"/>
      <c r="Y126" s="113"/>
      <c r="Z126" s="113"/>
      <c r="AA126" s="113"/>
      <c r="AB126" s="113"/>
      <c r="AC126" s="113"/>
      <c r="AD126" s="113"/>
      <c r="AE126" s="113"/>
      <c r="AF126" s="113"/>
      <c r="AG126" s="113"/>
      <c r="AH126" s="113"/>
      <c r="AI126" s="113"/>
      <c r="AJ126" s="113"/>
      <c r="AK126" s="113"/>
      <c r="AL126" s="113"/>
      <c r="AM126" s="113"/>
      <c r="AN126" s="113"/>
      <c r="AO126" s="113"/>
      <c r="AP126" s="113"/>
      <c r="AQ126" s="113"/>
      <c r="AR126" s="113"/>
      <c r="AS126" s="113"/>
      <c r="AT126" s="113"/>
      <c r="AU126" s="113"/>
      <c r="AV126" s="113"/>
      <c r="AW126" s="113"/>
      <c r="AX126" s="113"/>
      <c r="AY126" s="113"/>
      <c r="AZ126" s="113"/>
      <c r="BA126" s="113"/>
      <c r="BB126" s="113"/>
      <c r="BC126" s="113"/>
      <c r="BD126" s="113"/>
      <c r="BE126" s="113"/>
      <c r="BF126" s="113"/>
      <c r="BG126" s="113"/>
      <c r="BH126" s="113"/>
      <c r="BI126" s="113"/>
      <c r="BJ126" s="113"/>
      <c r="BK126" s="113"/>
      <c r="BL126" s="113"/>
      <c r="BM126" s="113"/>
      <c r="BN126" s="113"/>
      <c r="BO126" s="113"/>
      <c r="BP126" s="113"/>
      <c r="BQ126" s="113"/>
      <c r="BR126" s="113"/>
      <c r="BS126" s="113"/>
      <c r="BT126" s="113"/>
      <c r="BU126" s="113"/>
      <c r="BV126" s="113"/>
      <c r="BW126" s="113"/>
      <c r="BX126" s="113"/>
      <c r="BY126" s="113"/>
      <c r="BZ126" s="113"/>
      <c r="CA126" s="113"/>
      <c r="CB126" s="113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  <c r="CN126" s="113"/>
      <c r="CO126" s="113"/>
      <c r="CP126" s="113"/>
      <c r="CQ126" s="113"/>
      <c r="CR126" s="113"/>
      <c r="CS126" s="113"/>
      <c r="CT126" s="113"/>
      <c r="CU126" s="113"/>
      <c r="CV126" s="113"/>
      <c r="CW126" s="113"/>
      <c r="CX126" s="113"/>
      <c r="CY126" s="113"/>
      <c r="CZ126" s="113"/>
      <c r="DA126" s="113"/>
      <c r="DB126" s="113"/>
      <c r="DC126" s="113"/>
      <c r="DD126" s="113"/>
      <c r="DE126" s="113"/>
      <c r="DF126" s="113"/>
      <c r="DG126" s="113"/>
      <c r="DH126" s="113"/>
      <c r="DI126" s="113"/>
      <c r="DJ126" s="113"/>
      <c r="DK126" s="113"/>
      <c r="DL126" s="114"/>
      <c r="DM126" s="47"/>
    </row>
    <row r="127" spans="5:117" x14ac:dyDescent="0.35">
      <c r="E127" s="111"/>
      <c r="F127" s="112"/>
      <c r="G127" s="112"/>
      <c r="H127" s="116"/>
      <c r="I127" s="116"/>
      <c r="J127" s="38">
        <f t="shared" si="128"/>
        <v>0</v>
      </c>
      <c r="K127" s="38">
        <f t="shared" si="129"/>
        <v>0</v>
      </c>
      <c r="L127" s="39">
        <f t="shared" si="127"/>
        <v>0</v>
      </c>
      <c r="M127" s="113"/>
      <c r="N127" s="113"/>
      <c r="O127" s="113"/>
      <c r="P127" s="113"/>
      <c r="Q127" s="113"/>
      <c r="R127" s="113"/>
      <c r="S127" s="113"/>
      <c r="T127" s="113"/>
      <c r="U127" s="113"/>
      <c r="V127" s="113"/>
      <c r="W127" s="113"/>
      <c r="X127" s="113"/>
      <c r="Y127" s="113"/>
      <c r="Z127" s="113"/>
      <c r="AA127" s="113"/>
      <c r="AB127" s="113"/>
      <c r="AC127" s="113"/>
      <c r="AD127" s="113"/>
      <c r="AE127" s="113"/>
      <c r="AF127" s="113"/>
      <c r="AG127" s="113"/>
      <c r="AH127" s="113"/>
      <c r="AI127" s="113"/>
      <c r="AJ127" s="113"/>
      <c r="AK127" s="113"/>
      <c r="AL127" s="113"/>
      <c r="AM127" s="113"/>
      <c r="AN127" s="113"/>
      <c r="AO127" s="113"/>
      <c r="AP127" s="113"/>
      <c r="AQ127" s="113"/>
      <c r="AR127" s="113"/>
      <c r="AS127" s="113"/>
      <c r="AT127" s="113"/>
      <c r="AU127" s="113"/>
      <c r="AV127" s="113"/>
      <c r="AW127" s="113"/>
      <c r="AX127" s="113"/>
      <c r="AY127" s="113"/>
      <c r="AZ127" s="113"/>
      <c r="BA127" s="113"/>
      <c r="BB127" s="113"/>
      <c r="BC127" s="113"/>
      <c r="BD127" s="113"/>
      <c r="BE127" s="113"/>
      <c r="BF127" s="113"/>
      <c r="BG127" s="113"/>
      <c r="BH127" s="113"/>
      <c r="BI127" s="113"/>
      <c r="BJ127" s="113"/>
      <c r="BK127" s="113"/>
      <c r="BL127" s="113"/>
      <c r="BM127" s="113"/>
      <c r="BN127" s="113"/>
      <c r="BO127" s="113"/>
      <c r="BP127" s="113"/>
      <c r="BQ127" s="113"/>
      <c r="BR127" s="113"/>
      <c r="BS127" s="113"/>
      <c r="BT127" s="113"/>
      <c r="BU127" s="113"/>
      <c r="BV127" s="113"/>
      <c r="BW127" s="113"/>
      <c r="BX127" s="113"/>
      <c r="BY127" s="113"/>
      <c r="BZ127" s="113"/>
      <c r="CA127" s="113"/>
      <c r="CB127" s="113"/>
      <c r="CC127" s="113"/>
      <c r="CD127" s="113"/>
      <c r="CE127" s="113"/>
      <c r="CF127" s="113"/>
      <c r="CG127" s="113"/>
      <c r="CH127" s="113"/>
      <c r="CI127" s="113"/>
      <c r="CJ127" s="113"/>
      <c r="CK127" s="113"/>
      <c r="CL127" s="113"/>
      <c r="CM127" s="113"/>
      <c r="CN127" s="113"/>
      <c r="CO127" s="113"/>
      <c r="CP127" s="113"/>
      <c r="CQ127" s="113"/>
      <c r="CR127" s="113"/>
      <c r="CS127" s="113"/>
      <c r="CT127" s="113"/>
      <c r="CU127" s="113"/>
      <c r="CV127" s="113"/>
      <c r="CW127" s="113"/>
      <c r="CX127" s="113"/>
      <c r="CY127" s="113"/>
      <c r="CZ127" s="113"/>
      <c r="DA127" s="113"/>
      <c r="DB127" s="113"/>
      <c r="DC127" s="113"/>
      <c r="DD127" s="113"/>
      <c r="DE127" s="113"/>
      <c r="DF127" s="113"/>
      <c r="DG127" s="113"/>
      <c r="DH127" s="113"/>
      <c r="DI127" s="113"/>
      <c r="DJ127" s="113"/>
      <c r="DK127" s="113"/>
      <c r="DL127" s="114"/>
      <c r="DM127" s="47"/>
    </row>
    <row r="128" spans="5:117" x14ac:dyDescent="0.35">
      <c r="E128" s="111"/>
      <c r="F128" s="112"/>
      <c r="G128" s="112"/>
      <c r="H128" s="116"/>
      <c r="I128" s="116"/>
      <c r="J128" s="38">
        <f t="shared" si="128"/>
        <v>0</v>
      </c>
      <c r="K128" s="38">
        <f t="shared" si="129"/>
        <v>0</v>
      </c>
      <c r="L128" s="39">
        <f t="shared" si="127"/>
        <v>0</v>
      </c>
      <c r="M128" s="113"/>
      <c r="N128" s="113"/>
      <c r="O128" s="113"/>
      <c r="P128" s="113"/>
      <c r="Q128" s="113"/>
      <c r="R128" s="113"/>
      <c r="S128" s="113"/>
      <c r="T128" s="113"/>
      <c r="U128" s="113"/>
      <c r="V128" s="113"/>
      <c r="W128" s="113"/>
      <c r="X128" s="113"/>
      <c r="Y128" s="113"/>
      <c r="Z128" s="113"/>
      <c r="AA128" s="113"/>
      <c r="AB128" s="113"/>
      <c r="AC128" s="113"/>
      <c r="AD128" s="113"/>
      <c r="AE128" s="113"/>
      <c r="AF128" s="113"/>
      <c r="AG128" s="113"/>
      <c r="AH128" s="113"/>
      <c r="AI128" s="113"/>
      <c r="AJ128" s="113"/>
      <c r="AK128" s="113"/>
      <c r="AL128" s="113"/>
      <c r="AM128" s="113"/>
      <c r="AN128" s="113"/>
      <c r="AO128" s="113"/>
      <c r="AP128" s="113"/>
      <c r="AQ128" s="113"/>
      <c r="AR128" s="113"/>
      <c r="AS128" s="113"/>
      <c r="AT128" s="113"/>
      <c r="AU128" s="113"/>
      <c r="AV128" s="113"/>
      <c r="AW128" s="113"/>
      <c r="AX128" s="113"/>
      <c r="AY128" s="113"/>
      <c r="AZ128" s="113"/>
      <c r="BA128" s="113"/>
      <c r="BB128" s="113"/>
      <c r="BC128" s="113"/>
      <c r="BD128" s="113"/>
      <c r="BE128" s="113"/>
      <c r="BF128" s="113"/>
      <c r="BG128" s="113"/>
      <c r="BH128" s="113"/>
      <c r="BI128" s="113"/>
      <c r="BJ128" s="113"/>
      <c r="BK128" s="113"/>
      <c r="BL128" s="113"/>
      <c r="BM128" s="113"/>
      <c r="BN128" s="113"/>
      <c r="BO128" s="113"/>
      <c r="BP128" s="113"/>
      <c r="BQ128" s="113"/>
      <c r="BR128" s="113"/>
      <c r="BS128" s="113"/>
      <c r="BT128" s="113"/>
      <c r="BU128" s="113"/>
      <c r="BV128" s="113"/>
      <c r="BW128" s="113"/>
      <c r="BX128" s="113"/>
      <c r="BY128" s="113"/>
      <c r="BZ128" s="113"/>
      <c r="CA128" s="113"/>
      <c r="CB128" s="113"/>
      <c r="CC128" s="113"/>
      <c r="CD128" s="113"/>
      <c r="CE128" s="113"/>
      <c r="CF128" s="113"/>
      <c r="CG128" s="113"/>
      <c r="CH128" s="113"/>
      <c r="CI128" s="113"/>
      <c r="CJ128" s="113"/>
      <c r="CK128" s="113"/>
      <c r="CL128" s="113"/>
      <c r="CM128" s="113"/>
      <c r="CN128" s="113"/>
      <c r="CO128" s="113"/>
      <c r="CP128" s="113"/>
      <c r="CQ128" s="113"/>
      <c r="CR128" s="113"/>
      <c r="CS128" s="113"/>
      <c r="CT128" s="113"/>
      <c r="CU128" s="113"/>
      <c r="CV128" s="113"/>
      <c r="CW128" s="113"/>
      <c r="CX128" s="113"/>
      <c r="CY128" s="113"/>
      <c r="CZ128" s="113"/>
      <c r="DA128" s="113"/>
      <c r="DB128" s="113"/>
      <c r="DC128" s="113"/>
      <c r="DD128" s="113"/>
      <c r="DE128" s="113"/>
      <c r="DF128" s="113"/>
      <c r="DG128" s="113"/>
      <c r="DH128" s="113"/>
      <c r="DI128" s="113"/>
      <c r="DJ128" s="113"/>
      <c r="DK128" s="113"/>
      <c r="DL128" s="114"/>
      <c r="DM128" s="47"/>
    </row>
    <row r="129" spans="5:117" x14ac:dyDescent="0.35">
      <c r="E129" s="111"/>
      <c r="F129" s="112"/>
      <c r="G129" s="112"/>
      <c r="H129" s="116"/>
      <c r="I129" s="116"/>
      <c r="J129" s="38">
        <f t="shared" si="128"/>
        <v>0</v>
      </c>
      <c r="K129" s="38">
        <f t="shared" si="129"/>
        <v>0</v>
      </c>
      <c r="L129" s="39">
        <f t="shared" si="127"/>
        <v>0</v>
      </c>
      <c r="M129" s="113"/>
      <c r="N129" s="113"/>
      <c r="O129" s="113"/>
      <c r="P129" s="113"/>
      <c r="Q129" s="113"/>
      <c r="R129" s="113"/>
      <c r="S129" s="113"/>
      <c r="T129" s="113"/>
      <c r="U129" s="113"/>
      <c r="V129" s="113"/>
      <c r="W129" s="113"/>
      <c r="X129" s="113"/>
      <c r="Y129" s="113"/>
      <c r="Z129" s="113"/>
      <c r="AA129" s="113"/>
      <c r="AB129" s="113"/>
      <c r="AC129" s="113"/>
      <c r="AD129" s="113"/>
      <c r="AE129" s="113"/>
      <c r="AF129" s="113"/>
      <c r="AG129" s="113"/>
      <c r="AH129" s="113"/>
      <c r="AI129" s="113"/>
      <c r="AJ129" s="113"/>
      <c r="AK129" s="113"/>
      <c r="AL129" s="113"/>
      <c r="AM129" s="113"/>
      <c r="AN129" s="113"/>
      <c r="AO129" s="113"/>
      <c r="AP129" s="113"/>
      <c r="AQ129" s="113"/>
      <c r="AR129" s="113"/>
      <c r="AS129" s="113"/>
      <c r="AT129" s="113"/>
      <c r="AU129" s="113"/>
      <c r="AV129" s="113"/>
      <c r="AW129" s="113"/>
      <c r="AX129" s="113"/>
      <c r="AY129" s="113"/>
      <c r="AZ129" s="113"/>
      <c r="BA129" s="113"/>
      <c r="BB129" s="113"/>
      <c r="BC129" s="113"/>
      <c r="BD129" s="113"/>
      <c r="BE129" s="113"/>
      <c r="BF129" s="113"/>
      <c r="BG129" s="113"/>
      <c r="BH129" s="113"/>
      <c r="BI129" s="113"/>
      <c r="BJ129" s="113"/>
      <c r="BK129" s="113"/>
      <c r="BL129" s="113"/>
      <c r="BM129" s="113"/>
      <c r="BN129" s="113"/>
      <c r="BO129" s="113"/>
      <c r="BP129" s="113"/>
      <c r="BQ129" s="113"/>
      <c r="BR129" s="113"/>
      <c r="BS129" s="113"/>
      <c r="BT129" s="113"/>
      <c r="BU129" s="113"/>
      <c r="BV129" s="113"/>
      <c r="BW129" s="113"/>
      <c r="BX129" s="113"/>
      <c r="BY129" s="113"/>
      <c r="BZ129" s="113"/>
      <c r="CA129" s="113"/>
      <c r="CB129" s="113"/>
      <c r="CC129" s="113"/>
      <c r="CD129" s="113"/>
      <c r="CE129" s="113"/>
      <c r="CF129" s="113"/>
      <c r="CG129" s="113"/>
      <c r="CH129" s="113"/>
      <c r="CI129" s="113"/>
      <c r="CJ129" s="113"/>
      <c r="CK129" s="113"/>
      <c r="CL129" s="113"/>
      <c r="CM129" s="113"/>
      <c r="CN129" s="113"/>
      <c r="CO129" s="113"/>
      <c r="CP129" s="113"/>
      <c r="CQ129" s="113"/>
      <c r="CR129" s="113"/>
      <c r="CS129" s="113"/>
      <c r="CT129" s="113"/>
      <c r="CU129" s="113"/>
      <c r="CV129" s="113"/>
      <c r="CW129" s="113"/>
      <c r="CX129" s="113"/>
      <c r="CY129" s="113"/>
      <c r="CZ129" s="113"/>
      <c r="DA129" s="113"/>
      <c r="DB129" s="113"/>
      <c r="DC129" s="113"/>
      <c r="DD129" s="113"/>
      <c r="DE129" s="113"/>
      <c r="DF129" s="113"/>
      <c r="DG129" s="113"/>
      <c r="DH129" s="113"/>
      <c r="DI129" s="113"/>
      <c r="DJ129" s="113"/>
      <c r="DK129" s="113"/>
      <c r="DL129" s="114"/>
      <c r="DM129" s="47"/>
    </row>
    <row r="130" spans="5:117" x14ac:dyDescent="0.35">
      <c r="E130" s="111"/>
      <c r="F130" s="112"/>
      <c r="G130" s="112"/>
      <c r="H130" s="116"/>
      <c r="I130" s="116"/>
      <c r="J130" s="38">
        <f t="shared" si="128"/>
        <v>0</v>
      </c>
      <c r="K130" s="38">
        <f t="shared" si="129"/>
        <v>0</v>
      </c>
      <c r="L130" s="39">
        <f t="shared" si="127"/>
        <v>0</v>
      </c>
      <c r="M130" s="113"/>
      <c r="N130" s="113"/>
      <c r="O130" s="113"/>
      <c r="P130" s="113"/>
      <c r="Q130" s="113"/>
      <c r="R130" s="113"/>
      <c r="S130" s="113"/>
      <c r="T130" s="113"/>
      <c r="U130" s="113"/>
      <c r="V130" s="113"/>
      <c r="W130" s="113"/>
      <c r="X130" s="113"/>
      <c r="Y130" s="113"/>
      <c r="Z130" s="113"/>
      <c r="AA130" s="113"/>
      <c r="AB130" s="113"/>
      <c r="AC130" s="113"/>
      <c r="AD130" s="113"/>
      <c r="AE130" s="113"/>
      <c r="AF130" s="113"/>
      <c r="AG130" s="113"/>
      <c r="AH130" s="113"/>
      <c r="AI130" s="113"/>
      <c r="AJ130" s="113"/>
      <c r="AK130" s="113"/>
      <c r="AL130" s="113"/>
      <c r="AM130" s="113"/>
      <c r="AN130" s="113"/>
      <c r="AO130" s="113"/>
      <c r="AP130" s="113"/>
      <c r="AQ130" s="113"/>
      <c r="AR130" s="113"/>
      <c r="AS130" s="113"/>
      <c r="AT130" s="113"/>
      <c r="AU130" s="113"/>
      <c r="AV130" s="113"/>
      <c r="AW130" s="113"/>
      <c r="AX130" s="113"/>
      <c r="AY130" s="113"/>
      <c r="AZ130" s="113"/>
      <c r="BA130" s="113"/>
      <c r="BB130" s="113"/>
      <c r="BC130" s="113"/>
      <c r="BD130" s="113"/>
      <c r="BE130" s="113"/>
      <c r="BF130" s="113"/>
      <c r="BG130" s="113"/>
      <c r="BH130" s="113"/>
      <c r="BI130" s="113"/>
      <c r="BJ130" s="113"/>
      <c r="BK130" s="113"/>
      <c r="BL130" s="113"/>
      <c r="BM130" s="113"/>
      <c r="BN130" s="113"/>
      <c r="BO130" s="113"/>
      <c r="BP130" s="113"/>
      <c r="BQ130" s="113"/>
      <c r="BR130" s="113"/>
      <c r="BS130" s="113"/>
      <c r="BT130" s="113"/>
      <c r="BU130" s="113"/>
      <c r="BV130" s="113"/>
      <c r="BW130" s="113"/>
      <c r="BX130" s="113"/>
      <c r="BY130" s="113"/>
      <c r="BZ130" s="113"/>
      <c r="CA130" s="113"/>
      <c r="CB130" s="113"/>
      <c r="CC130" s="113"/>
      <c r="CD130" s="113"/>
      <c r="CE130" s="113"/>
      <c r="CF130" s="113"/>
      <c r="CG130" s="113"/>
      <c r="CH130" s="113"/>
      <c r="CI130" s="113"/>
      <c r="CJ130" s="113"/>
      <c r="CK130" s="113"/>
      <c r="CL130" s="113"/>
      <c r="CM130" s="113"/>
      <c r="CN130" s="113"/>
      <c r="CO130" s="113"/>
      <c r="CP130" s="113"/>
      <c r="CQ130" s="113"/>
      <c r="CR130" s="113"/>
      <c r="CS130" s="113"/>
      <c r="CT130" s="113"/>
      <c r="CU130" s="113"/>
      <c r="CV130" s="113"/>
      <c r="CW130" s="113"/>
      <c r="CX130" s="113"/>
      <c r="CY130" s="113"/>
      <c r="CZ130" s="113"/>
      <c r="DA130" s="113"/>
      <c r="DB130" s="113"/>
      <c r="DC130" s="113"/>
      <c r="DD130" s="113"/>
      <c r="DE130" s="113"/>
      <c r="DF130" s="113"/>
      <c r="DG130" s="113"/>
      <c r="DH130" s="113"/>
      <c r="DI130" s="113"/>
      <c r="DJ130" s="113"/>
      <c r="DK130" s="113"/>
      <c r="DL130" s="114"/>
      <c r="DM130" s="47"/>
    </row>
    <row r="131" spans="5:117" x14ac:dyDescent="0.35">
      <c r="E131" s="111"/>
      <c r="F131" s="112"/>
      <c r="G131" s="112"/>
      <c r="H131" s="116"/>
      <c r="I131" s="116"/>
      <c r="J131" s="38">
        <f t="shared" si="128"/>
        <v>0</v>
      </c>
      <c r="K131" s="38">
        <f t="shared" si="129"/>
        <v>0</v>
      </c>
      <c r="L131" s="39">
        <f t="shared" si="127"/>
        <v>0</v>
      </c>
      <c r="M131" s="113"/>
      <c r="N131" s="113"/>
      <c r="O131" s="113"/>
      <c r="P131" s="113"/>
      <c r="Q131" s="113"/>
      <c r="R131" s="113"/>
      <c r="S131" s="113"/>
      <c r="T131" s="113"/>
      <c r="U131" s="113"/>
      <c r="V131" s="113"/>
      <c r="W131" s="113"/>
      <c r="X131" s="113"/>
      <c r="Y131" s="113"/>
      <c r="Z131" s="113"/>
      <c r="AA131" s="113"/>
      <c r="AB131" s="113"/>
      <c r="AC131" s="113"/>
      <c r="AD131" s="113"/>
      <c r="AE131" s="113"/>
      <c r="AF131" s="113"/>
      <c r="AG131" s="113"/>
      <c r="AH131" s="113"/>
      <c r="AI131" s="113"/>
      <c r="AJ131" s="113"/>
      <c r="AK131" s="113"/>
      <c r="AL131" s="113"/>
      <c r="AM131" s="113"/>
      <c r="AN131" s="113"/>
      <c r="AO131" s="113"/>
      <c r="AP131" s="113"/>
      <c r="AQ131" s="113"/>
      <c r="AR131" s="113"/>
      <c r="AS131" s="113"/>
      <c r="AT131" s="113"/>
      <c r="AU131" s="113"/>
      <c r="AV131" s="113"/>
      <c r="AW131" s="113"/>
      <c r="AX131" s="113"/>
      <c r="AY131" s="113"/>
      <c r="AZ131" s="113"/>
      <c r="BA131" s="113"/>
      <c r="BB131" s="113"/>
      <c r="BC131" s="113"/>
      <c r="BD131" s="113"/>
      <c r="BE131" s="113"/>
      <c r="BF131" s="113"/>
      <c r="BG131" s="113"/>
      <c r="BH131" s="113"/>
      <c r="BI131" s="113"/>
      <c r="BJ131" s="113"/>
      <c r="BK131" s="113"/>
      <c r="BL131" s="113"/>
      <c r="BM131" s="113"/>
      <c r="BN131" s="113"/>
      <c r="BO131" s="113"/>
      <c r="BP131" s="113"/>
      <c r="BQ131" s="113"/>
      <c r="BR131" s="113"/>
      <c r="BS131" s="113"/>
      <c r="BT131" s="113"/>
      <c r="BU131" s="113"/>
      <c r="BV131" s="113"/>
      <c r="BW131" s="113"/>
      <c r="BX131" s="113"/>
      <c r="BY131" s="113"/>
      <c r="BZ131" s="113"/>
      <c r="CA131" s="113"/>
      <c r="CB131" s="113"/>
      <c r="CC131" s="113"/>
      <c r="CD131" s="113"/>
      <c r="CE131" s="113"/>
      <c r="CF131" s="113"/>
      <c r="CG131" s="113"/>
      <c r="CH131" s="113"/>
      <c r="CI131" s="113"/>
      <c r="CJ131" s="113"/>
      <c r="CK131" s="113"/>
      <c r="CL131" s="113"/>
      <c r="CM131" s="113"/>
      <c r="CN131" s="113"/>
      <c r="CO131" s="113"/>
      <c r="CP131" s="113"/>
      <c r="CQ131" s="113"/>
      <c r="CR131" s="113"/>
      <c r="CS131" s="113"/>
      <c r="CT131" s="113"/>
      <c r="CU131" s="113"/>
      <c r="CV131" s="113"/>
      <c r="CW131" s="113"/>
      <c r="CX131" s="113"/>
      <c r="CY131" s="113"/>
      <c r="CZ131" s="113"/>
      <c r="DA131" s="113"/>
      <c r="DB131" s="113"/>
      <c r="DC131" s="113"/>
      <c r="DD131" s="113"/>
      <c r="DE131" s="113"/>
      <c r="DF131" s="113"/>
      <c r="DG131" s="113"/>
      <c r="DH131" s="113"/>
      <c r="DI131" s="113"/>
      <c r="DJ131" s="113"/>
      <c r="DK131" s="113"/>
      <c r="DL131" s="114"/>
      <c r="DM131" s="47"/>
    </row>
    <row r="132" spans="5:117" x14ac:dyDescent="0.35">
      <c r="E132" s="111"/>
      <c r="F132" s="112"/>
      <c r="G132" s="112"/>
      <c r="H132" s="116"/>
      <c r="I132" s="116"/>
      <c r="J132" s="118">
        <f t="shared" si="128"/>
        <v>0</v>
      </c>
      <c r="K132" s="118">
        <f t="shared" si="129"/>
        <v>0</v>
      </c>
      <c r="L132" s="119">
        <f t="shared" si="127"/>
        <v>0</v>
      </c>
      <c r="M132" s="113"/>
      <c r="N132" s="113"/>
      <c r="O132" s="113"/>
      <c r="P132" s="113"/>
      <c r="Q132" s="113"/>
      <c r="R132" s="113"/>
      <c r="S132" s="113"/>
      <c r="T132" s="113"/>
      <c r="U132" s="113"/>
      <c r="V132" s="113"/>
      <c r="W132" s="113"/>
      <c r="X132" s="113"/>
      <c r="Y132" s="113"/>
      <c r="Z132" s="113"/>
      <c r="AA132" s="113"/>
      <c r="AB132" s="113"/>
      <c r="AC132" s="113"/>
      <c r="AD132" s="113"/>
      <c r="AE132" s="113"/>
      <c r="AF132" s="113"/>
      <c r="AG132" s="113"/>
      <c r="AH132" s="113"/>
      <c r="AI132" s="113"/>
      <c r="AJ132" s="113"/>
      <c r="AK132" s="113"/>
      <c r="AL132" s="113"/>
      <c r="AM132" s="113"/>
      <c r="AN132" s="113"/>
      <c r="AO132" s="113"/>
      <c r="AP132" s="113"/>
      <c r="AQ132" s="113"/>
      <c r="AR132" s="113"/>
      <c r="AS132" s="113"/>
      <c r="AT132" s="113"/>
      <c r="AU132" s="113"/>
      <c r="AV132" s="113"/>
      <c r="AW132" s="113"/>
      <c r="AX132" s="113"/>
      <c r="AY132" s="113"/>
      <c r="AZ132" s="113"/>
      <c r="BA132" s="113"/>
      <c r="BB132" s="113"/>
      <c r="BC132" s="113"/>
      <c r="BD132" s="113"/>
      <c r="BE132" s="113"/>
      <c r="BF132" s="113"/>
      <c r="BG132" s="113"/>
      <c r="BH132" s="113"/>
      <c r="BI132" s="113"/>
      <c r="BJ132" s="113"/>
      <c r="BK132" s="113"/>
      <c r="BL132" s="113"/>
      <c r="BM132" s="113"/>
      <c r="BN132" s="113"/>
      <c r="BO132" s="113"/>
      <c r="BP132" s="113"/>
      <c r="BQ132" s="113"/>
      <c r="BR132" s="113"/>
      <c r="BS132" s="113"/>
      <c r="BT132" s="113"/>
      <c r="BU132" s="113"/>
      <c r="BV132" s="113"/>
      <c r="BW132" s="113"/>
      <c r="BX132" s="113"/>
      <c r="BY132" s="113"/>
      <c r="BZ132" s="113"/>
      <c r="CA132" s="113"/>
      <c r="CB132" s="113"/>
      <c r="CC132" s="113"/>
      <c r="CD132" s="113"/>
      <c r="CE132" s="113"/>
      <c r="CF132" s="113"/>
      <c r="CG132" s="113"/>
      <c r="CH132" s="113"/>
      <c r="CI132" s="113"/>
      <c r="CJ132" s="113"/>
      <c r="CK132" s="113"/>
      <c r="CL132" s="113"/>
      <c r="CM132" s="113"/>
      <c r="CN132" s="113"/>
      <c r="CO132" s="113"/>
      <c r="CP132" s="113"/>
      <c r="CQ132" s="113"/>
      <c r="CR132" s="113"/>
      <c r="CS132" s="113"/>
      <c r="CT132" s="113"/>
      <c r="CU132" s="113"/>
      <c r="CV132" s="113"/>
      <c r="CW132" s="113"/>
      <c r="CX132" s="113"/>
      <c r="CY132" s="113"/>
      <c r="CZ132" s="113"/>
      <c r="DA132" s="113"/>
      <c r="DB132" s="113"/>
      <c r="DC132" s="113"/>
      <c r="DD132" s="113"/>
      <c r="DE132" s="113"/>
      <c r="DF132" s="113"/>
      <c r="DG132" s="113"/>
      <c r="DH132" s="113"/>
      <c r="DI132" s="113"/>
      <c r="DJ132" s="113"/>
      <c r="DK132" s="113"/>
      <c r="DL132" s="114"/>
      <c r="DM132" s="47"/>
    </row>
    <row r="133" spans="5:117" hidden="1" x14ac:dyDescent="0.35">
      <c r="E133" s="36"/>
      <c r="F133" s="37"/>
      <c r="G133" s="37"/>
      <c r="H133" s="116"/>
      <c r="I133" s="116"/>
      <c r="J133" s="118">
        <f t="shared" si="128"/>
        <v>0</v>
      </c>
      <c r="K133" s="118">
        <f t="shared" si="129"/>
        <v>0</v>
      </c>
      <c r="L133" s="119">
        <f t="shared" si="127"/>
        <v>0</v>
      </c>
      <c r="M133" s="113"/>
      <c r="N133" s="113"/>
      <c r="O133" s="113"/>
      <c r="P133" s="113"/>
      <c r="Q133" s="113"/>
      <c r="R133" s="113"/>
      <c r="S133" s="113"/>
      <c r="T133" s="113"/>
      <c r="U133" s="113"/>
      <c r="V133" s="113"/>
      <c r="W133" s="113"/>
      <c r="X133" s="113"/>
      <c r="Y133" s="113"/>
      <c r="Z133" s="113"/>
      <c r="AA133" s="113"/>
      <c r="AB133" s="113"/>
      <c r="AC133" s="113"/>
      <c r="AD133" s="113"/>
      <c r="AE133" s="113"/>
      <c r="AF133" s="113"/>
      <c r="AG133" s="113"/>
      <c r="AH133" s="113"/>
      <c r="AI133" s="113"/>
      <c r="AJ133" s="113"/>
      <c r="AK133" s="113"/>
      <c r="AL133" s="113"/>
      <c r="AM133" s="113"/>
      <c r="AN133" s="113"/>
      <c r="AO133" s="113"/>
      <c r="AP133" s="113"/>
      <c r="AQ133" s="113"/>
      <c r="AR133" s="113"/>
      <c r="AS133" s="113"/>
      <c r="AT133" s="113"/>
      <c r="AU133" s="113"/>
      <c r="AV133" s="113"/>
      <c r="AW133" s="113"/>
      <c r="AX133" s="113"/>
      <c r="AY133" s="113"/>
      <c r="AZ133" s="113"/>
      <c r="BA133" s="113"/>
      <c r="BB133" s="113"/>
      <c r="BC133" s="113"/>
      <c r="BD133" s="113"/>
      <c r="BE133" s="113"/>
      <c r="BF133" s="113"/>
      <c r="BG133" s="113"/>
      <c r="BH133" s="113"/>
      <c r="BI133" s="113"/>
      <c r="BJ133" s="113"/>
      <c r="BK133" s="113"/>
      <c r="BL133" s="113"/>
      <c r="BM133" s="113"/>
      <c r="BN133" s="113"/>
      <c r="BO133" s="113"/>
      <c r="BP133" s="113"/>
      <c r="BQ133" s="113"/>
      <c r="BR133" s="113"/>
      <c r="BS133" s="113"/>
      <c r="BT133" s="113"/>
      <c r="BU133" s="113"/>
      <c r="BV133" s="113"/>
      <c r="BW133" s="113"/>
      <c r="BX133" s="113"/>
      <c r="BY133" s="113"/>
      <c r="BZ133" s="113"/>
      <c r="CA133" s="113"/>
      <c r="CB133" s="113"/>
      <c r="CC133" s="113"/>
      <c r="CD133" s="113"/>
      <c r="CE133" s="113"/>
      <c r="CF133" s="113"/>
      <c r="CG133" s="113"/>
      <c r="CH133" s="113"/>
      <c r="CI133" s="113"/>
      <c r="CJ133" s="113"/>
      <c r="CK133" s="113"/>
      <c r="CL133" s="113"/>
      <c r="CM133" s="113"/>
      <c r="CN133" s="113"/>
      <c r="CO133" s="113"/>
      <c r="CP133" s="113"/>
      <c r="CQ133" s="113"/>
      <c r="CR133" s="113"/>
      <c r="CS133" s="113"/>
      <c r="CT133" s="113"/>
      <c r="CU133" s="113"/>
      <c r="CV133" s="113"/>
      <c r="CW133" s="113"/>
      <c r="CX133" s="113"/>
      <c r="CY133" s="113"/>
      <c r="CZ133" s="113"/>
      <c r="DA133" s="113"/>
      <c r="DB133" s="113"/>
      <c r="DC133" s="113"/>
      <c r="DD133" s="113"/>
      <c r="DE133" s="113"/>
      <c r="DF133" s="113"/>
      <c r="DG133" s="113"/>
      <c r="DH133" s="113"/>
      <c r="DI133" s="113"/>
      <c r="DJ133" s="113"/>
      <c r="DK133" s="113"/>
      <c r="DL133" s="114"/>
      <c r="DM133" s="47"/>
    </row>
    <row r="134" spans="5:117" hidden="1" x14ac:dyDescent="0.35">
      <c r="E134" s="36"/>
      <c r="F134" s="37"/>
      <c r="G134" s="37"/>
      <c r="H134" s="116"/>
      <c r="I134" s="116"/>
      <c r="J134" s="118">
        <f t="shared" si="128"/>
        <v>0</v>
      </c>
      <c r="K134" s="118">
        <f t="shared" si="129"/>
        <v>0</v>
      </c>
      <c r="L134" s="119">
        <f t="shared" si="127"/>
        <v>0</v>
      </c>
      <c r="M134" s="113"/>
      <c r="N134" s="113"/>
      <c r="O134" s="113"/>
      <c r="P134" s="113"/>
      <c r="Q134" s="113"/>
      <c r="R134" s="113"/>
      <c r="S134" s="113"/>
      <c r="T134" s="113"/>
      <c r="U134" s="113"/>
      <c r="V134" s="113"/>
      <c r="W134" s="113"/>
      <c r="X134" s="113"/>
      <c r="Y134" s="113"/>
      <c r="Z134" s="113"/>
      <c r="AA134" s="113"/>
      <c r="AB134" s="113"/>
      <c r="AC134" s="113"/>
      <c r="AD134" s="113"/>
      <c r="AE134" s="113"/>
      <c r="AF134" s="113"/>
      <c r="AG134" s="113"/>
      <c r="AH134" s="113"/>
      <c r="AI134" s="113"/>
      <c r="AJ134" s="113"/>
      <c r="AK134" s="113"/>
      <c r="AL134" s="113"/>
      <c r="AM134" s="113"/>
      <c r="AN134" s="113"/>
      <c r="AO134" s="113"/>
      <c r="AP134" s="113"/>
      <c r="AQ134" s="113"/>
      <c r="AR134" s="113"/>
      <c r="AS134" s="113"/>
      <c r="AT134" s="113"/>
      <c r="AU134" s="113"/>
      <c r="AV134" s="113"/>
      <c r="AW134" s="113"/>
      <c r="AX134" s="113"/>
      <c r="AY134" s="113"/>
      <c r="AZ134" s="113"/>
      <c r="BA134" s="113"/>
      <c r="BB134" s="113"/>
      <c r="BC134" s="113"/>
      <c r="BD134" s="113"/>
      <c r="BE134" s="113"/>
      <c r="BF134" s="113"/>
      <c r="BG134" s="113"/>
      <c r="BH134" s="113"/>
      <c r="BI134" s="113"/>
      <c r="BJ134" s="113"/>
      <c r="BK134" s="113"/>
      <c r="BL134" s="113"/>
      <c r="BM134" s="113"/>
      <c r="BN134" s="113"/>
      <c r="BO134" s="113"/>
      <c r="BP134" s="113"/>
      <c r="BQ134" s="113"/>
      <c r="BR134" s="113"/>
      <c r="BS134" s="113"/>
      <c r="BT134" s="113"/>
      <c r="BU134" s="113"/>
      <c r="BV134" s="113"/>
      <c r="BW134" s="113"/>
      <c r="BX134" s="113"/>
      <c r="BY134" s="113"/>
      <c r="BZ134" s="113"/>
      <c r="CA134" s="113"/>
      <c r="CB134" s="113"/>
      <c r="CC134" s="113"/>
      <c r="CD134" s="113"/>
      <c r="CE134" s="113"/>
      <c r="CF134" s="113"/>
      <c r="CG134" s="113"/>
      <c r="CH134" s="113"/>
      <c r="CI134" s="113"/>
      <c r="CJ134" s="113"/>
      <c r="CK134" s="113"/>
      <c r="CL134" s="113"/>
      <c r="CM134" s="113"/>
      <c r="CN134" s="113"/>
      <c r="CO134" s="113"/>
      <c r="CP134" s="113"/>
      <c r="CQ134" s="113"/>
      <c r="CR134" s="113"/>
      <c r="CS134" s="113"/>
      <c r="CT134" s="113"/>
      <c r="CU134" s="113"/>
      <c r="CV134" s="113"/>
      <c r="CW134" s="113"/>
      <c r="CX134" s="113"/>
      <c r="CY134" s="113"/>
      <c r="CZ134" s="113"/>
      <c r="DA134" s="113"/>
      <c r="DB134" s="113"/>
      <c r="DC134" s="113"/>
      <c r="DD134" s="113"/>
      <c r="DE134" s="113"/>
      <c r="DF134" s="113"/>
      <c r="DG134" s="113"/>
      <c r="DH134" s="113"/>
      <c r="DI134" s="113"/>
      <c r="DJ134" s="113"/>
      <c r="DK134" s="113"/>
      <c r="DL134" s="114"/>
      <c r="DM134" s="47"/>
    </row>
    <row r="135" spans="5:117" hidden="1" x14ac:dyDescent="0.35">
      <c r="E135" s="36"/>
      <c r="F135" s="37"/>
      <c r="G135" s="37"/>
      <c r="H135" s="116"/>
      <c r="I135" s="116"/>
      <c r="J135" s="118">
        <f t="shared" si="128"/>
        <v>0</v>
      </c>
      <c r="K135" s="118">
        <f t="shared" si="129"/>
        <v>0</v>
      </c>
      <c r="L135" s="119">
        <f t="shared" si="127"/>
        <v>0</v>
      </c>
      <c r="M135" s="113"/>
      <c r="N135" s="113"/>
      <c r="O135" s="113"/>
      <c r="P135" s="113"/>
      <c r="Q135" s="113"/>
      <c r="R135" s="113"/>
      <c r="S135" s="113"/>
      <c r="T135" s="113"/>
      <c r="U135" s="113"/>
      <c r="V135" s="113"/>
      <c r="W135" s="113"/>
      <c r="X135" s="113"/>
      <c r="Y135" s="113"/>
      <c r="Z135" s="113"/>
      <c r="AA135" s="113"/>
      <c r="AB135" s="113"/>
      <c r="AC135" s="113"/>
      <c r="AD135" s="113"/>
      <c r="AE135" s="113"/>
      <c r="AF135" s="113"/>
      <c r="AG135" s="113"/>
      <c r="AH135" s="113"/>
      <c r="AI135" s="113"/>
      <c r="AJ135" s="113"/>
      <c r="AK135" s="113"/>
      <c r="AL135" s="113"/>
      <c r="AM135" s="113"/>
      <c r="AN135" s="113"/>
      <c r="AO135" s="113"/>
      <c r="AP135" s="113"/>
      <c r="AQ135" s="113"/>
      <c r="AR135" s="113"/>
      <c r="AS135" s="113"/>
      <c r="AT135" s="113"/>
      <c r="AU135" s="113"/>
      <c r="AV135" s="113"/>
      <c r="AW135" s="113"/>
      <c r="AX135" s="113"/>
      <c r="AY135" s="113"/>
      <c r="AZ135" s="113"/>
      <c r="BA135" s="113"/>
      <c r="BB135" s="113"/>
      <c r="BC135" s="113"/>
      <c r="BD135" s="113"/>
      <c r="BE135" s="113"/>
      <c r="BF135" s="113"/>
      <c r="BG135" s="113"/>
      <c r="BH135" s="113"/>
      <c r="BI135" s="113"/>
      <c r="BJ135" s="113"/>
      <c r="BK135" s="113"/>
      <c r="BL135" s="113"/>
      <c r="BM135" s="113"/>
      <c r="BN135" s="113"/>
      <c r="BO135" s="113"/>
      <c r="BP135" s="113"/>
      <c r="BQ135" s="113"/>
      <c r="BR135" s="113"/>
      <c r="BS135" s="113"/>
      <c r="BT135" s="113"/>
      <c r="BU135" s="113"/>
      <c r="BV135" s="113"/>
      <c r="BW135" s="113"/>
      <c r="BX135" s="113"/>
      <c r="BY135" s="113"/>
      <c r="BZ135" s="113"/>
      <c r="CA135" s="113"/>
      <c r="CB135" s="113"/>
      <c r="CC135" s="113"/>
      <c r="CD135" s="113"/>
      <c r="CE135" s="113"/>
      <c r="CF135" s="113"/>
      <c r="CG135" s="113"/>
      <c r="CH135" s="113"/>
      <c r="CI135" s="113"/>
      <c r="CJ135" s="113"/>
      <c r="CK135" s="113"/>
      <c r="CL135" s="113"/>
      <c r="CM135" s="113"/>
      <c r="CN135" s="113"/>
      <c r="CO135" s="113"/>
      <c r="CP135" s="113"/>
      <c r="CQ135" s="113"/>
      <c r="CR135" s="113"/>
      <c r="CS135" s="113"/>
      <c r="CT135" s="113"/>
      <c r="CU135" s="113"/>
      <c r="CV135" s="113"/>
      <c r="CW135" s="113"/>
      <c r="CX135" s="113"/>
      <c r="CY135" s="113"/>
      <c r="CZ135" s="113"/>
      <c r="DA135" s="113"/>
      <c r="DB135" s="113"/>
      <c r="DC135" s="113"/>
      <c r="DD135" s="113"/>
      <c r="DE135" s="113"/>
      <c r="DF135" s="113"/>
      <c r="DG135" s="113"/>
      <c r="DH135" s="113"/>
      <c r="DI135" s="113"/>
      <c r="DJ135" s="113"/>
      <c r="DK135" s="113"/>
      <c r="DL135" s="114"/>
      <c r="DM135" s="47"/>
    </row>
    <row r="136" spans="5:117" hidden="1" x14ac:dyDescent="0.35">
      <c r="E136" s="36"/>
      <c r="F136" s="37"/>
      <c r="G136" s="37"/>
      <c r="H136" s="116"/>
      <c r="I136" s="116"/>
      <c r="J136" s="118">
        <f t="shared" si="128"/>
        <v>0</v>
      </c>
      <c r="K136" s="118">
        <f t="shared" si="129"/>
        <v>0</v>
      </c>
      <c r="L136" s="119">
        <f t="shared" si="127"/>
        <v>0</v>
      </c>
      <c r="M136" s="113"/>
      <c r="N136" s="113"/>
      <c r="O136" s="113"/>
      <c r="P136" s="113"/>
      <c r="Q136" s="113"/>
      <c r="R136" s="113"/>
      <c r="S136" s="113"/>
      <c r="T136" s="113"/>
      <c r="U136" s="113"/>
      <c r="V136" s="113"/>
      <c r="W136" s="113"/>
      <c r="X136" s="113"/>
      <c r="Y136" s="113"/>
      <c r="Z136" s="113"/>
      <c r="AA136" s="113"/>
      <c r="AB136" s="113"/>
      <c r="AC136" s="113"/>
      <c r="AD136" s="113"/>
      <c r="AE136" s="113"/>
      <c r="AF136" s="113"/>
      <c r="AG136" s="113"/>
      <c r="AH136" s="113"/>
      <c r="AI136" s="113"/>
      <c r="AJ136" s="113"/>
      <c r="AK136" s="113"/>
      <c r="AL136" s="113"/>
      <c r="AM136" s="113"/>
      <c r="AN136" s="113"/>
      <c r="AO136" s="113"/>
      <c r="AP136" s="113"/>
      <c r="AQ136" s="113"/>
      <c r="AR136" s="113"/>
      <c r="AS136" s="113"/>
      <c r="AT136" s="113"/>
      <c r="AU136" s="113"/>
      <c r="AV136" s="113"/>
      <c r="AW136" s="113"/>
      <c r="AX136" s="113"/>
      <c r="AY136" s="113"/>
      <c r="AZ136" s="113"/>
      <c r="BA136" s="113"/>
      <c r="BB136" s="113"/>
      <c r="BC136" s="113"/>
      <c r="BD136" s="113"/>
      <c r="BE136" s="113"/>
      <c r="BF136" s="113"/>
      <c r="BG136" s="113"/>
      <c r="BH136" s="113"/>
      <c r="BI136" s="113"/>
      <c r="BJ136" s="113"/>
      <c r="BK136" s="113"/>
      <c r="BL136" s="113"/>
      <c r="BM136" s="113"/>
      <c r="BN136" s="113"/>
      <c r="BO136" s="113"/>
      <c r="BP136" s="113"/>
      <c r="BQ136" s="113"/>
      <c r="BR136" s="113"/>
      <c r="BS136" s="113"/>
      <c r="BT136" s="113"/>
      <c r="BU136" s="113"/>
      <c r="BV136" s="113"/>
      <c r="BW136" s="113"/>
      <c r="BX136" s="113"/>
      <c r="BY136" s="113"/>
      <c r="BZ136" s="113"/>
      <c r="CA136" s="113"/>
      <c r="CB136" s="113"/>
      <c r="CC136" s="113"/>
      <c r="CD136" s="113"/>
      <c r="CE136" s="113"/>
      <c r="CF136" s="113"/>
      <c r="CG136" s="113"/>
      <c r="CH136" s="113"/>
      <c r="CI136" s="113"/>
      <c r="CJ136" s="113"/>
      <c r="CK136" s="113"/>
      <c r="CL136" s="113"/>
      <c r="CM136" s="113"/>
      <c r="CN136" s="113"/>
      <c r="CO136" s="113"/>
      <c r="CP136" s="113"/>
      <c r="CQ136" s="113"/>
      <c r="CR136" s="113"/>
      <c r="CS136" s="113"/>
      <c r="CT136" s="113"/>
      <c r="CU136" s="113"/>
      <c r="CV136" s="113"/>
      <c r="CW136" s="113"/>
      <c r="CX136" s="113"/>
      <c r="CY136" s="113"/>
      <c r="CZ136" s="113"/>
      <c r="DA136" s="113"/>
      <c r="DB136" s="113"/>
      <c r="DC136" s="113"/>
      <c r="DD136" s="113"/>
      <c r="DE136" s="113"/>
      <c r="DF136" s="113"/>
      <c r="DG136" s="113"/>
      <c r="DH136" s="113"/>
      <c r="DI136" s="113"/>
      <c r="DJ136" s="113"/>
      <c r="DK136" s="113"/>
      <c r="DL136" s="114"/>
      <c r="DM136" s="47"/>
    </row>
    <row r="137" spans="5:117" hidden="1" x14ac:dyDescent="0.35">
      <c r="E137" s="36"/>
      <c r="F137" s="37"/>
      <c r="G137" s="37"/>
      <c r="H137" s="116"/>
      <c r="I137" s="116"/>
      <c r="J137" s="118">
        <f t="shared" si="128"/>
        <v>0</v>
      </c>
      <c r="K137" s="118">
        <f t="shared" si="129"/>
        <v>0</v>
      </c>
      <c r="L137" s="119">
        <f t="shared" si="127"/>
        <v>0</v>
      </c>
      <c r="M137" s="113"/>
      <c r="N137" s="113"/>
      <c r="O137" s="113"/>
      <c r="P137" s="113"/>
      <c r="Q137" s="113"/>
      <c r="R137" s="113"/>
      <c r="S137" s="113"/>
      <c r="T137" s="113"/>
      <c r="U137" s="113"/>
      <c r="V137" s="113"/>
      <c r="W137" s="113"/>
      <c r="X137" s="113"/>
      <c r="Y137" s="113"/>
      <c r="Z137" s="113"/>
      <c r="AA137" s="113"/>
      <c r="AB137" s="113"/>
      <c r="AC137" s="113"/>
      <c r="AD137" s="113"/>
      <c r="AE137" s="113"/>
      <c r="AF137" s="113"/>
      <c r="AG137" s="113"/>
      <c r="AH137" s="113"/>
      <c r="AI137" s="113"/>
      <c r="AJ137" s="113"/>
      <c r="AK137" s="113"/>
      <c r="AL137" s="113"/>
      <c r="AM137" s="113"/>
      <c r="AN137" s="113"/>
      <c r="AO137" s="113"/>
      <c r="AP137" s="113"/>
      <c r="AQ137" s="113"/>
      <c r="AR137" s="113"/>
      <c r="AS137" s="113"/>
      <c r="AT137" s="113"/>
      <c r="AU137" s="113"/>
      <c r="AV137" s="113"/>
      <c r="AW137" s="113"/>
      <c r="AX137" s="113"/>
      <c r="AY137" s="113"/>
      <c r="AZ137" s="113"/>
      <c r="BA137" s="113"/>
      <c r="BB137" s="113"/>
      <c r="BC137" s="113"/>
      <c r="BD137" s="113"/>
      <c r="BE137" s="113"/>
      <c r="BF137" s="113"/>
      <c r="BG137" s="113"/>
      <c r="BH137" s="113"/>
      <c r="BI137" s="113"/>
      <c r="BJ137" s="113"/>
      <c r="BK137" s="113"/>
      <c r="BL137" s="113"/>
      <c r="BM137" s="113"/>
      <c r="BN137" s="113"/>
      <c r="BO137" s="113"/>
      <c r="BP137" s="113"/>
      <c r="BQ137" s="113"/>
      <c r="BR137" s="113"/>
      <c r="BS137" s="113"/>
      <c r="BT137" s="113"/>
      <c r="BU137" s="113"/>
      <c r="BV137" s="113"/>
      <c r="BW137" s="113"/>
      <c r="BX137" s="113"/>
      <c r="BY137" s="113"/>
      <c r="BZ137" s="113"/>
      <c r="CA137" s="113"/>
      <c r="CB137" s="113"/>
      <c r="CC137" s="113"/>
      <c r="CD137" s="113"/>
      <c r="CE137" s="113"/>
      <c r="CF137" s="113"/>
      <c r="CG137" s="113"/>
      <c r="CH137" s="113"/>
      <c r="CI137" s="113"/>
      <c r="CJ137" s="113"/>
      <c r="CK137" s="113"/>
      <c r="CL137" s="113"/>
      <c r="CM137" s="113"/>
      <c r="CN137" s="113"/>
      <c r="CO137" s="113"/>
      <c r="CP137" s="113"/>
      <c r="CQ137" s="113"/>
      <c r="CR137" s="113"/>
      <c r="CS137" s="113"/>
      <c r="CT137" s="113"/>
      <c r="CU137" s="113"/>
      <c r="CV137" s="113"/>
      <c r="CW137" s="113"/>
      <c r="CX137" s="113"/>
      <c r="CY137" s="113"/>
      <c r="CZ137" s="113"/>
      <c r="DA137" s="113"/>
      <c r="DB137" s="113"/>
      <c r="DC137" s="113"/>
      <c r="DD137" s="113"/>
      <c r="DE137" s="113"/>
      <c r="DF137" s="113"/>
      <c r="DG137" s="113"/>
      <c r="DH137" s="113"/>
      <c r="DI137" s="113"/>
      <c r="DJ137" s="113"/>
      <c r="DK137" s="113"/>
      <c r="DL137" s="114"/>
      <c r="DM137" s="47"/>
    </row>
    <row r="138" spans="5:117" hidden="1" x14ac:dyDescent="0.35">
      <c r="E138" s="36"/>
      <c r="F138" s="37"/>
      <c r="G138" s="37"/>
      <c r="H138" s="116"/>
      <c r="I138" s="116"/>
      <c r="J138" s="118">
        <f t="shared" si="128"/>
        <v>0</v>
      </c>
      <c r="K138" s="118">
        <f t="shared" si="129"/>
        <v>0</v>
      </c>
      <c r="L138" s="119">
        <f t="shared" si="127"/>
        <v>0</v>
      </c>
      <c r="M138" s="113"/>
      <c r="N138" s="113"/>
      <c r="O138" s="113"/>
      <c r="P138" s="113"/>
      <c r="Q138" s="113"/>
      <c r="R138" s="113"/>
      <c r="S138" s="113"/>
      <c r="T138" s="113"/>
      <c r="U138" s="113"/>
      <c r="V138" s="113"/>
      <c r="W138" s="113"/>
      <c r="X138" s="113"/>
      <c r="Y138" s="113"/>
      <c r="Z138" s="113"/>
      <c r="AA138" s="113"/>
      <c r="AB138" s="113"/>
      <c r="AC138" s="113"/>
      <c r="AD138" s="113"/>
      <c r="AE138" s="113"/>
      <c r="AF138" s="113"/>
      <c r="AG138" s="113"/>
      <c r="AH138" s="113"/>
      <c r="AI138" s="113"/>
      <c r="AJ138" s="113"/>
      <c r="AK138" s="113"/>
      <c r="AL138" s="113"/>
      <c r="AM138" s="113"/>
      <c r="AN138" s="113"/>
      <c r="AO138" s="113"/>
      <c r="AP138" s="113"/>
      <c r="AQ138" s="113"/>
      <c r="AR138" s="113"/>
      <c r="AS138" s="113"/>
      <c r="AT138" s="113"/>
      <c r="AU138" s="113"/>
      <c r="AV138" s="113"/>
      <c r="AW138" s="113"/>
      <c r="AX138" s="113"/>
      <c r="AY138" s="113"/>
      <c r="AZ138" s="113"/>
      <c r="BA138" s="113"/>
      <c r="BB138" s="113"/>
      <c r="BC138" s="113"/>
      <c r="BD138" s="113"/>
      <c r="BE138" s="113"/>
      <c r="BF138" s="113"/>
      <c r="BG138" s="113"/>
      <c r="BH138" s="113"/>
      <c r="BI138" s="113"/>
      <c r="BJ138" s="113"/>
      <c r="BK138" s="113"/>
      <c r="BL138" s="113"/>
      <c r="BM138" s="113"/>
      <c r="BN138" s="113"/>
      <c r="BO138" s="113"/>
      <c r="BP138" s="113"/>
      <c r="BQ138" s="113"/>
      <c r="BR138" s="113"/>
      <c r="BS138" s="113"/>
      <c r="BT138" s="113"/>
      <c r="BU138" s="113"/>
      <c r="BV138" s="113"/>
      <c r="BW138" s="113"/>
      <c r="BX138" s="113"/>
      <c r="BY138" s="113"/>
      <c r="BZ138" s="113"/>
      <c r="CA138" s="113"/>
      <c r="CB138" s="113"/>
      <c r="CC138" s="113"/>
      <c r="CD138" s="113"/>
      <c r="CE138" s="113"/>
      <c r="CF138" s="113"/>
      <c r="CG138" s="113"/>
      <c r="CH138" s="113"/>
      <c r="CI138" s="113"/>
      <c r="CJ138" s="113"/>
      <c r="CK138" s="113"/>
      <c r="CL138" s="113"/>
      <c r="CM138" s="113"/>
      <c r="CN138" s="113"/>
      <c r="CO138" s="113"/>
      <c r="CP138" s="113"/>
      <c r="CQ138" s="113"/>
      <c r="CR138" s="113"/>
      <c r="CS138" s="113"/>
      <c r="CT138" s="113"/>
      <c r="CU138" s="113"/>
      <c r="CV138" s="113"/>
      <c r="CW138" s="113"/>
      <c r="CX138" s="113"/>
      <c r="CY138" s="113"/>
      <c r="CZ138" s="113"/>
      <c r="DA138" s="113"/>
      <c r="DB138" s="113"/>
      <c r="DC138" s="113"/>
      <c r="DD138" s="113"/>
      <c r="DE138" s="113"/>
      <c r="DF138" s="113"/>
      <c r="DG138" s="113"/>
      <c r="DH138" s="113"/>
      <c r="DI138" s="113"/>
      <c r="DJ138" s="113"/>
      <c r="DK138" s="113"/>
      <c r="DL138" s="114"/>
      <c r="DM138" s="47"/>
    </row>
    <row r="139" spans="5:117" hidden="1" x14ac:dyDescent="0.35">
      <c r="E139" s="36"/>
      <c r="F139" s="37"/>
      <c r="G139" s="37"/>
      <c r="H139" s="116"/>
      <c r="I139" s="116"/>
      <c r="J139" s="118">
        <f t="shared" si="128"/>
        <v>0</v>
      </c>
      <c r="K139" s="118">
        <f t="shared" si="129"/>
        <v>0</v>
      </c>
      <c r="L139" s="119">
        <f t="shared" si="127"/>
        <v>0</v>
      </c>
      <c r="M139" s="113"/>
      <c r="N139" s="113"/>
      <c r="O139" s="113"/>
      <c r="P139" s="113"/>
      <c r="Q139" s="113"/>
      <c r="R139" s="113"/>
      <c r="S139" s="113"/>
      <c r="T139" s="113"/>
      <c r="U139" s="113"/>
      <c r="V139" s="113"/>
      <c r="W139" s="113"/>
      <c r="X139" s="113"/>
      <c r="Y139" s="113"/>
      <c r="Z139" s="113"/>
      <c r="AA139" s="113"/>
      <c r="AB139" s="113"/>
      <c r="AC139" s="113"/>
      <c r="AD139" s="113"/>
      <c r="AE139" s="113"/>
      <c r="AF139" s="113"/>
      <c r="AG139" s="113"/>
      <c r="AH139" s="113"/>
      <c r="AI139" s="113"/>
      <c r="AJ139" s="113"/>
      <c r="AK139" s="113"/>
      <c r="AL139" s="113"/>
      <c r="AM139" s="113"/>
      <c r="AN139" s="113"/>
      <c r="AO139" s="113"/>
      <c r="AP139" s="113"/>
      <c r="AQ139" s="113"/>
      <c r="AR139" s="113"/>
      <c r="AS139" s="113"/>
      <c r="AT139" s="113"/>
      <c r="AU139" s="113"/>
      <c r="AV139" s="113"/>
      <c r="AW139" s="113"/>
      <c r="AX139" s="113"/>
      <c r="AY139" s="113"/>
      <c r="AZ139" s="113"/>
      <c r="BA139" s="113"/>
      <c r="BB139" s="113"/>
      <c r="BC139" s="113"/>
      <c r="BD139" s="113"/>
      <c r="BE139" s="113"/>
      <c r="BF139" s="113"/>
      <c r="BG139" s="113"/>
      <c r="BH139" s="113"/>
      <c r="BI139" s="113"/>
      <c r="BJ139" s="113"/>
      <c r="BK139" s="113"/>
      <c r="BL139" s="113"/>
      <c r="BM139" s="113"/>
      <c r="BN139" s="113"/>
      <c r="BO139" s="113"/>
      <c r="BP139" s="113"/>
      <c r="BQ139" s="113"/>
      <c r="BR139" s="113"/>
      <c r="BS139" s="113"/>
      <c r="BT139" s="113"/>
      <c r="BU139" s="113"/>
      <c r="BV139" s="113"/>
      <c r="BW139" s="113"/>
      <c r="BX139" s="113"/>
      <c r="BY139" s="113"/>
      <c r="BZ139" s="113"/>
      <c r="CA139" s="113"/>
      <c r="CB139" s="113"/>
      <c r="CC139" s="113"/>
      <c r="CD139" s="113"/>
      <c r="CE139" s="113"/>
      <c r="CF139" s="113"/>
      <c r="CG139" s="113"/>
      <c r="CH139" s="113"/>
      <c r="CI139" s="113"/>
      <c r="CJ139" s="113"/>
      <c r="CK139" s="113"/>
      <c r="CL139" s="113"/>
      <c r="CM139" s="113"/>
      <c r="CN139" s="113"/>
      <c r="CO139" s="113"/>
      <c r="CP139" s="113"/>
      <c r="CQ139" s="113"/>
      <c r="CR139" s="113"/>
      <c r="CS139" s="113"/>
      <c r="CT139" s="113"/>
      <c r="CU139" s="113"/>
      <c r="CV139" s="113"/>
      <c r="CW139" s="113"/>
      <c r="CX139" s="113"/>
      <c r="CY139" s="113"/>
      <c r="CZ139" s="113"/>
      <c r="DA139" s="113"/>
      <c r="DB139" s="113"/>
      <c r="DC139" s="113"/>
      <c r="DD139" s="113"/>
      <c r="DE139" s="113"/>
      <c r="DF139" s="113"/>
      <c r="DG139" s="113"/>
      <c r="DH139" s="113"/>
      <c r="DI139" s="113"/>
      <c r="DJ139" s="113"/>
      <c r="DK139" s="113"/>
      <c r="DL139" s="114"/>
      <c r="DM139" s="47"/>
    </row>
    <row r="140" spans="5:117" hidden="1" x14ac:dyDescent="0.35">
      <c r="E140" s="36"/>
      <c r="F140" s="37"/>
      <c r="G140" s="37"/>
      <c r="H140" s="116"/>
      <c r="I140" s="116"/>
      <c r="J140" s="118">
        <f t="shared" si="128"/>
        <v>0</v>
      </c>
      <c r="K140" s="118">
        <f t="shared" si="129"/>
        <v>0</v>
      </c>
      <c r="L140" s="119">
        <f t="shared" si="127"/>
        <v>0</v>
      </c>
      <c r="M140" s="113"/>
      <c r="N140" s="113"/>
      <c r="O140" s="113"/>
      <c r="P140" s="113"/>
      <c r="Q140" s="113"/>
      <c r="R140" s="113"/>
      <c r="S140" s="113"/>
      <c r="T140" s="113"/>
      <c r="U140" s="113"/>
      <c r="V140" s="113"/>
      <c r="W140" s="113"/>
      <c r="X140" s="113"/>
      <c r="Y140" s="113"/>
      <c r="Z140" s="113"/>
      <c r="AA140" s="113"/>
      <c r="AB140" s="113"/>
      <c r="AC140" s="113"/>
      <c r="AD140" s="113"/>
      <c r="AE140" s="113"/>
      <c r="AF140" s="113"/>
      <c r="AG140" s="113"/>
      <c r="AH140" s="113"/>
      <c r="AI140" s="113"/>
      <c r="AJ140" s="113"/>
      <c r="AK140" s="113"/>
      <c r="AL140" s="113"/>
      <c r="AM140" s="113"/>
      <c r="AN140" s="113"/>
      <c r="AO140" s="113"/>
      <c r="AP140" s="113"/>
      <c r="AQ140" s="113"/>
      <c r="AR140" s="113"/>
      <c r="AS140" s="113"/>
      <c r="AT140" s="113"/>
      <c r="AU140" s="113"/>
      <c r="AV140" s="113"/>
      <c r="AW140" s="113"/>
      <c r="AX140" s="113"/>
      <c r="AY140" s="113"/>
      <c r="AZ140" s="113"/>
      <c r="BA140" s="113"/>
      <c r="BB140" s="113"/>
      <c r="BC140" s="113"/>
      <c r="BD140" s="113"/>
      <c r="BE140" s="113"/>
      <c r="BF140" s="113"/>
      <c r="BG140" s="113"/>
      <c r="BH140" s="113"/>
      <c r="BI140" s="113"/>
      <c r="BJ140" s="113"/>
      <c r="BK140" s="113"/>
      <c r="BL140" s="113"/>
      <c r="BM140" s="113"/>
      <c r="BN140" s="113"/>
      <c r="BO140" s="113"/>
      <c r="BP140" s="113"/>
      <c r="BQ140" s="113"/>
      <c r="BR140" s="113"/>
      <c r="BS140" s="113"/>
      <c r="BT140" s="113"/>
      <c r="BU140" s="113"/>
      <c r="BV140" s="113"/>
      <c r="BW140" s="113"/>
      <c r="BX140" s="113"/>
      <c r="BY140" s="113"/>
      <c r="BZ140" s="113"/>
      <c r="CA140" s="113"/>
      <c r="CB140" s="113"/>
      <c r="CC140" s="113"/>
      <c r="CD140" s="113"/>
      <c r="CE140" s="113"/>
      <c r="CF140" s="113"/>
      <c r="CG140" s="113"/>
      <c r="CH140" s="113"/>
      <c r="CI140" s="113"/>
      <c r="CJ140" s="113"/>
      <c r="CK140" s="113"/>
      <c r="CL140" s="113"/>
      <c r="CM140" s="113"/>
      <c r="CN140" s="113"/>
      <c r="CO140" s="113"/>
      <c r="CP140" s="113"/>
      <c r="CQ140" s="113"/>
      <c r="CR140" s="113"/>
      <c r="CS140" s="113"/>
      <c r="CT140" s="113"/>
      <c r="CU140" s="113"/>
      <c r="CV140" s="113"/>
      <c r="CW140" s="113"/>
      <c r="CX140" s="113"/>
      <c r="CY140" s="113"/>
      <c r="CZ140" s="113"/>
      <c r="DA140" s="113"/>
      <c r="DB140" s="113"/>
      <c r="DC140" s="113"/>
      <c r="DD140" s="113"/>
      <c r="DE140" s="113"/>
      <c r="DF140" s="113"/>
      <c r="DG140" s="113"/>
      <c r="DH140" s="113"/>
      <c r="DI140" s="113"/>
      <c r="DJ140" s="113"/>
      <c r="DK140" s="113"/>
      <c r="DL140" s="114"/>
      <c r="DM140" s="47"/>
    </row>
    <row r="141" spans="5:117" hidden="1" x14ac:dyDescent="0.35">
      <c r="E141" s="36"/>
      <c r="F141" s="37"/>
      <c r="G141" s="37"/>
      <c r="H141" s="116"/>
      <c r="I141" s="116"/>
      <c r="J141" s="118">
        <f t="shared" si="128"/>
        <v>0</v>
      </c>
      <c r="K141" s="118">
        <f t="shared" si="129"/>
        <v>0</v>
      </c>
      <c r="L141" s="119">
        <f t="shared" si="127"/>
        <v>0</v>
      </c>
      <c r="M141" s="113"/>
      <c r="N141" s="113"/>
      <c r="O141" s="113"/>
      <c r="P141" s="113"/>
      <c r="Q141" s="113"/>
      <c r="R141" s="113"/>
      <c r="S141" s="113"/>
      <c r="T141" s="113"/>
      <c r="U141" s="113"/>
      <c r="V141" s="113"/>
      <c r="W141" s="113"/>
      <c r="X141" s="113"/>
      <c r="Y141" s="113"/>
      <c r="Z141" s="113"/>
      <c r="AA141" s="113"/>
      <c r="AB141" s="113"/>
      <c r="AC141" s="113"/>
      <c r="AD141" s="113"/>
      <c r="AE141" s="113"/>
      <c r="AF141" s="113"/>
      <c r="AG141" s="113"/>
      <c r="AH141" s="113"/>
      <c r="AI141" s="113"/>
      <c r="AJ141" s="113"/>
      <c r="AK141" s="113"/>
      <c r="AL141" s="113"/>
      <c r="AM141" s="113"/>
      <c r="AN141" s="113"/>
      <c r="AO141" s="113"/>
      <c r="AP141" s="113"/>
      <c r="AQ141" s="113"/>
      <c r="AR141" s="113"/>
      <c r="AS141" s="113"/>
      <c r="AT141" s="113"/>
      <c r="AU141" s="113"/>
      <c r="AV141" s="113"/>
      <c r="AW141" s="113"/>
      <c r="AX141" s="113"/>
      <c r="AY141" s="113"/>
      <c r="AZ141" s="113"/>
      <c r="BA141" s="113"/>
      <c r="BB141" s="113"/>
      <c r="BC141" s="113"/>
      <c r="BD141" s="113"/>
      <c r="BE141" s="113"/>
      <c r="BF141" s="113"/>
      <c r="BG141" s="113"/>
      <c r="BH141" s="113"/>
      <c r="BI141" s="113"/>
      <c r="BJ141" s="113"/>
      <c r="BK141" s="113"/>
      <c r="BL141" s="113"/>
      <c r="BM141" s="113"/>
      <c r="BN141" s="113"/>
      <c r="BO141" s="113"/>
      <c r="BP141" s="113"/>
      <c r="BQ141" s="113"/>
      <c r="BR141" s="113"/>
      <c r="BS141" s="113"/>
      <c r="BT141" s="113"/>
      <c r="BU141" s="113"/>
      <c r="BV141" s="113"/>
      <c r="BW141" s="113"/>
      <c r="BX141" s="113"/>
      <c r="BY141" s="113"/>
      <c r="BZ141" s="113"/>
      <c r="CA141" s="113"/>
      <c r="CB141" s="113"/>
      <c r="CC141" s="113"/>
      <c r="CD141" s="113"/>
      <c r="CE141" s="113"/>
      <c r="CF141" s="113"/>
      <c r="CG141" s="113"/>
      <c r="CH141" s="113"/>
      <c r="CI141" s="113"/>
      <c r="CJ141" s="113"/>
      <c r="CK141" s="113"/>
      <c r="CL141" s="113"/>
      <c r="CM141" s="113"/>
      <c r="CN141" s="113"/>
      <c r="CO141" s="113"/>
      <c r="CP141" s="113"/>
      <c r="CQ141" s="113"/>
      <c r="CR141" s="113"/>
      <c r="CS141" s="113"/>
      <c r="CT141" s="113"/>
      <c r="CU141" s="113"/>
      <c r="CV141" s="113"/>
      <c r="CW141" s="113"/>
      <c r="CX141" s="113"/>
      <c r="CY141" s="113"/>
      <c r="CZ141" s="113"/>
      <c r="DA141" s="113"/>
      <c r="DB141" s="113"/>
      <c r="DC141" s="113"/>
      <c r="DD141" s="113"/>
      <c r="DE141" s="113"/>
      <c r="DF141" s="113"/>
      <c r="DG141" s="113"/>
      <c r="DH141" s="113"/>
      <c r="DI141" s="113"/>
      <c r="DJ141" s="113"/>
      <c r="DK141" s="113"/>
      <c r="DL141" s="114"/>
      <c r="DM141" s="47"/>
    </row>
    <row r="142" spans="5:117" hidden="1" x14ac:dyDescent="0.35">
      <c r="E142" s="36"/>
      <c r="F142" s="37"/>
      <c r="G142" s="37"/>
      <c r="H142" s="116"/>
      <c r="I142" s="116"/>
      <c r="J142" s="118">
        <f t="shared" si="128"/>
        <v>0</v>
      </c>
      <c r="K142" s="118">
        <f t="shared" si="129"/>
        <v>0</v>
      </c>
      <c r="L142" s="119">
        <f t="shared" si="127"/>
        <v>0</v>
      </c>
      <c r="M142" s="113"/>
      <c r="N142" s="113"/>
      <c r="O142" s="113"/>
      <c r="P142" s="113"/>
      <c r="Q142" s="113"/>
      <c r="R142" s="113"/>
      <c r="S142" s="113"/>
      <c r="T142" s="113"/>
      <c r="U142" s="113"/>
      <c r="V142" s="113"/>
      <c r="W142" s="113"/>
      <c r="X142" s="113"/>
      <c r="Y142" s="113"/>
      <c r="Z142" s="113"/>
      <c r="AA142" s="113"/>
      <c r="AB142" s="113"/>
      <c r="AC142" s="113"/>
      <c r="AD142" s="113"/>
      <c r="AE142" s="113"/>
      <c r="AF142" s="113"/>
      <c r="AG142" s="113"/>
      <c r="AH142" s="113"/>
      <c r="AI142" s="113"/>
      <c r="AJ142" s="113"/>
      <c r="AK142" s="113"/>
      <c r="AL142" s="113"/>
      <c r="AM142" s="113"/>
      <c r="AN142" s="113"/>
      <c r="AO142" s="113"/>
      <c r="AP142" s="113"/>
      <c r="AQ142" s="113"/>
      <c r="AR142" s="113"/>
      <c r="AS142" s="113"/>
      <c r="AT142" s="113"/>
      <c r="AU142" s="113"/>
      <c r="AV142" s="113"/>
      <c r="AW142" s="113"/>
      <c r="AX142" s="113"/>
      <c r="AY142" s="113"/>
      <c r="AZ142" s="113"/>
      <c r="BA142" s="113"/>
      <c r="BB142" s="113"/>
      <c r="BC142" s="113"/>
      <c r="BD142" s="113"/>
      <c r="BE142" s="113"/>
      <c r="BF142" s="113"/>
      <c r="BG142" s="113"/>
      <c r="BH142" s="113"/>
      <c r="BI142" s="113"/>
      <c r="BJ142" s="113"/>
      <c r="BK142" s="113"/>
      <c r="BL142" s="113"/>
      <c r="BM142" s="113"/>
      <c r="BN142" s="113"/>
      <c r="BO142" s="113"/>
      <c r="BP142" s="113"/>
      <c r="BQ142" s="113"/>
      <c r="BR142" s="113"/>
      <c r="BS142" s="113"/>
      <c r="BT142" s="113"/>
      <c r="BU142" s="113"/>
      <c r="BV142" s="113"/>
      <c r="BW142" s="113"/>
      <c r="BX142" s="113"/>
      <c r="BY142" s="113"/>
      <c r="BZ142" s="113"/>
      <c r="CA142" s="113"/>
      <c r="CB142" s="113"/>
      <c r="CC142" s="113"/>
      <c r="CD142" s="113"/>
      <c r="CE142" s="113"/>
      <c r="CF142" s="113"/>
      <c r="CG142" s="113"/>
      <c r="CH142" s="113"/>
      <c r="CI142" s="113"/>
      <c r="CJ142" s="113"/>
      <c r="CK142" s="113"/>
      <c r="CL142" s="113"/>
      <c r="CM142" s="113"/>
      <c r="CN142" s="113"/>
      <c r="CO142" s="113"/>
      <c r="CP142" s="113"/>
      <c r="CQ142" s="113"/>
      <c r="CR142" s="113"/>
      <c r="CS142" s="113"/>
      <c r="CT142" s="113"/>
      <c r="CU142" s="113"/>
      <c r="CV142" s="113"/>
      <c r="CW142" s="113"/>
      <c r="CX142" s="113"/>
      <c r="CY142" s="113"/>
      <c r="CZ142" s="113"/>
      <c r="DA142" s="113"/>
      <c r="DB142" s="113"/>
      <c r="DC142" s="113"/>
      <c r="DD142" s="113"/>
      <c r="DE142" s="113"/>
      <c r="DF142" s="113"/>
      <c r="DG142" s="113"/>
      <c r="DH142" s="113"/>
      <c r="DI142" s="113"/>
      <c r="DJ142" s="113"/>
      <c r="DK142" s="113"/>
      <c r="DL142" s="114"/>
      <c r="DM142" s="47"/>
    </row>
    <row r="143" spans="5:117" hidden="1" x14ac:dyDescent="0.35">
      <c r="E143" s="36"/>
      <c r="F143" s="37"/>
      <c r="G143" s="37"/>
      <c r="H143" s="116"/>
      <c r="I143" s="116"/>
      <c r="J143" s="118">
        <f t="shared" si="128"/>
        <v>0</v>
      </c>
      <c r="K143" s="118">
        <f t="shared" si="129"/>
        <v>0</v>
      </c>
      <c r="L143" s="119">
        <f t="shared" si="127"/>
        <v>0</v>
      </c>
      <c r="M143" s="113"/>
      <c r="N143" s="113"/>
      <c r="O143" s="113"/>
      <c r="P143" s="113"/>
      <c r="Q143" s="113"/>
      <c r="R143" s="113"/>
      <c r="S143" s="113"/>
      <c r="T143" s="113"/>
      <c r="U143" s="113"/>
      <c r="V143" s="113"/>
      <c r="W143" s="113"/>
      <c r="X143" s="113"/>
      <c r="Y143" s="113"/>
      <c r="Z143" s="113"/>
      <c r="AA143" s="113"/>
      <c r="AB143" s="113"/>
      <c r="AC143" s="113"/>
      <c r="AD143" s="113"/>
      <c r="AE143" s="113"/>
      <c r="AF143" s="113"/>
      <c r="AG143" s="113"/>
      <c r="AH143" s="113"/>
      <c r="AI143" s="113"/>
      <c r="AJ143" s="113"/>
      <c r="AK143" s="113"/>
      <c r="AL143" s="113"/>
      <c r="AM143" s="113"/>
      <c r="AN143" s="113"/>
      <c r="AO143" s="113"/>
      <c r="AP143" s="113"/>
      <c r="AQ143" s="113"/>
      <c r="AR143" s="113"/>
      <c r="AS143" s="113"/>
      <c r="AT143" s="113"/>
      <c r="AU143" s="113"/>
      <c r="AV143" s="113"/>
      <c r="AW143" s="113"/>
      <c r="AX143" s="113"/>
      <c r="AY143" s="113"/>
      <c r="AZ143" s="113"/>
      <c r="BA143" s="113"/>
      <c r="BB143" s="113"/>
      <c r="BC143" s="113"/>
      <c r="BD143" s="113"/>
      <c r="BE143" s="113"/>
      <c r="BF143" s="113"/>
      <c r="BG143" s="113"/>
      <c r="BH143" s="113"/>
      <c r="BI143" s="113"/>
      <c r="BJ143" s="113"/>
      <c r="BK143" s="113"/>
      <c r="BL143" s="113"/>
      <c r="BM143" s="113"/>
      <c r="BN143" s="113"/>
      <c r="BO143" s="113"/>
      <c r="BP143" s="113"/>
      <c r="BQ143" s="113"/>
      <c r="BR143" s="113"/>
      <c r="BS143" s="113"/>
      <c r="BT143" s="113"/>
      <c r="BU143" s="113"/>
      <c r="BV143" s="113"/>
      <c r="BW143" s="113"/>
      <c r="BX143" s="113"/>
      <c r="BY143" s="113"/>
      <c r="BZ143" s="113"/>
      <c r="CA143" s="113"/>
      <c r="CB143" s="113"/>
      <c r="CC143" s="113"/>
      <c r="CD143" s="113"/>
      <c r="CE143" s="113"/>
      <c r="CF143" s="113"/>
      <c r="CG143" s="113"/>
      <c r="CH143" s="113"/>
      <c r="CI143" s="113"/>
      <c r="CJ143" s="113"/>
      <c r="CK143" s="113"/>
      <c r="CL143" s="113"/>
      <c r="CM143" s="113"/>
      <c r="CN143" s="113"/>
      <c r="CO143" s="113"/>
      <c r="CP143" s="113"/>
      <c r="CQ143" s="113"/>
      <c r="CR143" s="113"/>
      <c r="CS143" s="113"/>
      <c r="CT143" s="113"/>
      <c r="CU143" s="113"/>
      <c r="CV143" s="113"/>
      <c r="CW143" s="113"/>
      <c r="CX143" s="113"/>
      <c r="CY143" s="113"/>
      <c r="CZ143" s="113"/>
      <c r="DA143" s="113"/>
      <c r="DB143" s="113"/>
      <c r="DC143" s="113"/>
      <c r="DD143" s="113"/>
      <c r="DE143" s="113"/>
      <c r="DF143" s="113"/>
      <c r="DG143" s="113"/>
      <c r="DH143" s="113"/>
      <c r="DI143" s="113"/>
      <c r="DJ143" s="113"/>
      <c r="DK143" s="113"/>
      <c r="DL143" s="114"/>
      <c r="DM143" s="47"/>
    </row>
    <row r="144" spans="5:117" hidden="1" x14ac:dyDescent="0.35">
      <c r="E144" s="36"/>
      <c r="F144" s="37"/>
      <c r="G144" s="37"/>
      <c r="H144" s="116"/>
      <c r="I144" s="116"/>
      <c r="J144" s="118">
        <f t="shared" si="128"/>
        <v>0</v>
      </c>
      <c r="K144" s="118">
        <f t="shared" si="129"/>
        <v>0</v>
      </c>
      <c r="L144" s="119">
        <f t="shared" si="127"/>
        <v>0</v>
      </c>
      <c r="M144" s="113"/>
      <c r="N144" s="113"/>
      <c r="O144" s="113"/>
      <c r="P144" s="113"/>
      <c r="Q144" s="113"/>
      <c r="R144" s="113"/>
      <c r="S144" s="113"/>
      <c r="T144" s="113"/>
      <c r="U144" s="113"/>
      <c r="V144" s="113"/>
      <c r="W144" s="113"/>
      <c r="X144" s="113"/>
      <c r="Y144" s="113"/>
      <c r="Z144" s="113"/>
      <c r="AA144" s="113"/>
      <c r="AB144" s="113"/>
      <c r="AC144" s="113"/>
      <c r="AD144" s="113"/>
      <c r="AE144" s="113"/>
      <c r="AF144" s="113"/>
      <c r="AG144" s="113"/>
      <c r="AH144" s="113"/>
      <c r="AI144" s="113"/>
      <c r="AJ144" s="113"/>
      <c r="AK144" s="113"/>
      <c r="AL144" s="113"/>
      <c r="AM144" s="113"/>
      <c r="AN144" s="113"/>
      <c r="AO144" s="113"/>
      <c r="AP144" s="113"/>
      <c r="AQ144" s="113"/>
      <c r="AR144" s="113"/>
      <c r="AS144" s="113"/>
      <c r="AT144" s="113"/>
      <c r="AU144" s="113"/>
      <c r="AV144" s="113"/>
      <c r="AW144" s="113"/>
      <c r="AX144" s="113"/>
      <c r="AY144" s="113"/>
      <c r="AZ144" s="113"/>
      <c r="BA144" s="113"/>
      <c r="BB144" s="113"/>
      <c r="BC144" s="113"/>
      <c r="BD144" s="113"/>
      <c r="BE144" s="113"/>
      <c r="BF144" s="113"/>
      <c r="BG144" s="113"/>
      <c r="BH144" s="113"/>
      <c r="BI144" s="113"/>
      <c r="BJ144" s="113"/>
      <c r="BK144" s="113"/>
      <c r="BL144" s="113"/>
      <c r="BM144" s="113"/>
      <c r="BN144" s="113"/>
      <c r="BO144" s="113"/>
      <c r="BP144" s="113"/>
      <c r="BQ144" s="113"/>
      <c r="BR144" s="113"/>
      <c r="BS144" s="113"/>
      <c r="BT144" s="113"/>
      <c r="BU144" s="113"/>
      <c r="BV144" s="113"/>
      <c r="BW144" s="113"/>
      <c r="BX144" s="113"/>
      <c r="BY144" s="113"/>
      <c r="BZ144" s="113"/>
      <c r="CA144" s="113"/>
      <c r="CB144" s="113"/>
      <c r="CC144" s="113"/>
      <c r="CD144" s="113"/>
      <c r="CE144" s="113"/>
      <c r="CF144" s="113"/>
      <c r="CG144" s="113"/>
      <c r="CH144" s="113"/>
      <c r="CI144" s="113"/>
      <c r="CJ144" s="113"/>
      <c r="CK144" s="113"/>
      <c r="CL144" s="113"/>
      <c r="CM144" s="113"/>
      <c r="CN144" s="113"/>
      <c r="CO144" s="113"/>
      <c r="CP144" s="113"/>
      <c r="CQ144" s="113"/>
      <c r="CR144" s="113"/>
      <c r="CS144" s="113"/>
      <c r="CT144" s="113"/>
      <c r="CU144" s="113"/>
      <c r="CV144" s="113"/>
      <c r="CW144" s="113"/>
      <c r="CX144" s="113"/>
      <c r="CY144" s="113"/>
      <c r="CZ144" s="113"/>
      <c r="DA144" s="113"/>
      <c r="DB144" s="113"/>
      <c r="DC144" s="113"/>
      <c r="DD144" s="113"/>
      <c r="DE144" s="113"/>
      <c r="DF144" s="113"/>
      <c r="DG144" s="113"/>
      <c r="DH144" s="113"/>
      <c r="DI144" s="113"/>
      <c r="DJ144" s="113"/>
      <c r="DK144" s="113"/>
      <c r="DL144" s="114"/>
      <c r="DM144" s="47"/>
    </row>
    <row r="145" spans="5:117" hidden="1" x14ac:dyDescent="0.35">
      <c r="E145" s="36"/>
      <c r="F145" s="37"/>
      <c r="G145" s="37"/>
      <c r="H145" s="116"/>
      <c r="I145" s="116"/>
      <c r="J145" s="118">
        <f t="shared" si="128"/>
        <v>0</v>
      </c>
      <c r="K145" s="118">
        <f t="shared" si="129"/>
        <v>0</v>
      </c>
      <c r="L145" s="119">
        <f t="shared" si="127"/>
        <v>0</v>
      </c>
      <c r="M145" s="113"/>
      <c r="N145" s="113"/>
      <c r="O145" s="113"/>
      <c r="P145" s="113"/>
      <c r="Q145" s="113"/>
      <c r="R145" s="113"/>
      <c r="S145" s="113"/>
      <c r="T145" s="113"/>
      <c r="U145" s="113"/>
      <c r="V145" s="113"/>
      <c r="W145" s="113"/>
      <c r="X145" s="113"/>
      <c r="Y145" s="113"/>
      <c r="Z145" s="113"/>
      <c r="AA145" s="113"/>
      <c r="AB145" s="113"/>
      <c r="AC145" s="113"/>
      <c r="AD145" s="113"/>
      <c r="AE145" s="113"/>
      <c r="AF145" s="113"/>
      <c r="AG145" s="113"/>
      <c r="AH145" s="113"/>
      <c r="AI145" s="113"/>
      <c r="AJ145" s="113"/>
      <c r="AK145" s="113"/>
      <c r="AL145" s="113"/>
      <c r="AM145" s="113"/>
      <c r="AN145" s="113"/>
      <c r="AO145" s="113"/>
      <c r="AP145" s="113"/>
      <c r="AQ145" s="113"/>
      <c r="AR145" s="113"/>
      <c r="AS145" s="113"/>
      <c r="AT145" s="113"/>
      <c r="AU145" s="113"/>
      <c r="AV145" s="113"/>
      <c r="AW145" s="113"/>
      <c r="AX145" s="113"/>
      <c r="AY145" s="113"/>
      <c r="AZ145" s="113"/>
      <c r="BA145" s="113"/>
      <c r="BB145" s="113"/>
      <c r="BC145" s="113"/>
      <c r="BD145" s="113"/>
      <c r="BE145" s="113"/>
      <c r="BF145" s="113"/>
      <c r="BG145" s="113"/>
      <c r="BH145" s="113"/>
      <c r="BI145" s="113"/>
      <c r="BJ145" s="113"/>
      <c r="BK145" s="113"/>
      <c r="BL145" s="113"/>
      <c r="BM145" s="113"/>
      <c r="BN145" s="113"/>
      <c r="BO145" s="113"/>
      <c r="BP145" s="113"/>
      <c r="BQ145" s="113"/>
      <c r="BR145" s="113"/>
      <c r="BS145" s="113"/>
      <c r="BT145" s="113"/>
      <c r="BU145" s="113"/>
      <c r="BV145" s="113"/>
      <c r="BW145" s="113"/>
      <c r="BX145" s="113"/>
      <c r="BY145" s="113"/>
      <c r="BZ145" s="113"/>
      <c r="CA145" s="113"/>
      <c r="CB145" s="113"/>
      <c r="CC145" s="113"/>
      <c r="CD145" s="113"/>
      <c r="CE145" s="113"/>
      <c r="CF145" s="113"/>
      <c r="CG145" s="113"/>
      <c r="CH145" s="113"/>
      <c r="CI145" s="113"/>
      <c r="CJ145" s="113"/>
      <c r="CK145" s="113"/>
      <c r="CL145" s="113"/>
      <c r="CM145" s="113"/>
      <c r="CN145" s="113"/>
      <c r="CO145" s="113"/>
      <c r="CP145" s="113"/>
      <c r="CQ145" s="113"/>
      <c r="CR145" s="113"/>
      <c r="CS145" s="113"/>
      <c r="CT145" s="113"/>
      <c r="CU145" s="113"/>
      <c r="CV145" s="113"/>
      <c r="CW145" s="113"/>
      <c r="CX145" s="113"/>
      <c r="CY145" s="113"/>
      <c r="CZ145" s="113"/>
      <c r="DA145" s="113"/>
      <c r="DB145" s="113"/>
      <c r="DC145" s="113"/>
      <c r="DD145" s="113"/>
      <c r="DE145" s="113"/>
      <c r="DF145" s="113"/>
      <c r="DG145" s="113"/>
      <c r="DH145" s="113"/>
      <c r="DI145" s="113"/>
      <c r="DJ145" s="113"/>
      <c r="DK145" s="113"/>
      <c r="DL145" s="114"/>
      <c r="DM145" s="47"/>
    </row>
    <row r="146" spans="5:117" hidden="1" x14ac:dyDescent="0.35">
      <c r="E146" s="36"/>
      <c r="F146" s="37"/>
      <c r="G146" s="37"/>
      <c r="H146" s="116"/>
      <c r="I146" s="116"/>
      <c r="J146" s="118">
        <f t="shared" si="128"/>
        <v>0</v>
      </c>
      <c r="K146" s="118">
        <f t="shared" si="129"/>
        <v>0</v>
      </c>
      <c r="L146" s="119">
        <f t="shared" si="127"/>
        <v>0</v>
      </c>
      <c r="M146" s="113"/>
      <c r="N146" s="113"/>
      <c r="O146" s="113"/>
      <c r="P146" s="113"/>
      <c r="Q146" s="113"/>
      <c r="R146" s="113"/>
      <c r="S146" s="113"/>
      <c r="T146" s="113"/>
      <c r="U146" s="113"/>
      <c r="V146" s="113"/>
      <c r="W146" s="113"/>
      <c r="X146" s="113"/>
      <c r="Y146" s="113"/>
      <c r="Z146" s="113"/>
      <c r="AA146" s="113"/>
      <c r="AB146" s="113"/>
      <c r="AC146" s="113"/>
      <c r="AD146" s="113"/>
      <c r="AE146" s="113"/>
      <c r="AF146" s="113"/>
      <c r="AG146" s="113"/>
      <c r="AH146" s="113"/>
      <c r="AI146" s="113"/>
      <c r="AJ146" s="113"/>
      <c r="AK146" s="113"/>
      <c r="AL146" s="113"/>
      <c r="AM146" s="113"/>
      <c r="AN146" s="113"/>
      <c r="AO146" s="113"/>
      <c r="AP146" s="113"/>
      <c r="AQ146" s="113"/>
      <c r="AR146" s="113"/>
      <c r="AS146" s="113"/>
      <c r="AT146" s="113"/>
      <c r="AU146" s="113"/>
      <c r="AV146" s="113"/>
      <c r="AW146" s="113"/>
      <c r="AX146" s="113"/>
      <c r="AY146" s="113"/>
      <c r="AZ146" s="113"/>
      <c r="BA146" s="113"/>
      <c r="BB146" s="113"/>
      <c r="BC146" s="113"/>
      <c r="BD146" s="113"/>
      <c r="BE146" s="113"/>
      <c r="BF146" s="113"/>
      <c r="BG146" s="113"/>
      <c r="BH146" s="113"/>
      <c r="BI146" s="113"/>
      <c r="BJ146" s="113"/>
      <c r="BK146" s="113"/>
      <c r="BL146" s="113"/>
      <c r="BM146" s="113"/>
      <c r="BN146" s="113"/>
      <c r="BO146" s="113"/>
      <c r="BP146" s="113"/>
      <c r="BQ146" s="113"/>
      <c r="BR146" s="113"/>
      <c r="BS146" s="113"/>
      <c r="BT146" s="113"/>
      <c r="BU146" s="113"/>
      <c r="BV146" s="113"/>
      <c r="BW146" s="113"/>
      <c r="BX146" s="113"/>
      <c r="BY146" s="113"/>
      <c r="BZ146" s="113"/>
      <c r="CA146" s="113"/>
      <c r="CB146" s="113"/>
      <c r="CC146" s="113"/>
      <c r="CD146" s="113"/>
      <c r="CE146" s="113"/>
      <c r="CF146" s="113"/>
      <c r="CG146" s="113"/>
      <c r="CH146" s="113"/>
      <c r="CI146" s="113"/>
      <c r="CJ146" s="113"/>
      <c r="CK146" s="113"/>
      <c r="CL146" s="113"/>
      <c r="CM146" s="113"/>
      <c r="CN146" s="113"/>
      <c r="CO146" s="113"/>
      <c r="CP146" s="113"/>
      <c r="CQ146" s="113"/>
      <c r="CR146" s="113"/>
      <c r="CS146" s="113"/>
      <c r="CT146" s="113"/>
      <c r="CU146" s="113"/>
      <c r="CV146" s="113"/>
      <c r="CW146" s="113"/>
      <c r="CX146" s="113"/>
      <c r="CY146" s="113"/>
      <c r="CZ146" s="113"/>
      <c r="DA146" s="113"/>
      <c r="DB146" s="113"/>
      <c r="DC146" s="113"/>
      <c r="DD146" s="113"/>
      <c r="DE146" s="113"/>
      <c r="DF146" s="113"/>
      <c r="DG146" s="113"/>
      <c r="DH146" s="113"/>
      <c r="DI146" s="113"/>
      <c r="DJ146" s="113"/>
      <c r="DK146" s="113"/>
      <c r="DL146" s="114"/>
      <c r="DM146" s="47"/>
    </row>
    <row r="147" spans="5:117" hidden="1" x14ac:dyDescent="0.35">
      <c r="E147" s="36"/>
      <c r="F147" s="37"/>
      <c r="G147" s="37"/>
      <c r="H147" s="116"/>
      <c r="I147" s="116"/>
      <c r="J147" s="118">
        <f t="shared" si="128"/>
        <v>0</v>
      </c>
      <c r="K147" s="118">
        <f t="shared" si="129"/>
        <v>0</v>
      </c>
      <c r="L147" s="119">
        <f t="shared" si="127"/>
        <v>0</v>
      </c>
      <c r="M147" s="113"/>
      <c r="N147" s="113"/>
      <c r="O147" s="113"/>
      <c r="P147" s="113"/>
      <c r="Q147" s="113"/>
      <c r="R147" s="113"/>
      <c r="S147" s="113"/>
      <c r="T147" s="113"/>
      <c r="U147" s="113"/>
      <c r="V147" s="113"/>
      <c r="W147" s="113"/>
      <c r="X147" s="113"/>
      <c r="Y147" s="113"/>
      <c r="Z147" s="113"/>
      <c r="AA147" s="113"/>
      <c r="AB147" s="113"/>
      <c r="AC147" s="113"/>
      <c r="AD147" s="113"/>
      <c r="AE147" s="113"/>
      <c r="AF147" s="113"/>
      <c r="AG147" s="113"/>
      <c r="AH147" s="113"/>
      <c r="AI147" s="113"/>
      <c r="AJ147" s="113"/>
      <c r="AK147" s="113"/>
      <c r="AL147" s="113"/>
      <c r="AM147" s="113"/>
      <c r="AN147" s="113"/>
      <c r="AO147" s="113"/>
      <c r="AP147" s="113"/>
      <c r="AQ147" s="113"/>
      <c r="AR147" s="113"/>
      <c r="AS147" s="113"/>
      <c r="AT147" s="113"/>
      <c r="AU147" s="113"/>
      <c r="AV147" s="113"/>
      <c r="AW147" s="113"/>
      <c r="AX147" s="113"/>
      <c r="AY147" s="113"/>
      <c r="AZ147" s="113"/>
      <c r="BA147" s="113"/>
      <c r="BB147" s="113"/>
      <c r="BC147" s="113"/>
      <c r="BD147" s="113"/>
      <c r="BE147" s="113"/>
      <c r="BF147" s="113"/>
      <c r="BG147" s="113"/>
      <c r="BH147" s="113"/>
      <c r="BI147" s="113"/>
      <c r="BJ147" s="113"/>
      <c r="BK147" s="113"/>
      <c r="BL147" s="113"/>
      <c r="BM147" s="113"/>
      <c r="BN147" s="113"/>
      <c r="BO147" s="113"/>
      <c r="BP147" s="113"/>
      <c r="BQ147" s="113"/>
      <c r="BR147" s="113"/>
      <c r="BS147" s="113"/>
      <c r="BT147" s="113"/>
      <c r="BU147" s="113"/>
      <c r="BV147" s="113"/>
      <c r="BW147" s="113"/>
      <c r="BX147" s="113"/>
      <c r="BY147" s="113"/>
      <c r="BZ147" s="113"/>
      <c r="CA147" s="113"/>
      <c r="CB147" s="113"/>
      <c r="CC147" s="113"/>
      <c r="CD147" s="113"/>
      <c r="CE147" s="113"/>
      <c r="CF147" s="113"/>
      <c r="CG147" s="113"/>
      <c r="CH147" s="113"/>
      <c r="CI147" s="113"/>
      <c r="CJ147" s="113"/>
      <c r="CK147" s="113"/>
      <c r="CL147" s="113"/>
      <c r="CM147" s="113"/>
      <c r="CN147" s="113"/>
      <c r="CO147" s="113"/>
      <c r="CP147" s="113"/>
      <c r="CQ147" s="113"/>
      <c r="CR147" s="113"/>
      <c r="CS147" s="113"/>
      <c r="CT147" s="113"/>
      <c r="CU147" s="113"/>
      <c r="CV147" s="113"/>
      <c r="CW147" s="113"/>
      <c r="CX147" s="113"/>
      <c r="CY147" s="113"/>
      <c r="CZ147" s="113"/>
      <c r="DA147" s="113"/>
      <c r="DB147" s="113"/>
      <c r="DC147" s="113"/>
      <c r="DD147" s="113"/>
      <c r="DE147" s="113"/>
      <c r="DF147" s="113"/>
      <c r="DG147" s="113"/>
      <c r="DH147" s="113"/>
      <c r="DI147" s="113"/>
      <c r="DJ147" s="113"/>
      <c r="DK147" s="113"/>
      <c r="DL147" s="114"/>
      <c r="DM147" s="47"/>
    </row>
    <row r="148" spans="5:117" hidden="1" x14ac:dyDescent="0.35">
      <c r="E148" s="36"/>
      <c r="F148" s="37"/>
      <c r="G148" s="37"/>
      <c r="H148" s="116"/>
      <c r="I148" s="116"/>
      <c r="J148" s="118">
        <f t="shared" si="128"/>
        <v>0</v>
      </c>
      <c r="K148" s="118">
        <f t="shared" si="129"/>
        <v>0</v>
      </c>
      <c r="L148" s="119">
        <f t="shared" si="127"/>
        <v>0</v>
      </c>
      <c r="M148" s="113"/>
      <c r="N148" s="113"/>
      <c r="O148" s="113"/>
      <c r="P148" s="113"/>
      <c r="Q148" s="113"/>
      <c r="R148" s="113"/>
      <c r="S148" s="113"/>
      <c r="T148" s="113"/>
      <c r="U148" s="113"/>
      <c r="V148" s="113"/>
      <c r="W148" s="113"/>
      <c r="X148" s="113"/>
      <c r="Y148" s="113"/>
      <c r="Z148" s="113"/>
      <c r="AA148" s="113"/>
      <c r="AB148" s="113"/>
      <c r="AC148" s="113"/>
      <c r="AD148" s="113"/>
      <c r="AE148" s="113"/>
      <c r="AF148" s="113"/>
      <c r="AG148" s="113"/>
      <c r="AH148" s="113"/>
      <c r="AI148" s="113"/>
      <c r="AJ148" s="113"/>
      <c r="AK148" s="113"/>
      <c r="AL148" s="113"/>
      <c r="AM148" s="113"/>
      <c r="AN148" s="113"/>
      <c r="AO148" s="113"/>
      <c r="AP148" s="113"/>
      <c r="AQ148" s="113"/>
      <c r="AR148" s="113"/>
      <c r="AS148" s="113"/>
      <c r="AT148" s="113"/>
      <c r="AU148" s="113"/>
      <c r="AV148" s="113"/>
      <c r="AW148" s="113"/>
      <c r="AX148" s="113"/>
      <c r="AY148" s="113"/>
      <c r="AZ148" s="113"/>
      <c r="BA148" s="113"/>
      <c r="BB148" s="113"/>
      <c r="BC148" s="113"/>
      <c r="BD148" s="113"/>
      <c r="BE148" s="113"/>
      <c r="BF148" s="113"/>
      <c r="BG148" s="113"/>
      <c r="BH148" s="113"/>
      <c r="BI148" s="113"/>
      <c r="BJ148" s="113"/>
      <c r="BK148" s="113"/>
      <c r="BL148" s="113"/>
      <c r="BM148" s="113"/>
      <c r="BN148" s="113"/>
      <c r="BO148" s="113"/>
      <c r="BP148" s="113"/>
      <c r="BQ148" s="113"/>
      <c r="BR148" s="113"/>
      <c r="BS148" s="113"/>
      <c r="BT148" s="113"/>
      <c r="BU148" s="113"/>
      <c r="BV148" s="113"/>
      <c r="BW148" s="113"/>
      <c r="BX148" s="113"/>
      <c r="BY148" s="113"/>
      <c r="BZ148" s="113"/>
      <c r="CA148" s="113"/>
      <c r="CB148" s="113"/>
      <c r="CC148" s="113"/>
      <c r="CD148" s="113"/>
      <c r="CE148" s="113"/>
      <c r="CF148" s="113"/>
      <c r="CG148" s="113"/>
      <c r="CH148" s="113"/>
      <c r="CI148" s="113"/>
      <c r="CJ148" s="113"/>
      <c r="CK148" s="113"/>
      <c r="CL148" s="113"/>
      <c r="CM148" s="113"/>
      <c r="CN148" s="113"/>
      <c r="CO148" s="113"/>
      <c r="CP148" s="113"/>
      <c r="CQ148" s="113"/>
      <c r="CR148" s="113"/>
      <c r="CS148" s="113"/>
      <c r="CT148" s="113"/>
      <c r="CU148" s="113"/>
      <c r="CV148" s="113"/>
      <c r="CW148" s="113"/>
      <c r="CX148" s="113"/>
      <c r="CY148" s="113"/>
      <c r="CZ148" s="113"/>
      <c r="DA148" s="113"/>
      <c r="DB148" s="113"/>
      <c r="DC148" s="113"/>
      <c r="DD148" s="113"/>
      <c r="DE148" s="113"/>
      <c r="DF148" s="113"/>
      <c r="DG148" s="113"/>
      <c r="DH148" s="113"/>
      <c r="DI148" s="113"/>
      <c r="DJ148" s="113"/>
      <c r="DK148" s="113"/>
      <c r="DL148" s="114"/>
      <c r="DM148" s="47"/>
    </row>
    <row r="149" spans="5:117" hidden="1" x14ac:dyDescent="0.35">
      <c r="E149" s="36"/>
      <c r="F149" s="37"/>
      <c r="G149" s="37"/>
      <c r="H149" s="116"/>
      <c r="I149" s="116"/>
      <c r="J149" s="118">
        <f t="shared" si="128"/>
        <v>0</v>
      </c>
      <c r="K149" s="118">
        <f t="shared" si="129"/>
        <v>0</v>
      </c>
      <c r="L149" s="119">
        <f t="shared" si="127"/>
        <v>0</v>
      </c>
      <c r="M149" s="113"/>
      <c r="N149" s="113"/>
      <c r="O149" s="113"/>
      <c r="P149" s="113"/>
      <c r="Q149" s="113"/>
      <c r="R149" s="113"/>
      <c r="S149" s="113"/>
      <c r="T149" s="113"/>
      <c r="U149" s="113"/>
      <c r="V149" s="113"/>
      <c r="W149" s="113"/>
      <c r="X149" s="113"/>
      <c r="Y149" s="113"/>
      <c r="Z149" s="113"/>
      <c r="AA149" s="113"/>
      <c r="AB149" s="113"/>
      <c r="AC149" s="113"/>
      <c r="AD149" s="113"/>
      <c r="AE149" s="113"/>
      <c r="AF149" s="113"/>
      <c r="AG149" s="113"/>
      <c r="AH149" s="113"/>
      <c r="AI149" s="113"/>
      <c r="AJ149" s="113"/>
      <c r="AK149" s="113"/>
      <c r="AL149" s="113"/>
      <c r="AM149" s="113"/>
      <c r="AN149" s="113"/>
      <c r="AO149" s="113"/>
      <c r="AP149" s="113"/>
      <c r="AQ149" s="113"/>
      <c r="AR149" s="113"/>
      <c r="AS149" s="113"/>
      <c r="AT149" s="113"/>
      <c r="AU149" s="113"/>
      <c r="AV149" s="113"/>
      <c r="AW149" s="113"/>
      <c r="AX149" s="113"/>
      <c r="AY149" s="113"/>
      <c r="AZ149" s="113"/>
      <c r="BA149" s="113"/>
      <c r="BB149" s="113"/>
      <c r="BC149" s="113"/>
      <c r="BD149" s="113"/>
      <c r="BE149" s="113"/>
      <c r="BF149" s="113"/>
      <c r="BG149" s="113"/>
      <c r="BH149" s="113"/>
      <c r="BI149" s="113"/>
      <c r="BJ149" s="113"/>
      <c r="BK149" s="113"/>
      <c r="BL149" s="113"/>
      <c r="BM149" s="113"/>
      <c r="BN149" s="113"/>
      <c r="BO149" s="113"/>
      <c r="BP149" s="113"/>
      <c r="BQ149" s="113"/>
      <c r="BR149" s="113"/>
      <c r="BS149" s="113"/>
      <c r="BT149" s="113"/>
      <c r="BU149" s="113"/>
      <c r="BV149" s="113"/>
      <c r="BW149" s="113"/>
      <c r="BX149" s="113"/>
      <c r="BY149" s="113"/>
      <c r="BZ149" s="113"/>
      <c r="CA149" s="113"/>
      <c r="CB149" s="113"/>
      <c r="CC149" s="113"/>
      <c r="CD149" s="113"/>
      <c r="CE149" s="113"/>
      <c r="CF149" s="113"/>
      <c r="CG149" s="113"/>
      <c r="CH149" s="113"/>
      <c r="CI149" s="113"/>
      <c r="CJ149" s="113"/>
      <c r="CK149" s="113"/>
      <c r="CL149" s="113"/>
      <c r="CM149" s="113"/>
      <c r="CN149" s="113"/>
      <c r="CO149" s="113"/>
      <c r="CP149" s="113"/>
      <c r="CQ149" s="113"/>
      <c r="CR149" s="113"/>
      <c r="CS149" s="113"/>
      <c r="CT149" s="113"/>
      <c r="CU149" s="113"/>
      <c r="CV149" s="113"/>
      <c r="CW149" s="113"/>
      <c r="CX149" s="113"/>
      <c r="CY149" s="113"/>
      <c r="CZ149" s="113"/>
      <c r="DA149" s="113"/>
      <c r="DB149" s="113"/>
      <c r="DC149" s="113"/>
      <c r="DD149" s="113"/>
      <c r="DE149" s="113"/>
      <c r="DF149" s="113"/>
      <c r="DG149" s="113"/>
      <c r="DH149" s="113"/>
      <c r="DI149" s="113"/>
      <c r="DJ149" s="113"/>
      <c r="DK149" s="113"/>
      <c r="DL149" s="114"/>
      <c r="DM149" s="47"/>
    </row>
    <row r="150" spans="5:117" hidden="1" x14ac:dyDescent="0.35">
      <c r="E150" s="36"/>
      <c r="F150" s="37"/>
      <c r="G150" s="37"/>
      <c r="H150" s="116"/>
      <c r="I150" s="116"/>
      <c r="J150" s="118">
        <f t="shared" si="128"/>
        <v>0</v>
      </c>
      <c r="K150" s="118">
        <f t="shared" si="129"/>
        <v>0</v>
      </c>
      <c r="L150" s="119">
        <f t="shared" si="127"/>
        <v>0</v>
      </c>
      <c r="M150" s="113"/>
      <c r="N150" s="113"/>
      <c r="O150" s="113"/>
      <c r="P150" s="113"/>
      <c r="Q150" s="113"/>
      <c r="R150" s="113"/>
      <c r="S150" s="113"/>
      <c r="T150" s="113"/>
      <c r="U150" s="113"/>
      <c r="V150" s="113"/>
      <c r="W150" s="113"/>
      <c r="X150" s="113"/>
      <c r="Y150" s="113"/>
      <c r="Z150" s="113"/>
      <c r="AA150" s="113"/>
      <c r="AB150" s="113"/>
      <c r="AC150" s="113"/>
      <c r="AD150" s="113"/>
      <c r="AE150" s="113"/>
      <c r="AF150" s="113"/>
      <c r="AG150" s="113"/>
      <c r="AH150" s="113"/>
      <c r="AI150" s="113"/>
      <c r="AJ150" s="113"/>
      <c r="AK150" s="113"/>
      <c r="AL150" s="113"/>
      <c r="AM150" s="113"/>
      <c r="AN150" s="113"/>
      <c r="AO150" s="113"/>
      <c r="AP150" s="113"/>
      <c r="AQ150" s="113"/>
      <c r="AR150" s="113"/>
      <c r="AS150" s="113"/>
      <c r="AT150" s="113"/>
      <c r="AU150" s="113"/>
      <c r="AV150" s="113"/>
      <c r="AW150" s="113"/>
      <c r="AX150" s="113"/>
      <c r="AY150" s="113"/>
      <c r="AZ150" s="113"/>
      <c r="BA150" s="113"/>
      <c r="BB150" s="113"/>
      <c r="BC150" s="113"/>
      <c r="BD150" s="113"/>
      <c r="BE150" s="113"/>
      <c r="BF150" s="113"/>
      <c r="BG150" s="113"/>
      <c r="BH150" s="113"/>
      <c r="BI150" s="113"/>
      <c r="BJ150" s="113"/>
      <c r="BK150" s="113"/>
      <c r="BL150" s="113"/>
      <c r="BM150" s="113"/>
      <c r="BN150" s="113"/>
      <c r="BO150" s="113"/>
      <c r="BP150" s="113"/>
      <c r="BQ150" s="113"/>
      <c r="BR150" s="113"/>
      <c r="BS150" s="113"/>
      <c r="BT150" s="113"/>
      <c r="BU150" s="113"/>
      <c r="BV150" s="113"/>
      <c r="BW150" s="113"/>
      <c r="BX150" s="113"/>
      <c r="BY150" s="113"/>
      <c r="BZ150" s="113"/>
      <c r="CA150" s="113"/>
      <c r="CB150" s="113"/>
      <c r="CC150" s="113"/>
      <c r="CD150" s="113"/>
      <c r="CE150" s="113"/>
      <c r="CF150" s="113"/>
      <c r="CG150" s="113"/>
      <c r="CH150" s="113"/>
      <c r="CI150" s="113"/>
      <c r="CJ150" s="113"/>
      <c r="CK150" s="113"/>
      <c r="CL150" s="113"/>
      <c r="CM150" s="113"/>
      <c r="CN150" s="113"/>
      <c r="CO150" s="113"/>
      <c r="CP150" s="113"/>
      <c r="CQ150" s="113"/>
      <c r="CR150" s="113"/>
      <c r="CS150" s="113"/>
      <c r="CT150" s="113"/>
      <c r="CU150" s="113"/>
      <c r="CV150" s="113"/>
      <c r="CW150" s="113"/>
      <c r="CX150" s="113"/>
      <c r="CY150" s="113"/>
      <c r="CZ150" s="113"/>
      <c r="DA150" s="113"/>
      <c r="DB150" s="113"/>
      <c r="DC150" s="113"/>
      <c r="DD150" s="113"/>
      <c r="DE150" s="113"/>
      <c r="DF150" s="113"/>
      <c r="DG150" s="113"/>
      <c r="DH150" s="113"/>
      <c r="DI150" s="113"/>
      <c r="DJ150" s="113"/>
      <c r="DK150" s="113"/>
      <c r="DL150" s="114"/>
      <c r="DM150" s="47"/>
    </row>
    <row r="151" spans="5:117" x14ac:dyDescent="0.35">
      <c r="E151" s="36"/>
      <c r="F151" s="37"/>
      <c r="G151" s="37"/>
      <c r="H151" s="116"/>
      <c r="I151" s="116"/>
      <c r="J151" s="118">
        <f t="shared" si="128"/>
        <v>0</v>
      </c>
      <c r="K151" s="118">
        <f t="shared" si="129"/>
        <v>0</v>
      </c>
      <c r="L151" s="119">
        <f t="shared" si="127"/>
        <v>0</v>
      </c>
      <c r="M151" s="113"/>
      <c r="N151" s="113"/>
      <c r="O151" s="113"/>
      <c r="P151" s="113"/>
      <c r="Q151" s="113"/>
      <c r="R151" s="113"/>
      <c r="S151" s="113"/>
      <c r="T151" s="113"/>
      <c r="U151" s="113"/>
      <c r="V151" s="113"/>
      <c r="W151" s="113"/>
      <c r="X151" s="113"/>
      <c r="Y151" s="113"/>
      <c r="Z151" s="113"/>
      <c r="AA151" s="113"/>
      <c r="AB151" s="113"/>
      <c r="AC151" s="113"/>
      <c r="AD151" s="113"/>
      <c r="AE151" s="113"/>
      <c r="AF151" s="113"/>
      <c r="AG151" s="113"/>
      <c r="AH151" s="113"/>
      <c r="AI151" s="113"/>
      <c r="AJ151" s="113"/>
      <c r="AK151" s="113"/>
      <c r="AL151" s="113"/>
      <c r="AM151" s="113"/>
      <c r="AN151" s="113"/>
      <c r="AO151" s="113"/>
      <c r="AP151" s="113"/>
      <c r="AQ151" s="113"/>
      <c r="AR151" s="113"/>
      <c r="AS151" s="113"/>
      <c r="AT151" s="113"/>
      <c r="AU151" s="113"/>
      <c r="AV151" s="113"/>
      <c r="AW151" s="113"/>
      <c r="AX151" s="113"/>
      <c r="AY151" s="113"/>
      <c r="AZ151" s="113"/>
      <c r="BA151" s="113"/>
      <c r="BB151" s="113"/>
      <c r="BC151" s="113"/>
      <c r="BD151" s="113"/>
      <c r="BE151" s="113"/>
      <c r="BF151" s="113"/>
      <c r="BG151" s="113"/>
      <c r="BH151" s="113"/>
      <c r="BI151" s="113"/>
      <c r="BJ151" s="113"/>
      <c r="BK151" s="113"/>
      <c r="BL151" s="113"/>
      <c r="BM151" s="113"/>
      <c r="BN151" s="113"/>
      <c r="BO151" s="113"/>
      <c r="BP151" s="113"/>
      <c r="BQ151" s="113"/>
      <c r="BR151" s="113"/>
      <c r="BS151" s="113"/>
      <c r="BT151" s="113"/>
      <c r="BU151" s="113"/>
      <c r="BV151" s="113"/>
      <c r="BW151" s="113"/>
      <c r="BX151" s="113"/>
      <c r="BY151" s="113"/>
      <c r="BZ151" s="113"/>
      <c r="CA151" s="113"/>
      <c r="CB151" s="113"/>
      <c r="CC151" s="113"/>
      <c r="CD151" s="113"/>
      <c r="CE151" s="113"/>
      <c r="CF151" s="113"/>
      <c r="CG151" s="113"/>
      <c r="CH151" s="113"/>
      <c r="CI151" s="113"/>
      <c r="CJ151" s="113"/>
      <c r="CK151" s="113"/>
      <c r="CL151" s="113"/>
      <c r="CM151" s="113"/>
      <c r="CN151" s="113"/>
      <c r="CO151" s="113"/>
      <c r="CP151" s="113"/>
      <c r="CQ151" s="113"/>
      <c r="CR151" s="113"/>
      <c r="CS151" s="113"/>
      <c r="CT151" s="113"/>
      <c r="CU151" s="113"/>
      <c r="CV151" s="113"/>
      <c r="CW151" s="113"/>
      <c r="CX151" s="113"/>
      <c r="CY151" s="113"/>
      <c r="CZ151" s="113"/>
      <c r="DA151" s="113"/>
      <c r="DB151" s="113"/>
      <c r="DC151" s="113"/>
      <c r="DD151" s="113"/>
      <c r="DE151" s="113"/>
      <c r="DF151" s="113"/>
      <c r="DG151" s="113"/>
      <c r="DH151" s="113"/>
      <c r="DI151" s="113"/>
      <c r="DJ151" s="113"/>
      <c r="DK151" s="113"/>
      <c r="DL151" s="114"/>
      <c r="DM151" s="47"/>
    </row>
    <row r="152" spans="5:117" ht="15" thickBot="1" x14ac:dyDescent="0.4">
      <c r="E152" s="3" t="s">
        <v>276</v>
      </c>
      <c r="F152" s="41"/>
      <c r="G152" s="41"/>
      <c r="H152" s="41"/>
      <c r="I152" s="8" t="s">
        <v>150</v>
      </c>
      <c r="J152" s="98">
        <f t="shared" ref="J152:AO152" si="130">SUM(J122:J151)</f>
        <v>0</v>
      </c>
      <c r="K152" s="98">
        <f t="shared" si="130"/>
        <v>0</v>
      </c>
      <c r="L152" s="99">
        <f t="shared" si="130"/>
        <v>0</v>
      </c>
      <c r="M152" s="4">
        <f t="shared" si="130"/>
        <v>0</v>
      </c>
      <c r="N152" s="4">
        <f t="shared" si="130"/>
        <v>0</v>
      </c>
      <c r="O152" s="4">
        <f t="shared" si="130"/>
        <v>0</v>
      </c>
      <c r="P152" s="4">
        <f t="shared" si="130"/>
        <v>0</v>
      </c>
      <c r="Q152" s="4">
        <f t="shared" si="130"/>
        <v>0</v>
      </c>
      <c r="R152" s="4">
        <f t="shared" si="130"/>
        <v>0</v>
      </c>
      <c r="S152" s="4">
        <f t="shared" si="130"/>
        <v>0</v>
      </c>
      <c r="T152" s="4">
        <f t="shared" si="130"/>
        <v>0</v>
      </c>
      <c r="U152" s="4">
        <f t="shared" si="130"/>
        <v>0</v>
      </c>
      <c r="V152" s="4">
        <f t="shared" si="130"/>
        <v>0</v>
      </c>
      <c r="W152" s="4">
        <f t="shared" si="130"/>
        <v>0</v>
      </c>
      <c r="X152" s="4">
        <f t="shared" si="130"/>
        <v>0</v>
      </c>
      <c r="Y152" s="4">
        <f t="shared" si="130"/>
        <v>0</v>
      </c>
      <c r="Z152" s="4">
        <f t="shared" si="130"/>
        <v>0</v>
      </c>
      <c r="AA152" s="4">
        <f t="shared" si="130"/>
        <v>0</v>
      </c>
      <c r="AB152" s="4">
        <f t="shared" si="130"/>
        <v>0</v>
      </c>
      <c r="AC152" s="4">
        <f t="shared" si="130"/>
        <v>0</v>
      </c>
      <c r="AD152" s="4">
        <f t="shared" si="130"/>
        <v>0</v>
      </c>
      <c r="AE152" s="4">
        <f t="shared" si="130"/>
        <v>0</v>
      </c>
      <c r="AF152" s="4">
        <f t="shared" si="130"/>
        <v>0</v>
      </c>
      <c r="AG152" s="4">
        <f t="shared" si="130"/>
        <v>0</v>
      </c>
      <c r="AH152" s="4">
        <f t="shared" si="130"/>
        <v>0</v>
      </c>
      <c r="AI152" s="4">
        <f t="shared" si="130"/>
        <v>0</v>
      </c>
      <c r="AJ152" s="4">
        <f t="shared" si="130"/>
        <v>0</v>
      </c>
      <c r="AK152" s="4">
        <f t="shared" si="130"/>
        <v>0</v>
      </c>
      <c r="AL152" s="4">
        <f t="shared" si="130"/>
        <v>0</v>
      </c>
      <c r="AM152" s="4">
        <f t="shared" si="130"/>
        <v>0</v>
      </c>
      <c r="AN152" s="4">
        <f t="shared" si="130"/>
        <v>0</v>
      </c>
      <c r="AO152" s="4">
        <f t="shared" si="130"/>
        <v>0</v>
      </c>
      <c r="AP152" s="4">
        <f t="shared" ref="AP152:BU152" si="131">SUM(AP122:AP151)</f>
        <v>0</v>
      </c>
      <c r="AQ152" s="4">
        <f t="shared" si="131"/>
        <v>0</v>
      </c>
      <c r="AR152" s="4">
        <f t="shared" si="131"/>
        <v>0</v>
      </c>
      <c r="AS152" s="4">
        <f t="shared" si="131"/>
        <v>0</v>
      </c>
      <c r="AT152" s="4">
        <f t="shared" si="131"/>
        <v>0</v>
      </c>
      <c r="AU152" s="4">
        <f t="shared" si="131"/>
        <v>0</v>
      </c>
      <c r="AV152" s="4">
        <f t="shared" si="131"/>
        <v>0</v>
      </c>
      <c r="AW152" s="4">
        <f t="shared" si="131"/>
        <v>0</v>
      </c>
      <c r="AX152" s="4">
        <f t="shared" si="131"/>
        <v>0</v>
      </c>
      <c r="AY152" s="4">
        <f t="shared" si="131"/>
        <v>0</v>
      </c>
      <c r="AZ152" s="4">
        <f t="shared" si="131"/>
        <v>0</v>
      </c>
      <c r="BA152" s="4">
        <f t="shared" si="131"/>
        <v>0</v>
      </c>
      <c r="BB152" s="4">
        <f t="shared" si="131"/>
        <v>0</v>
      </c>
      <c r="BC152" s="4">
        <f t="shared" si="131"/>
        <v>0</v>
      </c>
      <c r="BD152" s="4">
        <f t="shared" si="131"/>
        <v>0</v>
      </c>
      <c r="BE152" s="4">
        <f t="shared" si="131"/>
        <v>0</v>
      </c>
      <c r="BF152" s="4">
        <f t="shared" si="131"/>
        <v>0</v>
      </c>
      <c r="BG152" s="4">
        <f t="shared" si="131"/>
        <v>0</v>
      </c>
      <c r="BH152" s="4">
        <f t="shared" si="131"/>
        <v>0</v>
      </c>
      <c r="BI152" s="4">
        <f t="shared" si="131"/>
        <v>0</v>
      </c>
      <c r="BJ152" s="4">
        <f t="shared" si="131"/>
        <v>0</v>
      </c>
      <c r="BK152" s="4">
        <f t="shared" si="131"/>
        <v>0</v>
      </c>
      <c r="BL152" s="4">
        <f t="shared" si="131"/>
        <v>0</v>
      </c>
      <c r="BM152" s="4">
        <f t="shared" si="131"/>
        <v>0</v>
      </c>
      <c r="BN152" s="4">
        <f t="shared" si="131"/>
        <v>0</v>
      </c>
      <c r="BO152" s="4">
        <f t="shared" si="131"/>
        <v>0</v>
      </c>
      <c r="BP152" s="4">
        <f t="shared" si="131"/>
        <v>0</v>
      </c>
      <c r="BQ152" s="4">
        <f t="shared" si="131"/>
        <v>0</v>
      </c>
      <c r="BR152" s="4">
        <f t="shared" si="131"/>
        <v>0</v>
      </c>
      <c r="BS152" s="4">
        <f t="shared" si="131"/>
        <v>0</v>
      </c>
      <c r="BT152" s="4">
        <f t="shared" si="131"/>
        <v>0</v>
      </c>
      <c r="BU152" s="4">
        <f t="shared" si="131"/>
        <v>0</v>
      </c>
      <c r="BV152" s="4">
        <f t="shared" ref="BV152:DA152" si="132">SUM(BV122:BV151)</f>
        <v>0</v>
      </c>
      <c r="BW152" s="4">
        <f t="shared" si="132"/>
        <v>0</v>
      </c>
      <c r="BX152" s="4">
        <f t="shared" si="132"/>
        <v>0</v>
      </c>
      <c r="BY152" s="4">
        <f t="shared" si="132"/>
        <v>0</v>
      </c>
      <c r="BZ152" s="4">
        <f t="shared" si="132"/>
        <v>0</v>
      </c>
      <c r="CA152" s="4">
        <f t="shared" si="132"/>
        <v>0</v>
      </c>
      <c r="CB152" s="4">
        <f t="shared" si="132"/>
        <v>0</v>
      </c>
      <c r="CC152" s="4">
        <f t="shared" si="132"/>
        <v>0</v>
      </c>
      <c r="CD152" s="4">
        <f t="shared" si="132"/>
        <v>0</v>
      </c>
      <c r="CE152" s="4">
        <f t="shared" si="132"/>
        <v>0</v>
      </c>
      <c r="CF152" s="4">
        <f t="shared" si="132"/>
        <v>0</v>
      </c>
      <c r="CG152" s="4">
        <f t="shared" si="132"/>
        <v>0</v>
      </c>
      <c r="CH152" s="4">
        <f t="shared" si="132"/>
        <v>0</v>
      </c>
      <c r="CI152" s="4">
        <f t="shared" si="132"/>
        <v>0</v>
      </c>
      <c r="CJ152" s="4">
        <f t="shared" si="132"/>
        <v>0</v>
      </c>
      <c r="CK152" s="4">
        <f t="shared" si="132"/>
        <v>0</v>
      </c>
      <c r="CL152" s="4">
        <f t="shared" si="132"/>
        <v>0</v>
      </c>
      <c r="CM152" s="4">
        <f t="shared" si="132"/>
        <v>0</v>
      </c>
      <c r="CN152" s="4">
        <f t="shared" si="132"/>
        <v>0</v>
      </c>
      <c r="CO152" s="4">
        <f t="shared" si="132"/>
        <v>0</v>
      </c>
      <c r="CP152" s="4">
        <f t="shared" si="132"/>
        <v>0</v>
      </c>
      <c r="CQ152" s="4">
        <f t="shared" si="132"/>
        <v>0</v>
      </c>
      <c r="CR152" s="4">
        <f t="shared" si="132"/>
        <v>0</v>
      </c>
      <c r="CS152" s="4">
        <f t="shared" si="132"/>
        <v>0</v>
      </c>
      <c r="CT152" s="4">
        <f t="shared" si="132"/>
        <v>0</v>
      </c>
      <c r="CU152" s="4">
        <f t="shared" si="132"/>
        <v>0</v>
      </c>
      <c r="CV152" s="4">
        <f t="shared" si="132"/>
        <v>0</v>
      </c>
      <c r="CW152" s="4">
        <f t="shared" si="132"/>
        <v>0</v>
      </c>
      <c r="CX152" s="4">
        <f t="shared" si="132"/>
        <v>0</v>
      </c>
      <c r="CY152" s="4">
        <f t="shared" si="132"/>
        <v>0</v>
      </c>
      <c r="CZ152" s="4">
        <f t="shared" si="132"/>
        <v>0</v>
      </c>
      <c r="DA152" s="4">
        <f t="shared" si="132"/>
        <v>0</v>
      </c>
      <c r="DB152" s="4">
        <f t="shared" ref="DB152:DL152" si="133">SUM(DB122:DB151)</f>
        <v>0</v>
      </c>
      <c r="DC152" s="4">
        <f t="shared" si="133"/>
        <v>0</v>
      </c>
      <c r="DD152" s="4">
        <f t="shared" si="133"/>
        <v>0</v>
      </c>
      <c r="DE152" s="4">
        <f t="shared" si="133"/>
        <v>0</v>
      </c>
      <c r="DF152" s="4">
        <f t="shared" si="133"/>
        <v>0</v>
      </c>
      <c r="DG152" s="4">
        <f t="shared" si="133"/>
        <v>0</v>
      </c>
      <c r="DH152" s="4">
        <f t="shared" si="133"/>
        <v>0</v>
      </c>
      <c r="DI152" s="4">
        <f t="shared" si="133"/>
        <v>0</v>
      </c>
      <c r="DJ152" s="4">
        <f t="shared" si="133"/>
        <v>0</v>
      </c>
      <c r="DK152" s="4">
        <f t="shared" si="133"/>
        <v>0</v>
      </c>
      <c r="DL152" s="4">
        <f t="shared" si="133"/>
        <v>0</v>
      </c>
      <c r="DM152" s="47"/>
    </row>
    <row r="153" spans="5:117" ht="15" thickBot="1" x14ac:dyDescent="0.4"/>
    <row r="154" spans="5:117" ht="15" thickBot="1" x14ac:dyDescent="0.4">
      <c r="E154" s="43" t="s">
        <v>266</v>
      </c>
      <c r="M154" s="48"/>
    </row>
    <row r="155" spans="5:117" x14ac:dyDescent="0.35">
      <c r="E155" s="28" t="s">
        <v>29</v>
      </c>
      <c r="F155" s="32" t="s">
        <v>145</v>
      </c>
      <c r="G155" s="32" t="s">
        <v>267</v>
      </c>
      <c r="H155" s="32" t="s">
        <v>268</v>
      </c>
      <c r="I155" s="33" t="s">
        <v>264</v>
      </c>
      <c r="J155" s="33" t="s">
        <v>258</v>
      </c>
      <c r="K155" s="33" t="s">
        <v>142</v>
      </c>
      <c r="L155" s="33" t="s">
        <v>34</v>
      </c>
      <c r="M155" s="34" t="s">
        <v>35</v>
      </c>
      <c r="N155" s="33" t="s">
        <v>36</v>
      </c>
      <c r="O155" s="33" t="s">
        <v>37</v>
      </c>
      <c r="P155" s="33" t="s">
        <v>38</v>
      </c>
      <c r="Q155" s="33" t="s">
        <v>39</v>
      </c>
      <c r="R155" s="33" t="s">
        <v>40</v>
      </c>
      <c r="S155" s="33" t="s">
        <v>41</v>
      </c>
      <c r="T155" s="33" t="s">
        <v>42</v>
      </c>
      <c r="U155" s="33" t="s">
        <v>43</v>
      </c>
      <c r="V155" s="33" t="s">
        <v>44</v>
      </c>
      <c r="W155" s="33" t="s">
        <v>45</v>
      </c>
      <c r="X155" s="33" t="s">
        <v>46</v>
      </c>
      <c r="Y155" s="33" t="s">
        <v>47</v>
      </c>
      <c r="Z155" s="33" t="s">
        <v>48</v>
      </c>
      <c r="AA155" s="33" t="s">
        <v>49</v>
      </c>
      <c r="AB155" s="33" t="s">
        <v>50</v>
      </c>
      <c r="AC155" s="33" t="s">
        <v>51</v>
      </c>
      <c r="AD155" s="33" t="s">
        <v>52</v>
      </c>
      <c r="AE155" s="33" t="s">
        <v>53</v>
      </c>
      <c r="AF155" s="33" t="s">
        <v>54</v>
      </c>
      <c r="AG155" s="33" t="s">
        <v>55</v>
      </c>
      <c r="AH155" s="33" t="s">
        <v>56</v>
      </c>
      <c r="AI155" s="33" t="s">
        <v>57</v>
      </c>
      <c r="AJ155" s="33" t="s">
        <v>58</v>
      </c>
      <c r="AK155" s="33" t="s">
        <v>59</v>
      </c>
      <c r="AL155" s="33" t="s">
        <v>60</v>
      </c>
      <c r="AM155" s="33" t="s">
        <v>61</v>
      </c>
      <c r="AN155" s="33" t="s">
        <v>62</v>
      </c>
      <c r="AO155" s="33" t="s">
        <v>63</v>
      </c>
      <c r="AP155" s="33" t="s">
        <v>64</v>
      </c>
      <c r="AQ155" s="33" t="s">
        <v>65</v>
      </c>
      <c r="AR155" s="33" t="s">
        <v>66</v>
      </c>
      <c r="AS155" s="33" t="s">
        <v>67</v>
      </c>
      <c r="AT155" s="33" t="s">
        <v>68</v>
      </c>
      <c r="AU155" s="33" t="s">
        <v>69</v>
      </c>
      <c r="AV155" s="33" t="s">
        <v>70</v>
      </c>
      <c r="AW155" s="33" t="s">
        <v>71</v>
      </c>
      <c r="AX155" s="33" t="s">
        <v>72</v>
      </c>
      <c r="AY155" s="33" t="s">
        <v>73</v>
      </c>
      <c r="AZ155" s="33" t="s">
        <v>74</v>
      </c>
      <c r="BA155" s="33" t="s">
        <v>75</v>
      </c>
      <c r="BB155" s="33" t="s">
        <v>76</v>
      </c>
      <c r="BC155" s="33" t="s">
        <v>77</v>
      </c>
      <c r="BD155" s="33" t="s">
        <v>78</v>
      </c>
      <c r="BE155" s="33" t="s">
        <v>79</v>
      </c>
      <c r="BF155" s="33" t="s">
        <v>80</v>
      </c>
      <c r="BG155" s="33" t="s">
        <v>81</v>
      </c>
      <c r="BH155" s="33" t="s">
        <v>82</v>
      </c>
      <c r="BI155" s="33" t="s">
        <v>83</v>
      </c>
      <c r="BJ155" s="33" t="s">
        <v>84</v>
      </c>
      <c r="BK155" s="33" t="s">
        <v>85</v>
      </c>
      <c r="BL155" s="33" t="s">
        <v>86</v>
      </c>
      <c r="BM155" s="33" t="s">
        <v>87</v>
      </c>
      <c r="BN155" s="33" t="s">
        <v>88</v>
      </c>
      <c r="BO155" s="33" t="s">
        <v>89</v>
      </c>
      <c r="BP155" s="33" t="s">
        <v>90</v>
      </c>
      <c r="BQ155" s="33" t="s">
        <v>91</v>
      </c>
      <c r="BR155" s="33" t="s">
        <v>92</v>
      </c>
      <c r="BS155" s="33" t="s">
        <v>93</v>
      </c>
      <c r="BT155" s="33" t="s">
        <v>94</v>
      </c>
      <c r="BU155" s="33" t="s">
        <v>95</v>
      </c>
      <c r="BV155" s="33" t="s">
        <v>96</v>
      </c>
      <c r="BW155" s="33" t="s">
        <v>97</v>
      </c>
      <c r="BX155" s="33" t="s">
        <v>98</v>
      </c>
      <c r="BY155" s="33" t="s">
        <v>99</v>
      </c>
      <c r="BZ155" s="33" t="s">
        <v>100</v>
      </c>
      <c r="CA155" s="33" t="s">
        <v>101</v>
      </c>
      <c r="CB155" s="33" t="s">
        <v>102</v>
      </c>
      <c r="CC155" s="33" t="s">
        <v>103</v>
      </c>
      <c r="CD155" s="33" t="s">
        <v>104</v>
      </c>
      <c r="CE155" s="33" t="s">
        <v>105</v>
      </c>
      <c r="CF155" s="33" t="s">
        <v>106</v>
      </c>
      <c r="CG155" s="33" t="s">
        <v>107</v>
      </c>
      <c r="CH155" s="33" t="s">
        <v>108</v>
      </c>
      <c r="CI155" s="33" t="s">
        <v>109</v>
      </c>
      <c r="CJ155" s="33" t="s">
        <v>110</v>
      </c>
      <c r="CK155" s="33" t="s">
        <v>111</v>
      </c>
      <c r="CL155" s="33" t="s">
        <v>112</v>
      </c>
      <c r="CM155" s="33" t="s">
        <v>113</v>
      </c>
      <c r="CN155" s="33" t="s">
        <v>114</v>
      </c>
      <c r="CO155" s="33" t="s">
        <v>115</v>
      </c>
      <c r="CP155" s="33" t="s">
        <v>116</v>
      </c>
      <c r="CQ155" s="33" t="s">
        <v>117</v>
      </c>
      <c r="CR155" s="33" t="s">
        <v>118</v>
      </c>
      <c r="CS155" s="33" t="s">
        <v>119</v>
      </c>
      <c r="CT155" s="33" t="s">
        <v>120</v>
      </c>
      <c r="CU155" s="33" t="s">
        <v>121</v>
      </c>
      <c r="CV155" s="33" t="s">
        <v>122</v>
      </c>
      <c r="CW155" s="33" t="s">
        <v>123</v>
      </c>
      <c r="CX155" s="33" t="s">
        <v>124</v>
      </c>
      <c r="CY155" s="33" t="s">
        <v>125</v>
      </c>
      <c r="CZ155" s="33" t="s">
        <v>126</v>
      </c>
      <c r="DA155" s="33" t="s">
        <v>127</v>
      </c>
      <c r="DB155" s="33" t="s">
        <v>128</v>
      </c>
      <c r="DC155" s="33" t="s">
        <v>129</v>
      </c>
      <c r="DD155" s="33" t="s">
        <v>130</v>
      </c>
      <c r="DE155" s="33" t="s">
        <v>131</v>
      </c>
      <c r="DF155" s="33" t="s">
        <v>132</v>
      </c>
      <c r="DG155" s="33" t="s">
        <v>133</v>
      </c>
      <c r="DH155" s="33" t="s">
        <v>134</v>
      </c>
      <c r="DI155" s="33" t="s">
        <v>135</v>
      </c>
      <c r="DJ155" s="33" t="s">
        <v>136</v>
      </c>
      <c r="DK155" s="33" t="s">
        <v>137</v>
      </c>
      <c r="DL155" s="33" t="s">
        <v>138</v>
      </c>
      <c r="DM155" s="45"/>
    </row>
    <row r="156" spans="5:117" x14ac:dyDescent="0.35">
      <c r="E156" s="111"/>
      <c r="F156" s="112"/>
      <c r="G156" s="112"/>
      <c r="H156" s="116"/>
      <c r="I156" s="116"/>
      <c r="J156" s="38">
        <f>H156*M156</f>
        <v>0</v>
      </c>
      <c r="K156" s="38">
        <f>I156*L156</f>
        <v>0</v>
      </c>
      <c r="L156" s="39">
        <f t="shared" ref="L156:L185" si="134">SUM(M156:DL156)</f>
        <v>0</v>
      </c>
      <c r="M156" s="113"/>
      <c r="N156" s="113"/>
      <c r="O156" s="113"/>
      <c r="P156" s="113"/>
      <c r="Q156" s="113"/>
      <c r="R156" s="113"/>
      <c r="S156" s="113"/>
      <c r="T156" s="113"/>
      <c r="U156" s="113"/>
      <c r="V156" s="113"/>
      <c r="W156" s="113"/>
      <c r="X156" s="113"/>
      <c r="Y156" s="113"/>
      <c r="Z156" s="113"/>
      <c r="AA156" s="113"/>
      <c r="AB156" s="113"/>
      <c r="AC156" s="113"/>
      <c r="AD156" s="113"/>
      <c r="AE156" s="113"/>
      <c r="AF156" s="113"/>
      <c r="AG156" s="113"/>
      <c r="AH156" s="113"/>
      <c r="AI156" s="113"/>
      <c r="AJ156" s="113"/>
      <c r="AK156" s="113"/>
      <c r="AL156" s="113"/>
      <c r="AM156" s="113"/>
      <c r="AN156" s="113"/>
      <c r="AO156" s="113"/>
      <c r="AP156" s="113"/>
      <c r="AQ156" s="113"/>
      <c r="AR156" s="113"/>
      <c r="AS156" s="113"/>
      <c r="AT156" s="113"/>
      <c r="AU156" s="113"/>
      <c r="AV156" s="113"/>
      <c r="AW156" s="113"/>
      <c r="AX156" s="113"/>
      <c r="AY156" s="113"/>
      <c r="AZ156" s="113"/>
      <c r="BA156" s="113"/>
      <c r="BB156" s="113"/>
      <c r="BC156" s="113"/>
      <c r="BD156" s="113"/>
      <c r="BE156" s="113"/>
      <c r="BF156" s="113"/>
      <c r="BG156" s="113"/>
      <c r="BH156" s="113"/>
      <c r="BI156" s="113"/>
      <c r="BJ156" s="113"/>
      <c r="BK156" s="113"/>
      <c r="BL156" s="113"/>
      <c r="BM156" s="113"/>
      <c r="BN156" s="113"/>
      <c r="BO156" s="113"/>
      <c r="BP156" s="113"/>
      <c r="BQ156" s="113"/>
      <c r="BR156" s="113"/>
      <c r="BS156" s="113"/>
      <c r="BT156" s="113"/>
      <c r="BU156" s="113"/>
      <c r="BV156" s="113"/>
      <c r="BW156" s="113"/>
      <c r="BX156" s="113"/>
      <c r="BY156" s="113"/>
      <c r="BZ156" s="113"/>
      <c r="CA156" s="113"/>
      <c r="CB156" s="113"/>
      <c r="CC156" s="113"/>
      <c r="CD156" s="113"/>
      <c r="CE156" s="113"/>
      <c r="CF156" s="113"/>
      <c r="CG156" s="113"/>
      <c r="CH156" s="113"/>
      <c r="CI156" s="113"/>
      <c r="CJ156" s="113"/>
      <c r="CK156" s="113"/>
      <c r="CL156" s="113"/>
      <c r="CM156" s="113"/>
      <c r="CN156" s="113"/>
      <c r="CO156" s="113"/>
      <c r="CP156" s="113"/>
      <c r="CQ156" s="113"/>
      <c r="CR156" s="113"/>
      <c r="CS156" s="113"/>
      <c r="CT156" s="113"/>
      <c r="CU156" s="113"/>
      <c r="CV156" s="113"/>
      <c r="CW156" s="113"/>
      <c r="CX156" s="113"/>
      <c r="CY156" s="113"/>
      <c r="CZ156" s="113"/>
      <c r="DA156" s="113"/>
      <c r="DB156" s="113"/>
      <c r="DC156" s="113"/>
      <c r="DD156" s="113"/>
      <c r="DE156" s="113"/>
      <c r="DF156" s="113"/>
      <c r="DG156" s="113"/>
      <c r="DH156" s="113"/>
      <c r="DI156" s="113"/>
      <c r="DJ156" s="113"/>
      <c r="DK156" s="113"/>
      <c r="DL156" s="114"/>
      <c r="DM156" s="47"/>
    </row>
    <row r="157" spans="5:117" x14ac:dyDescent="0.35">
      <c r="E157" s="111"/>
      <c r="F157" s="112"/>
      <c r="G157" s="112"/>
      <c r="H157" s="116"/>
      <c r="I157" s="116"/>
      <c r="J157" s="38">
        <f t="shared" ref="J157:J185" si="135">H157*M157</f>
        <v>0</v>
      </c>
      <c r="K157" s="38">
        <f t="shared" ref="K157:K185" si="136">I157*L157</f>
        <v>0</v>
      </c>
      <c r="L157" s="39">
        <f t="shared" si="134"/>
        <v>0</v>
      </c>
      <c r="M157" s="113"/>
      <c r="N157" s="113"/>
      <c r="O157" s="113"/>
      <c r="P157" s="113"/>
      <c r="Q157" s="113"/>
      <c r="R157" s="113"/>
      <c r="S157" s="113"/>
      <c r="T157" s="113"/>
      <c r="U157" s="113"/>
      <c r="V157" s="113"/>
      <c r="W157" s="113"/>
      <c r="X157" s="113"/>
      <c r="Y157" s="113"/>
      <c r="Z157" s="113"/>
      <c r="AA157" s="113"/>
      <c r="AB157" s="113"/>
      <c r="AC157" s="113"/>
      <c r="AD157" s="113"/>
      <c r="AE157" s="113"/>
      <c r="AF157" s="113"/>
      <c r="AG157" s="113"/>
      <c r="AH157" s="113"/>
      <c r="AI157" s="113"/>
      <c r="AJ157" s="113"/>
      <c r="AK157" s="113"/>
      <c r="AL157" s="113"/>
      <c r="AM157" s="113"/>
      <c r="AN157" s="113"/>
      <c r="AO157" s="113"/>
      <c r="AP157" s="113"/>
      <c r="AQ157" s="113"/>
      <c r="AR157" s="113"/>
      <c r="AS157" s="113"/>
      <c r="AT157" s="113"/>
      <c r="AU157" s="113"/>
      <c r="AV157" s="113"/>
      <c r="AW157" s="113"/>
      <c r="AX157" s="113"/>
      <c r="AY157" s="113"/>
      <c r="AZ157" s="113"/>
      <c r="BA157" s="113"/>
      <c r="BB157" s="113"/>
      <c r="BC157" s="113"/>
      <c r="BD157" s="113"/>
      <c r="BE157" s="113"/>
      <c r="BF157" s="113"/>
      <c r="BG157" s="113"/>
      <c r="BH157" s="113"/>
      <c r="BI157" s="113"/>
      <c r="BJ157" s="113"/>
      <c r="BK157" s="113"/>
      <c r="BL157" s="113"/>
      <c r="BM157" s="113"/>
      <c r="BN157" s="113"/>
      <c r="BO157" s="113"/>
      <c r="BP157" s="113"/>
      <c r="BQ157" s="113"/>
      <c r="BR157" s="113"/>
      <c r="BS157" s="113"/>
      <c r="BT157" s="113"/>
      <c r="BU157" s="113"/>
      <c r="BV157" s="113"/>
      <c r="BW157" s="113"/>
      <c r="BX157" s="113"/>
      <c r="BY157" s="113"/>
      <c r="BZ157" s="113"/>
      <c r="CA157" s="113"/>
      <c r="CB157" s="113"/>
      <c r="CC157" s="113"/>
      <c r="CD157" s="113"/>
      <c r="CE157" s="113"/>
      <c r="CF157" s="113"/>
      <c r="CG157" s="113"/>
      <c r="CH157" s="113"/>
      <c r="CI157" s="113"/>
      <c r="CJ157" s="113"/>
      <c r="CK157" s="113"/>
      <c r="CL157" s="113"/>
      <c r="CM157" s="113"/>
      <c r="CN157" s="113"/>
      <c r="CO157" s="113"/>
      <c r="CP157" s="113"/>
      <c r="CQ157" s="113"/>
      <c r="CR157" s="113"/>
      <c r="CS157" s="113"/>
      <c r="CT157" s="113"/>
      <c r="CU157" s="113"/>
      <c r="CV157" s="113"/>
      <c r="CW157" s="113"/>
      <c r="CX157" s="113"/>
      <c r="CY157" s="113"/>
      <c r="CZ157" s="113"/>
      <c r="DA157" s="113"/>
      <c r="DB157" s="113"/>
      <c r="DC157" s="113"/>
      <c r="DD157" s="113"/>
      <c r="DE157" s="113"/>
      <c r="DF157" s="113"/>
      <c r="DG157" s="113"/>
      <c r="DH157" s="113"/>
      <c r="DI157" s="113"/>
      <c r="DJ157" s="113"/>
      <c r="DK157" s="113"/>
      <c r="DL157" s="114"/>
      <c r="DM157" s="47"/>
    </row>
    <row r="158" spans="5:117" x14ac:dyDescent="0.35">
      <c r="E158" s="111"/>
      <c r="F158" s="112"/>
      <c r="G158" s="112"/>
      <c r="H158" s="116"/>
      <c r="I158" s="116"/>
      <c r="J158" s="38">
        <f t="shared" si="135"/>
        <v>0</v>
      </c>
      <c r="K158" s="38">
        <f t="shared" si="136"/>
        <v>0</v>
      </c>
      <c r="L158" s="39">
        <f t="shared" si="134"/>
        <v>0</v>
      </c>
      <c r="M158" s="113"/>
      <c r="N158" s="113"/>
      <c r="O158" s="113"/>
      <c r="P158" s="113"/>
      <c r="Q158" s="113"/>
      <c r="R158" s="113"/>
      <c r="S158" s="113"/>
      <c r="T158" s="113"/>
      <c r="U158" s="113"/>
      <c r="V158" s="113"/>
      <c r="W158" s="113"/>
      <c r="X158" s="113"/>
      <c r="Y158" s="113"/>
      <c r="Z158" s="113"/>
      <c r="AA158" s="113"/>
      <c r="AB158" s="113"/>
      <c r="AC158" s="113"/>
      <c r="AD158" s="113"/>
      <c r="AE158" s="113"/>
      <c r="AF158" s="113"/>
      <c r="AG158" s="113"/>
      <c r="AH158" s="113"/>
      <c r="AI158" s="113"/>
      <c r="AJ158" s="113"/>
      <c r="AK158" s="113"/>
      <c r="AL158" s="113"/>
      <c r="AM158" s="113"/>
      <c r="AN158" s="113"/>
      <c r="AO158" s="113"/>
      <c r="AP158" s="113"/>
      <c r="AQ158" s="113"/>
      <c r="AR158" s="113"/>
      <c r="AS158" s="113"/>
      <c r="AT158" s="113"/>
      <c r="AU158" s="113"/>
      <c r="AV158" s="113"/>
      <c r="AW158" s="113"/>
      <c r="AX158" s="113"/>
      <c r="AY158" s="113"/>
      <c r="AZ158" s="113"/>
      <c r="BA158" s="113"/>
      <c r="BB158" s="113"/>
      <c r="BC158" s="113"/>
      <c r="BD158" s="113"/>
      <c r="BE158" s="113"/>
      <c r="BF158" s="113"/>
      <c r="BG158" s="113"/>
      <c r="BH158" s="113"/>
      <c r="BI158" s="113"/>
      <c r="BJ158" s="113"/>
      <c r="BK158" s="113"/>
      <c r="BL158" s="113"/>
      <c r="BM158" s="113"/>
      <c r="BN158" s="113"/>
      <c r="BO158" s="113"/>
      <c r="BP158" s="113"/>
      <c r="BQ158" s="113"/>
      <c r="BR158" s="113"/>
      <c r="BS158" s="113"/>
      <c r="BT158" s="113"/>
      <c r="BU158" s="113"/>
      <c r="BV158" s="113"/>
      <c r="BW158" s="113"/>
      <c r="BX158" s="113"/>
      <c r="BY158" s="113"/>
      <c r="BZ158" s="113"/>
      <c r="CA158" s="113"/>
      <c r="CB158" s="113"/>
      <c r="CC158" s="113"/>
      <c r="CD158" s="113"/>
      <c r="CE158" s="113"/>
      <c r="CF158" s="113"/>
      <c r="CG158" s="113"/>
      <c r="CH158" s="113"/>
      <c r="CI158" s="113"/>
      <c r="CJ158" s="113"/>
      <c r="CK158" s="113"/>
      <c r="CL158" s="113"/>
      <c r="CM158" s="113"/>
      <c r="CN158" s="113"/>
      <c r="CO158" s="113"/>
      <c r="CP158" s="113"/>
      <c r="CQ158" s="113"/>
      <c r="CR158" s="113"/>
      <c r="CS158" s="113"/>
      <c r="CT158" s="113"/>
      <c r="CU158" s="113"/>
      <c r="CV158" s="113"/>
      <c r="CW158" s="113"/>
      <c r="CX158" s="113"/>
      <c r="CY158" s="113"/>
      <c r="CZ158" s="113"/>
      <c r="DA158" s="113"/>
      <c r="DB158" s="113"/>
      <c r="DC158" s="113"/>
      <c r="DD158" s="113"/>
      <c r="DE158" s="113"/>
      <c r="DF158" s="113"/>
      <c r="DG158" s="113"/>
      <c r="DH158" s="113"/>
      <c r="DI158" s="113"/>
      <c r="DJ158" s="113"/>
      <c r="DK158" s="113"/>
      <c r="DL158" s="114"/>
      <c r="DM158" s="47"/>
    </row>
    <row r="159" spans="5:117" x14ac:dyDescent="0.35">
      <c r="E159" s="111"/>
      <c r="F159" s="112"/>
      <c r="G159" s="112"/>
      <c r="H159" s="116"/>
      <c r="I159" s="116"/>
      <c r="J159" s="38">
        <f t="shared" si="135"/>
        <v>0</v>
      </c>
      <c r="K159" s="38">
        <f t="shared" si="136"/>
        <v>0</v>
      </c>
      <c r="L159" s="39">
        <f t="shared" si="134"/>
        <v>0</v>
      </c>
      <c r="M159" s="113"/>
      <c r="N159" s="113"/>
      <c r="O159" s="113"/>
      <c r="P159" s="113"/>
      <c r="Q159" s="113"/>
      <c r="R159" s="113"/>
      <c r="S159" s="113"/>
      <c r="T159" s="113"/>
      <c r="U159" s="113"/>
      <c r="V159" s="113"/>
      <c r="W159" s="113"/>
      <c r="X159" s="113"/>
      <c r="Y159" s="113"/>
      <c r="Z159" s="113"/>
      <c r="AA159" s="113"/>
      <c r="AB159" s="113"/>
      <c r="AC159" s="113"/>
      <c r="AD159" s="113"/>
      <c r="AE159" s="113"/>
      <c r="AF159" s="113"/>
      <c r="AG159" s="113"/>
      <c r="AH159" s="113"/>
      <c r="AI159" s="113"/>
      <c r="AJ159" s="113"/>
      <c r="AK159" s="113"/>
      <c r="AL159" s="113"/>
      <c r="AM159" s="113"/>
      <c r="AN159" s="113"/>
      <c r="AO159" s="113"/>
      <c r="AP159" s="113"/>
      <c r="AQ159" s="113"/>
      <c r="AR159" s="113"/>
      <c r="AS159" s="113"/>
      <c r="AT159" s="113"/>
      <c r="AU159" s="113"/>
      <c r="AV159" s="113"/>
      <c r="AW159" s="113"/>
      <c r="AX159" s="113"/>
      <c r="AY159" s="113"/>
      <c r="AZ159" s="113"/>
      <c r="BA159" s="113"/>
      <c r="BB159" s="113"/>
      <c r="BC159" s="113"/>
      <c r="BD159" s="113"/>
      <c r="BE159" s="113"/>
      <c r="BF159" s="113"/>
      <c r="BG159" s="113"/>
      <c r="BH159" s="113"/>
      <c r="BI159" s="113"/>
      <c r="BJ159" s="113"/>
      <c r="BK159" s="113"/>
      <c r="BL159" s="113"/>
      <c r="BM159" s="113"/>
      <c r="BN159" s="113"/>
      <c r="BO159" s="113"/>
      <c r="BP159" s="113"/>
      <c r="BQ159" s="113"/>
      <c r="BR159" s="113"/>
      <c r="BS159" s="113"/>
      <c r="BT159" s="113"/>
      <c r="BU159" s="113"/>
      <c r="BV159" s="113"/>
      <c r="BW159" s="113"/>
      <c r="BX159" s="113"/>
      <c r="BY159" s="113"/>
      <c r="BZ159" s="113"/>
      <c r="CA159" s="113"/>
      <c r="CB159" s="113"/>
      <c r="CC159" s="113"/>
      <c r="CD159" s="113"/>
      <c r="CE159" s="113"/>
      <c r="CF159" s="113"/>
      <c r="CG159" s="113"/>
      <c r="CH159" s="113"/>
      <c r="CI159" s="113"/>
      <c r="CJ159" s="113"/>
      <c r="CK159" s="113"/>
      <c r="CL159" s="113"/>
      <c r="CM159" s="113"/>
      <c r="CN159" s="113"/>
      <c r="CO159" s="113"/>
      <c r="CP159" s="113"/>
      <c r="CQ159" s="113"/>
      <c r="CR159" s="113"/>
      <c r="CS159" s="113"/>
      <c r="CT159" s="113"/>
      <c r="CU159" s="113"/>
      <c r="CV159" s="113"/>
      <c r="CW159" s="113"/>
      <c r="CX159" s="113"/>
      <c r="CY159" s="113"/>
      <c r="CZ159" s="113"/>
      <c r="DA159" s="113"/>
      <c r="DB159" s="113"/>
      <c r="DC159" s="113"/>
      <c r="DD159" s="113"/>
      <c r="DE159" s="113"/>
      <c r="DF159" s="113"/>
      <c r="DG159" s="113"/>
      <c r="DH159" s="113"/>
      <c r="DI159" s="113"/>
      <c r="DJ159" s="113"/>
      <c r="DK159" s="113"/>
      <c r="DL159" s="114"/>
      <c r="DM159" s="47"/>
    </row>
    <row r="160" spans="5:117" x14ac:dyDescent="0.35">
      <c r="E160" s="111"/>
      <c r="F160" s="112"/>
      <c r="G160" s="112"/>
      <c r="H160" s="116"/>
      <c r="I160" s="116"/>
      <c r="J160" s="38">
        <f t="shared" si="135"/>
        <v>0</v>
      </c>
      <c r="K160" s="38">
        <f t="shared" si="136"/>
        <v>0</v>
      </c>
      <c r="L160" s="39">
        <f t="shared" si="134"/>
        <v>0</v>
      </c>
      <c r="M160" s="113"/>
      <c r="N160" s="113"/>
      <c r="O160" s="113"/>
      <c r="P160" s="113"/>
      <c r="Q160" s="113"/>
      <c r="R160" s="113"/>
      <c r="S160" s="113"/>
      <c r="T160" s="113"/>
      <c r="U160" s="113"/>
      <c r="V160" s="113"/>
      <c r="W160" s="113"/>
      <c r="X160" s="113"/>
      <c r="Y160" s="113"/>
      <c r="Z160" s="113"/>
      <c r="AA160" s="113"/>
      <c r="AB160" s="113"/>
      <c r="AC160" s="113"/>
      <c r="AD160" s="113"/>
      <c r="AE160" s="113"/>
      <c r="AF160" s="113"/>
      <c r="AG160" s="113"/>
      <c r="AH160" s="113"/>
      <c r="AI160" s="113"/>
      <c r="AJ160" s="113"/>
      <c r="AK160" s="113"/>
      <c r="AL160" s="113"/>
      <c r="AM160" s="113"/>
      <c r="AN160" s="113"/>
      <c r="AO160" s="113"/>
      <c r="AP160" s="113"/>
      <c r="AQ160" s="113"/>
      <c r="AR160" s="113"/>
      <c r="AS160" s="113"/>
      <c r="AT160" s="113"/>
      <c r="AU160" s="113"/>
      <c r="AV160" s="113"/>
      <c r="AW160" s="113"/>
      <c r="AX160" s="113"/>
      <c r="AY160" s="113"/>
      <c r="AZ160" s="113"/>
      <c r="BA160" s="113"/>
      <c r="BB160" s="113"/>
      <c r="BC160" s="113"/>
      <c r="BD160" s="113"/>
      <c r="BE160" s="113"/>
      <c r="BF160" s="113"/>
      <c r="BG160" s="113"/>
      <c r="BH160" s="113"/>
      <c r="BI160" s="113"/>
      <c r="BJ160" s="113"/>
      <c r="BK160" s="113"/>
      <c r="BL160" s="113"/>
      <c r="BM160" s="113"/>
      <c r="BN160" s="113"/>
      <c r="BO160" s="113"/>
      <c r="BP160" s="113"/>
      <c r="BQ160" s="113"/>
      <c r="BR160" s="113"/>
      <c r="BS160" s="113"/>
      <c r="BT160" s="113"/>
      <c r="BU160" s="113"/>
      <c r="BV160" s="113"/>
      <c r="BW160" s="113"/>
      <c r="BX160" s="113"/>
      <c r="BY160" s="113"/>
      <c r="BZ160" s="113"/>
      <c r="CA160" s="113"/>
      <c r="CB160" s="113"/>
      <c r="CC160" s="113"/>
      <c r="CD160" s="113"/>
      <c r="CE160" s="113"/>
      <c r="CF160" s="113"/>
      <c r="CG160" s="113"/>
      <c r="CH160" s="113"/>
      <c r="CI160" s="113"/>
      <c r="CJ160" s="113"/>
      <c r="CK160" s="113"/>
      <c r="CL160" s="113"/>
      <c r="CM160" s="113"/>
      <c r="CN160" s="113"/>
      <c r="CO160" s="113"/>
      <c r="CP160" s="113"/>
      <c r="CQ160" s="113"/>
      <c r="CR160" s="113"/>
      <c r="CS160" s="113"/>
      <c r="CT160" s="113"/>
      <c r="CU160" s="113"/>
      <c r="CV160" s="113"/>
      <c r="CW160" s="113"/>
      <c r="CX160" s="113"/>
      <c r="CY160" s="113"/>
      <c r="CZ160" s="113"/>
      <c r="DA160" s="113"/>
      <c r="DB160" s="113"/>
      <c r="DC160" s="113"/>
      <c r="DD160" s="113"/>
      <c r="DE160" s="113"/>
      <c r="DF160" s="113"/>
      <c r="DG160" s="113"/>
      <c r="DH160" s="113"/>
      <c r="DI160" s="113"/>
      <c r="DJ160" s="113"/>
      <c r="DK160" s="113"/>
      <c r="DL160" s="114"/>
      <c r="DM160" s="47"/>
    </row>
    <row r="161" spans="5:117" x14ac:dyDescent="0.35">
      <c r="E161" s="111"/>
      <c r="F161" s="112"/>
      <c r="G161" s="112"/>
      <c r="H161" s="116"/>
      <c r="I161" s="116"/>
      <c r="J161" s="38">
        <f t="shared" si="135"/>
        <v>0</v>
      </c>
      <c r="K161" s="38">
        <f t="shared" si="136"/>
        <v>0</v>
      </c>
      <c r="L161" s="39">
        <f t="shared" si="134"/>
        <v>0</v>
      </c>
      <c r="M161" s="113"/>
      <c r="N161" s="113"/>
      <c r="O161" s="113"/>
      <c r="P161" s="113"/>
      <c r="Q161" s="113"/>
      <c r="R161" s="113"/>
      <c r="S161" s="113"/>
      <c r="T161" s="113"/>
      <c r="U161" s="113"/>
      <c r="V161" s="113"/>
      <c r="W161" s="113"/>
      <c r="X161" s="113"/>
      <c r="Y161" s="113"/>
      <c r="Z161" s="113"/>
      <c r="AA161" s="113"/>
      <c r="AB161" s="113"/>
      <c r="AC161" s="113"/>
      <c r="AD161" s="113"/>
      <c r="AE161" s="113"/>
      <c r="AF161" s="113"/>
      <c r="AG161" s="113"/>
      <c r="AH161" s="113"/>
      <c r="AI161" s="113"/>
      <c r="AJ161" s="113"/>
      <c r="AK161" s="113"/>
      <c r="AL161" s="113"/>
      <c r="AM161" s="113"/>
      <c r="AN161" s="113"/>
      <c r="AO161" s="113"/>
      <c r="AP161" s="113"/>
      <c r="AQ161" s="113"/>
      <c r="AR161" s="113"/>
      <c r="AS161" s="113"/>
      <c r="AT161" s="113"/>
      <c r="AU161" s="113"/>
      <c r="AV161" s="113"/>
      <c r="AW161" s="113"/>
      <c r="AX161" s="113"/>
      <c r="AY161" s="113"/>
      <c r="AZ161" s="113"/>
      <c r="BA161" s="113"/>
      <c r="BB161" s="113"/>
      <c r="BC161" s="113"/>
      <c r="BD161" s="113"/>
      <c r="BE161" s="113"/>
      <c r="BF161" s="113"/>
      <c r="BG161" s="113"/>
      <c r="BH161" s="113"/>
      <c r="BI161" s="113"/>
      <c r="BJ161" s="113"/>
      <c r="BK161" s="113"/>
      <c r="BL161" s="113"/>
      <c r="BM161" s="113"/>
      <c r="BN161" s="113"/>
      <c r="BO161" s="113"/>
      <c r="BP161" s="113"/>
      <c r="BQ161" s="113"/>
      <c r="BR161" s="113"/>
      <c r="BS161" s="113"/>
      <c r="BT161" s="113"/>
      <c r="BU161" s="113"/>
      <c r="BV161" s="113"/>
      <c r="BW161" s="113"/>
      <c r="BX161" s="113"/>
      <c r="BY161" s="113"/>
      <c r="BZ161" s="113"/>
      <c r="CA161" s="113"/>
      <c r="CB161" s="113"/>
      <c r="CC161" s="113"/>
      <c r="CD161" s="113"/>
      <c r="CE161" s="113"/>
      <c r="CF161" s="113"/>
      <c r="CG161" s="113"/>
      <c r="CH161" s="113"/>
      <c r="CI161" s="113"/>
      <c r="CJ161" s="113"/>
      <c r="CK161" s="113"/>
      <c r="CL161" s="113"/>
      <c r="CM161" s="113"/>
      <c r="CN161" s="113"/>
      <c r="CO161" s="113"/>
      <c r="CP161" s="113"/>
      <c r="CQ161" s="113"/>
      <c r="CR161" s="113"/>
      <c r="CS161" s="113"/>
      <c r="CT161" s="113"/>
      <c r="CU161" s="113"/>
      <c r="CV161" s="113"/>
      <c r="CW161" s="113"/>
      <c r="CX161" s="113"/>
      <c r="CY161" s="113"/>
      <c r="CZ161" s="113"/>
      <c r="DA161" s="113"/>
      <c r="DB161" s="113"/>
      <c r="DC161" s="113"/>
      <c r="DD161" s="113"/>
      <c r="DE161" s="113"/>
      <c r="DF161" s="113"/>
      <c r="DG161" s="113"/>
      <c r="DH161" s="113"/>
      <c r="DI161" s="113"/>
      <c r="DJ161" s="113"/>
      <c r="DK161" s="113"/>
      <c r="DL161" s="114"/>
      <c r="DM161" s="47"/>
    </row>
    <row r="162" spans="5:117" x14ac:dyDescent="0.35">
      <c r="E162" s="111"/>
      <c r="F162" s="112"/>
      <c r="G162" s="112"/>
      <c r="H162" s="116"/>
      <c r="I162" s="116"/>
      <c r="J162" s="38">
        <f t="shared" si="135"/>
        <v>0</v>
      </c>
      <c r="K162" s="38">
        <f t="shared" si="136"/>
        <v>0</v>
      </c>
      <c r="L162" s="39">
        <f t="shared" si="134"/>
        <v>0</v>
      </c>
      <c r="M162" s="113"/>
      <c r="N162" s="113"/>
      <c r="O162" s="113"/>
      <c r="P162" s="113"/>
      <c r="Q162" s="113"/>
      <c r="R162" s="113"/>
      <c r="S162" s="113"/>
      <c r="T162" s="113"/>
      <c r="U162" s="113"/>
      <c r="V162" s="113"/>
      <c r="W162" s="113"/>
      <c r="X162" s="113"/>
      <c r="Y162" s="113"/>
      <c r="Z162" s="113"/>
      <c r="AA162" s="113"/>
      <c r="AB162" s="113"/>
      <c r="AC162" s="113"/>
      <c r="AD162" s="113"/>
      <c r="AE162" s="113"/>
      <c r="AF162" s="113"/>
      <c r="AG162" s="113"/>
      <c r="AH162" s="113"/>
      <c r="AI162" s="113"/>
      <c r="AJ162" s="113"/>
      <c r="AK162" s="113"/>
      <c r="AL162" s="113"/>
      <c r="AM162" s="113"/>
      <c r="AN162" s="113"/>
      <c r="AO162" s="113"/>
      <c r="AP162" s="113"/>
      <c r="AQ162" s="113"/>
      <c r="AR162" s="113"/>
      <c r="AS162" s="113"/>
      <c r="AT162" s="113"/>
      <c r="AU162" s="113"/>
      <c r="AV162" s="113"/>
      <c r="AW162" s="113"/>
      <c r="AX162" s="113"/>
      <c r="AY162" s="113"/>
      <c r="AZ162" s="113"/>
      <c r="BA162" s="113"/>
      <c r="BB162" s="113"/>
      <c r="BC162" s="113"/>
      <c r="BD162" s="113"/>
      <c r="BE162" s="113"/>
      <c r="BF162" s="113"/>
      <c r="BG162" s="113"/>
      <c r="BH162" s="113"/>
      <c r="BI162" s="113"/>
      <c r="BJ162" s="113"/>
      <c r="BK162" s="113"/>
      <c r="BL162" s="113"/>
      <c r="BM162" s="113"/>
      <c r="BN162" s="113"/>
      <c r="BO162" s="113"/>
      <c r="BP162" s="113"/>
      <c r="BQ162" s="113"/>
      <c r="BR162" s="113"/>
      <c r="BS162" s="113"/>
      <c r="BT162" s="113"/>
      <c r="BU162" s="113"/>
      <c r="BV162" s="113"/>
      <c r="BW162" s="113"/>
      <c r="BX162" s="113"/>
      <c r="BY162" s="113"/>
      <c r="BZ162" s="113"/>
      <c r="CA162" s="113"/>
      <c r="CB162" s="113"/>
      <c r="CC162" s="113"/>
      <c r="CD162" s="113"/>
      <c r="CE162" s="113"/>
      <c r="CF162" s="113"/>
      <c r="CG162" s="113"/>
      <c r="CH162" s="113"/>
      <c r="CI162" s="113"/>
      <c r="CJ162" s="113"/>
      <c r="CK162" s="113"/>
      <c r="CL162" s="113"/>
      <c r="CM162" s="113"/>
      <c r="CN162" s="113"/>
      <c r="CO162" s="113"/>
      <c r="CP162" s="113"/>
      <c r="CQ162" s="113"/>
      <c r="CR162" s="113"/>
      <c r="CS162" s="113"/>
      <c r="CT162" s="113"/>
      <c r="CU162" s="113"/>
      <c r="CV162" s="113"/>
      <c r="CW162" s="113"/>
      <c r="CX162" s="113"/>
      <c r="CY162" s="113"/>
      <c r="CZ162" s="113"/>
      <c r="DA162" s="113"/>
      <c r="DB162" s="113"/>
      <c r="DC162" s="113"/>
      <c r="DD162" s="113"/>
      <c r="DE162" s="113"/>
      <c r="DF162" s="113"/>
      <c r="DG162" s="113"/>
      <c r="DH162" s="113"/>
      <c r="DI162" s="113"/>
      <c r="DJ162" s="113"/>
      <c r="DK162" s="113"/>
      <c r="DL162" s="114"/>
      <c r="DM162" s="47"/>
    </row>
    <row r="163" spans="5:117" x14ac:dyDescent="0.35">
      <c r="E163" s="111"/>
      <c r="F163" s="112"/>
      <c r="G163" s="112"/>
      <c r="H163" s="116"/>
      <c r="I163" s="116"/>
      <c r="J163" s="38">
        <f t="shared" si="135"/>
        <v>0</v>
      </c>
      <c r="K163" s="38">
        <f t="shared" si="136"/>
        <v>0</v>
      </c>
      <c r="L163" s="39">
        <f t="shared" si="134"/>
        <v>0</v>
      </c>
      <c r="M163" s="113"/>
      <c r="N163" s="113"/>
      <c r="O163" s="113"/>
      <c r="P163" s="113"/>
      <c r="Q163" s="113"/>
      <c r="R163" s="113"/>
      <c r="S163" s="113"/>
      <c r="T163" s="113"/>
      <c r="U163" s="113"/>
      <c r="V163" s="113"/>
      <c r="W163" s="113"/>
      <c r="X163" s="113"/>
      <c r="Y163" s="113"/>
      <c r="Z163" s="113"/>
      <c r="AA163" s="113"/>
      <c r="AB163" s="113"/>
      <c r="AC163" s="113"/>
      <c r="AD163" s="113"/>
      <c r="AE163" s="113"/>
      <c r="AF163" s="113"/>
      <c r="AG163" s="113"/>
      <c r="AH163" s="113"/>
      <c r="AI163" s="113"/>
      <c r="AJ163" s="113"/>
      <c r="AK163" s="113"/>
      <c r="AL163" s="113"/>
      <c r="AM163" s="113"/>
      <c r="AN163" s="113"/>
      <c r="AO163" s="113"/>
      <c r="AP163" s="113"/>
      <c r="AQ163" s="113"/>
      <c r="AR163" s="113"/>
      <c r="AS163" s="113"/>
      <c r="AT163" s="113"/>
      <c r="AU163" s="113"/>
      <c r="AV163" s="113"/>
      <c r="AW163" s="113"/>
      <c r="AX163" s="113"/>
      <c r="AY163" s="113"/>
      <c r="AZ163" s="113"/>
      <c r="BA163" s="113"/>
      <c r="BB163" s="113"/>
      <c r="BC163" s="113"/>
      <c r="BD163" s="113"/>
      <c r="BE163" s="113"/>
      <c r="BF163" s="113"/>
      <c r="BG163" s="113"/>
      <c r="BH163" s="113"/>
      <c r="BI163" s="113"/>
      <c r="BJ163" s="113"/>
      <c r="BK163" s="113"/>
      <c r="BL163" s="113"/>
      <c r="BM163" s="113"/>
      <c r="BN163" s="113"/>
      <c r="BO163" s="113"/>
      <c r="BP163" s="113"/>
      <c r="BQ163" s="113"/>
      <c r="BR163" s="113"/>
      <c r="BS163" s="113"/>
      <c r="BT163" s="113"/>
      <c r="BU163" s="113"/>
      <c r="BV163" s="113"/>
      <c r="BW163" s="113"/>
      <c r="BX163" s="113"/>
      <c r="BY163" s="113"/>
      <c r="BZ163" s="113"/>
      <c r="CA163" s="113"/>
      <c r="CB163" s="113"/>
      <c r="CC163" s="113"/>
      <c r="CD163" s="113"/>
      <c r="CE163" s="113"/>
      <c r="CF163" s="113"/>
      <c r="CG163" s="113"/>
      <c r="CH163" s="113"/>
      <c r="CI163" s="113"/>
      <c r="CJ163" s="113"/>
      <c r="CK163" s="113"/>
      <c r="CL163" s="113"/>
      <c r="CM163" s="113"/>
      <c r="CN163" s="113"/>
      <c r="CO163" s="113"/>
      <c r="CP163" s="113"/>
      <c r="CQ163" s="113"/>
      <c r="CR163" s="113"/>
      <c r="CS163" s="113"/>
      <c r="CT163" s="113"/>
      <c r="CU163" s="113"/>
      <c r="CV163" s="113"/>
      <c r="CW163" s="113"/>
      <c r="CX163" s="113"/>
      <c r="CY163" s="113"/>
      <c r="CZ163" s="113"/>
      <c r="DA163" s="113"/>
      <c r="DB163" s="113"/>
      <c r="DC163" s="113"/>
      <c r="DD163" s="113"/>
      <c r="DE163" s="113"/>
      <c r="DF163" s="113"/>
      <c r="DG163" s="113"/>
      <c r="DH163" s="113"/>
      <c r="DI163" s="113"/>
      <c r="DJ163" s="113"/>
      <c r="DK163" s="113"/>
      <c r="DL163" s="114"/>
      <c r="DM163" s="47"/>
    </row>
    <row r="164" spans="5:117" x14ac:dyDescent="0.35">
      <c r="E164" s="111"/>
      <c r="F164" s="112"/>
      <c r="G164" s="112"/>
      <c r="H164" s="116"/>
      <c r="I164" s="116"/>
      <c r="J164" s="38">
        <f t="shared" si="135"/>
        <v>0</v>
      </c>
      <c r="K164" s="38">
        <f t="shared" si="136"/>
        <v>0</v>
      </c>
      <c r="L164" s="39">
        <f t="shared" si="134"/>
        <v>0</v>
      </c>
      <c r="M164" s="113"/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113"/>
      <c r="Y164" s="113"/>
      <c r="Z164" s="113"/>
      <c r="AA164" s="113"/>
      <c r="AB164" s="113"/>
      <c r="AC164" s="113"/>
      <c r="AD164" s="113"/>
      <c r="AE164" s="113"/>
      <c r="AF164" s="113"/>
      <c r="AG164" s="113"/>
      <c r="AH164" s="113"/>
      <c r="AI164" s="113"/>
      <c r="AJ164" s="113"/>
      <c r="AK164" s="113"/>
      <c r="AL164" s="113"/>
      <c r="AM164" s="113"/>
      <c r="AN164" s="113"/>
      <c r="AO164" s="113"/>
      <c r="AP164" s="113"/>
      <c r="AQ164" s="113"/>
      <c r="AR164" s="113"/>
      <c r="AS164" s="113"/>
      <c r="AT164" s="113"/>
      <c r="AU164" s="113"/>
      <c r="AV164" s="113"/>
      <c r="AW164" s="113"/>
      <c r="AX164" s="113"/>
      <c r="AY164" s="113"/>
      <c r="AZ164" s="113"/>
      <c r="BA164" s="113"/>
      <c r="BB164" s="113"/>
      <c r="BC164" s="113"/>
      <c r="BD164" s="113"/>
      <c r="BE164" s="113"/>
      <c r="BF164" s="113"/>
      <c r="BG164" s="113"/>
      <c r="BH164" s="113"/>
      <c r="BI164" s="113"/>
      <c r="BJ164" s="113"/>
      <c r="BK164" s="113"/>
      <c r="BL164" s="113"/>
      <c r="BM164" s="113"/>
      <c r="BN164" s="113"/>
      <c r="BO164" s="113"/>
      <c r="BP164" s="113"/>
      <c r="BQ164" s="113"/>
      <c r="BR164" s="113"/>
      <c r="BS164" s="113"/>
      <c r="BT164" s="113"/>
      <c r="BU164" s="113"/>
      <c r="BV164" s="113"/>
      <c r="BW164" s="113"/>
      <c r="BX164" s="113"/>
      <c r="BY164" s="113"/>
      <c r="BZ164" s="113"/>
      <c r="CA164" s="113"/>
      <c r="CB164" s="113"/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  <c r="CM164" s="113"/>
      <c r="CN164" s="113"/>
      <c r="CO164" s="113"/>
      <c r="CP164" s="113"/>
      <c r="CQ164" s="113"/>
      <c r="CR164" s="113"/>
      <c r="CS164" s="113"/>
      <c r="CT164" s="113"/>
      <c r="CU164" s="113"/>
      <c r="CV164" s="113"/>
      <c r="CW164" s="113"/>
      <c r="CX164" s="113"/>
      <c r="CY164" s="113"/>
      <c r="CZ164" s="113"/>
      <c r="DA164" s="113"/>
      <c r="DB164" s="113"/>
      <c r="DC164" s="113"/>
      <c r="DD164" s="113"/>
      <c r="DE164" s="113"/>
      <c r="DF164" s="113"/>
      <c r="DG164" s="113"/>
      <c r="DH164" s="113"/>
      <c r="DI164" s="113"/>
      <c r="DJ164" s="113"/>
      <c r="DK164" s="113"/>
      <c r="DL164" s="114"/>
      <c r="DM164" s="47"/>
    </row>
    <row r="165" spans="5:117" x14ac:dyDescent="0.35">
      <c r="E165" s="111"/>
      <c r="F165" s="112"/>
      <c r="G165" s="112"/>
      <c r="H165" s="116"/>
      <c r="I165" s="116"/>
      <c r="J165" s="38">
        <f t="shared" si="135"/>
        <v>0</v>
      </c>
      <c r="K165" s="38">
        <f t="shared" si="136"/>
        <v>0</v>
      </c>
      <c r="L165" s="39">
        <f t="shared" si="134"/>
        <v>0</v>
      </c>
      <c r="M165" s="113"/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113"/>
      <c r="Y165" s="113"/>
      <c r="Z165" s="113"/>
      <c r="AA165" s="113"/>
      <c r="AB165" s="113"/>
      <c r="AC165" s="113"/>
      <c r="AD165" s="113"/>
      <c r="AE165" s="113"/>
      <c r="AF165" s="113"/>
      <c r="AG165" s="113"/>
      <c r="AH165" s="113"/>
      <c r="AI165" s="113"/>
      <c r="AJ165" s="113"/>
      <c r="AK165" s="113"/>
      <c r="AL165" s="113"/>
      <c r="AM165" s="113"/>
      <c r="AN165" s="113"/>
      <c r="AO165" s="113"/>
      <c r="AP165" s="113"/>
      <c r="AQ165" s="113"/>
      <c r="AR165" s="113"/>
      <c r="AS165" s="113"/>
      <c r="AT165" s="113"/>
      <c r="AU165" s="113"/>
      <c r="AV165" s="113"/>
      <c r="AW165" s="113"/>
      <c r="AX165" s="113"/>
      <c r="AY165" s="113"/>
      <c r="AZ165" s="113"/>
      <c r="BA165" s="113"/>
      <c r="BB165" s="113"/>
      <c r="BC165" s="113"/>
      <c r="BD165" s="113"/>
      <c r="BE165" s="113"/>
      <c r="BF165" s="113"/>
      <c r="BG165" s="113"/>
      <c r="BH165" s="113"/>
      <c r="BI165" s="113"/>
      <c r="BJ165" s="113"/>
      <c r="BK165" s="113"/>
      <c r="BL165" s="113"/>
      <c r="BM165" s="113"/>
      <c r="BN165" s="113"/>
      <c r="BO165" s="113"/>
      <c r="BP165" s="113"/>
      <c r="BQ165" s="113"/>
      <c r="BR165" s="113"/>
      <c r="BS165" s="113"/>
      <c r="BT165" s="113"/>
      <c r="BU165" s="113"/>
      <c r="BV165" s="113"/>
      <c r="BW165" s="113"/>
      <c r="BX165" s="113"/>
      <c r="BY165" s="113"/>
      <c r="BZ165" s="113"/>
      <c r="CA165" s="113"/>
      <c r="CB165" s="113"/>
      <c r="CC165" s="113"/>
      <c r="CD165" s="113"/>
      <c r="CE165" s="113"/>
      <c r="CF165" s="113"/>
      <c r="CG165" s="113"/>
      <c r="CH165" s="113"/>
      <c r="CI165" s="113"/>
      <c r="CJ165" s="113"/>
      <c r="CK165" s="113"/>
      <c r="CL165" s="113"/>
      <c r="CM165" s="113"/>
      <c r="CN165" s="113"/>
      <c r="CO165" s="113"/>
      <c r="CP165" s="113"/>
      <c r="CQ165" s="113"/>
      <c r="CR165" s="113"/>
      <c r="CS165" s="113"/>
      <c r="CT165" s="113"/>
      <c r="CU165" s="113"/>
      <c r="CV165" s="113"/>
      <c r="CW165" s="113"/>
      <c r="CX165" s="113"/>
      <c r="CY165" s="113"/>
      <c r="CZ165" s="113"/>
      <c r="DA165" s="113"/>
      <c r="DB165" s="113"/>
      <c r="DC165" s="113"/>
      <c r="DD165" s="113"/>
      <c r="DE165" s="113"/>
      <c r="DF165" s="113"/>
      <c r="DG165" s="113"/>
      <c r="DH165" s="113"/>
      <c r="DI165" s="113"/>
      <c r="DJ165" s="113"/>
      <c r="DK165" s="113"/>
      <c r="DL165" s="114"/>
      <c r="DM165" s="47"/>
    </row>
    <row r="166" spans="5:117" x14ac:dyDescent="0.35">
      <c r="E166" s="111"/>
      <c r="F166" s="112"/>
      <c r="G166" s="112"/>
      <c r="H166" s="116"/>
      <c r="I166" s="116"/>
      <c r="J166" s="38">
        <f t="shared" si="135"/>
        <v>0</v>
      </c>
      <c r="K166" s="38">
        <f t="shared" si="136"/>
        <v>0</v>
      </c>
      <c r="L166" s="39">
        <f t="shared" si="134"/>
        <v>0</v>
      </c>
      <c r="M166" s="113"/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X166" s="113"/>
      <c r="Y166" s="113"/>
      <c r="Z166" s="113"/>
      <c r="AA166" s="113"/>
      <c r="AB166" s="113"/>
      <c r="AC166" s="113"/>
      <c r="AD166" s="113"/>
      <c r="AE166" s="113"/>
      <c r="AF166" s="113"/>
      <c r="AG166" s="113"/>
      <c r="AH166" s="113"/>
      <c r="AI166" s="113"/>
      <c r="AJ166" s="113"/>
      <c r="AK166" s="113"/>
      <c r="AL166" s="113"/>
      <c r="AM166" s="113"/>
      <c r="AN166" s="113"/>
      <c r="AO166" s="113"/>
      <c r="AP166" s="113"/>
      <c r="AQ166" s="113"/>
      <c r="AR166" s="113"/>
      <c r="AS166" s="113"/>
      <c r="AT166" s="113"/>
      <c r="AU166" s="113"/>
      <c r="AV166" s="113"/>
      <c r="AW166" s="113"/>
      <c r="AX166" s="113"/>
      <c r="AY166" s="113"/>
      <c r="AZ166" s="113"/>
      <c r="BA166" s="113"/>
      <c r="BB166" s="113"/>
      <c r="BC166" s="113"/>
      <c r="BD166" s="113"/>
      <c r="BE166" s="113"/>
      <c r="BF166" s="113"/>
      <c r="BG166" s="113"/>
      <c r="BH166" s="113"/>
      <c r="BI166" s="113"/>
      <c r="BJ166" s="113"/>
      <c r="BK166" s="113"/>
      <c r="BL166" s="113"/>
      <c r="BM166" s="113"/>
      <c r="BN166" s="113"/>
      <c r="BO166" s="113"/>
      <c r="BP166" s="113"/>
      <c r="BQ166" s="113"/>
      <c r="BR166" s="113"/>
      <c r="BS166" s="113"/>
      <c r="BT166" s="113"/>
      <c r="BU166" s="113"/>
      <c r="BV166" s="113"/>
      <c r="BW166" s="113"/>
      <c r="BX166" s="113"/>
      <c r="BY166" s="113"/>
      <c r="BZ166" s="113"/>
      <c r="CA166" s="113"/>
      <c r="CB166" s="113"/>
      <c r="CC166" s="113"/>
      <c r="CD166" s="113"/>
      <c r="CE166" s="113"/>
      <c r="CF166" s="113"/>
      <c r="CG166" s="113"/>
      <c r="CH166" s="113"/>
      <c r="CI166" s="113"/>
      <c r="CJ166" s="113"/>
      <c r="CK166" s="113"/>
      <c r="CL166" s="113"/>
      <c r="CM166" s="113"/>
      <c r="CN166" s="113"/>
      <c r="CO166" s="113"/>
      <c r="CP166" s="113"/>
      <c r="CQ166" s="113"/>
      <c r="CR166" s="113"/>
      <c r="CS166" s="113"/>
      <c r="CT166" s="113"/>
      <c r="CU166" s="113"/>
      <c r="CV166" s="113"/>
      <c r="CW166" s="113"/>
      <c r="CX166" s="113"/>
      <c r="CY166" s="113"/>
      <c r="CZ166" s="113"/>
      <c r="DA166" s="113"/>
      <c r="DB166" s="113"/>
      <c r="DC166" s="113"/>
      <c r="DD166" s="113"/>
      <c r="DE166" s="113"/>
      <c r="DF166" s="113"/>
      <c r="DG166" s="113"/>
      <c r="DH166" s="113"/>
      <c r="DI166" s="113"/>
      <c r="DJ166" s="113"/>
      <c r="DK166" s="113"/>
      <c r="DL166" s="114"/>
      <c r="DM166" s="47"/>
    </row>
    <row r="167" spans="5:117" hidden="1" x14ac:dyDescent="0.35">
      <c r="E167" s="111"/>
      <c r="F167" s="112"/>
      <c r="G167" s="112"/>
      <c r="H167" s="116"/>
      <c r="I167" s="116"/>
      <c r="J167" s="38">
        <f t="shared" si="135"/>
        <v>0</v>
      </c>
      <c r="K167" s="38">
        <f t="shared" si="136"/>
        <v>0</v>
      </c>
      <c r="L167" s="39">
        <f t="shared" si="134"/>
        <v>0</v>
      </c>
      <c r="M167" s="113"/>
      <c r="N167" s="113"/>
      <c r="O167" s="113"/>
      <c r="P167" s="113"/>
      <c r="Q167" s="113"/>
      <c r="R167" s="113"/>
      <c r="S167" s="113"/>
      <c r="T167" s="113"/>
      <c r="U167" s="113"/>
      <c r="V167" s="113"/>
      <c r="W167" s="113"/>
      <c r="X167" s="113"/>
      <c r="Y167" s="113"/>
      <c r="Z167" s="113"/>
      <c r="AA167" s="113"/>
      <c r="AB167" s="113"/>
      <c r="AC167" s="113"/>
      <c r="AD167" s="113"/>
      <c r="AE167" s="113"/>
      <c r="AF167" s="113"/>
      <c r="AG167" s="113"/>
      <c r="AH167" s="113"/>
      <c r="AI167" s="113"/>
      <c r="AJ167" s="113"/>
      <c r="AK167" s="113"/>
      <c r="AL167" s="113"/>
      <c r="AM167" s="113"/>
      <c r="AN167" s="113"/>
      <c r="AO167" s="113"/>
      <c r="AP167" s="113"/>
      <c r="AQ167" s="113"/>
      <c r="AR167" s="113"/>
      <c r="AS167" s="113"/>
      <c r="AT167" s="113"/>
      <c r="AU167" s="113"/>
      <c r="AV167" s="113"/>
      <c r="AW167" s="113"/>
      <c r="AX167" s="113"/>
      <c r="AY167" s="113"/>
      <c r="AZ167" s="113"/>
      <c r="BA167" s="113"/>
      <c r="BB167" s="113"/>
      <c r="BC167" s="113"/>
      <c r="BD167" s="113"/>
      <c r="BE167" s="113"/>
      <c r="BF167" s="113"/>
      <c r="BG167" s="113"/>
      <c r="BH167" s="113"/>
      <c r="BI167" s="113"/>
      <c r="BJ167" s="113"/>
      <c r="BK167" s="113"/>
      <c r="BL167" s="113"/>
      <c r="BM167" s="113"/>
      <c r="BN167" s="113"/>
      <c r="BO167" s="113"/>
      <c r="BP167" s="113"/>
      <c r="BQ167" s="113"/>
      <c r="BR167" s="113"/>
      <c r="BS167" s="113"/>
      <c r="BT167" s="113"/>
      <c r="BU167" s="113"/>
      <c r="BV167" s="113"/>
      <c r="BW167" s="113"/>
      <c r="BX167" s="113"/>
      <c r="BY167" s="113"/>
      <c r="BZ167" s="113"/>
      <c r="CA167" s="113"/>
      <c r="CB167" s="113"/>
      <c r="CC167" s="113"/>
      <c r="CD167" s="113"/>
      <c r="CE167" s="113"/>
      <c r="CF167" s="113"/>
      <c r="CG167" s="113"/>
      <c r="CH167" s="113"/>
      <c r="CI167" s="113"/>
      <c r="CJ167" s="113"/>
      <c r="CK167" s="113"/>
      <c r="CL167" s="113"/>
      <c r="CM167" s="113"/>
      <c r="CN167" s="113"/>
      <c r="CO167" s="113"/>
      <c r="CP167" s="113"/>
      <c r="CQ167" s="113"/>
      <c r="CR167" s="113"/>
      <c r="CS167" s="113"/>
      <c r="CT167" s="113"/>
      <c r="CU167" s="113"/>
      <c r="CV167" s="113"/>
      <c r="CW167" s="113"/>
      <c r="CX167" s="113"/>
      <c r="CY167" s="113"/>
      <c r="CZ167" s="113"/>
      <c r="DA167" s="113"/>
      <c r="DB167" s="113"/>
      <c r="DC167" s="113"/>
      <c r="DD167" s="113"/>
      <c r="DE167" s="113"/>
      <c r="DF167" s="113"/>
      <c r="DG167" s="113"/>
      <c r="DH167" s="113"/>
      <c r="DI167" s="113"/>
      <c r="DJ167" s="113"/>
      <c r="DK167" s="113"/>
      <c r="DL167" s="114"/>
      <c r="DM167" s="47"/>
    </row>
    <row r="168" spans="5:117" hidden="1" x14ac:dyDescent="0.35">
      <c r="E168" s="111"/>
      <c r="F168" s="112"/>
      <c r="G168" s="112"/>
      <c r="H168" s="116"/>
      <c r="I168" s="116"/>
      <c r="J168" s="38">
        <f t="shared" si="135"/>
        <v>0</v>
      </c>
      <c r="K168" s="38">
        <f t="shared" si="136"/>
        <v>0</v>
      </c>
      <c r="L168" s="39">
        <f t="shared" si="134"/>
        <v>0</v>
      </c>
      <c r="M168" s="113"/>
      <c r="N168" s="113"/>
      <c r="O168" s="113"/>
      <c r="P168" s="113"/>
      <c r="Q168" s="113"/>
      <c r="R168" s="113"/>
      <c r="S168" s="113"/>
      <c r="T168" s="113"/>
      <c r="U168" s="113"/>
      <c r="V168" s="113"/>
      <c r="W168" s="113"/>
      <c r="X168" s="113"/>
      <c r="Y168" s="113"/>
      <c r="Z168" s="113"/>
      <c r="AA168" s="113"/>
      <c r="AB168" s="113"/>
      <c r="AC168" s="113"/>
      <c r="AD168" s="113"/>
      <c r="AE168" s="113"/>
      <c r="AF168" s="113"/>
      <c r="AG168" s="113"/>
      <c r="AH168" s="113"/>
      <c r="AI168" s="113"/>
      <c r="AJ168" s="113"/>
      <c r="AK168" s="113"/>
      <c r="AL168" s="113"/>
      <c r="AM168" s="113"/>
      <c r="AN168" s="113"/>
      <c r="AO168" s="113"/>
      <c r="AP168" s="113"/>
      <c r="AQ168" s="113"/>
      <c r="AR168" s="113"/>
      <c r="AS168" s="113"/>
      <c r="AT168" s="113"/>
      <c r="AU168" s="113"/>
      <c r="AV168" s="113"/>
      <c r="AW168" s="113"/>
      <c r="AX168" s="113"/>
      <c r="AY168" s="113"/>
      <c r="AZ168" s="113"/>
      <c r="BA168" s="113"/>
      <c r="BB168" s="113"/>
      <c r="BC168" s="113"/>
      <c r="BD168" s="113"/>
      <c r="BE168" s="113"/>
      <c r="BF168" s="113"/>
      <c r="BG168" s="113"/>
      <c r="BH168" s="113"/>
      <c r="BI168" s="113"/>
      <c r="BJ168" s="113"/>
      <c r="BK168" s="113"/>
      <c r="BL168" s="113"/>
      <c r="BM168" s="113"/>
      <c r="BN168" s="113"/>
      <c r="BO168" s="113"/>
      <c r="BP168" s="113"/>
      <c r="BQ168" s="113"/>
      <c r="BR168" s="113"/>
      <c r="BS168" s="113"/>
      <c r="BT168" s="113"/>
      <c r="BU168" s="113"/>
      <c r="BV168" s="113"/>
      <c r="BW168" s="113"/>
      <c r="BX168" s="113"/>
      <c r="BY168" s="113"/>
      <c r="BZ168" s="113"/>
      <c r="CA168" s="113"/>
      <c r="CB168" s="113"/>
      <c r="CC168" s="113"/>
      <c r="CD168" s="113"/>
      <c r="CE168" s="113"/>
      <c r="CF168" s="113"/>
      <c r="CG168" s="113"/>
      <c r="CH168" s="113"/>
      <c r="CI168" s="113"/>
      <c r="CJ168" s="113"/>
      <c r="CK168" s="113"/>
      <c r="CL168" s="113"/>
      <c r="CM168" s="113"/>
      <c r="CN168" s="113"/>
      <c r="CO168" s="113"/>
      <c r="CP168" s="113"/>
      <c r="CQ168" s="113"/>
      <c r="CR168" s="113"/>
      <c r="CS168" s="113"/>
      <c r="CT168" s="113"/>
      <c r="CU168" s="113"/>
      <c r="CV168" s="113"/>
      <c r="CW168" s="113"/>
      <c r="CX168" s="113"/>
      <c r="CY168" s="113"/>
      <c r="CZ168" s="113"/>
      <c r="DA168" s="113"/>
      <c r="DB168" s="113"/>
      <c r="DC168" s="113"/>
      <c r="DD168" s="113"/>
      <c r="DE168" s="113"/>
      <c r="DF168" s="113"/>
      <c r="DG168" s="113"/>
      <c r="DH168" s="113"/>
      <c r="DI168" s="113"/>
      <c r="DJ168" s="113"/>
      <c r="DK168" s="113"/>
      <c r="DL168" s="114"/>
      <c r="DM168" s="47"/>
    </row>
    <row r="169" spans="5:117" hidden="1" x14ac:dyDescent="0.35">
      <c r="E169" s="111"/>
      <c r="F169" s="112"/>
      <c r="G169" s="112"/>
      <c r="H169" s="116"/>
      <c r="I169" s="116"/>
      <c r="J169" s="38">
        <f t="shared" si="135"/>
        <v>0</v>
      </c>
      <c r="K169" s="38">
        <f t="shared" si="136"/>
        <v>0</v>
      </c>
      <c r="L169" s="39">
        <f t="shared" si="134"/>
        <v>0</v>
      </c>
      <c r="M169" s="113"/>
      <c r="N169" s="113"/>
      <c r="O169" s="113"/>
      <c r="P169" s="113"/>
      <c r="Q169" s="113"/>
      <c r="R169" s="113"/>
      <c r="S169" s="113"/>
      <c r="T169" s="113"/>
      <c r="U169" s="113"/>
      <c r="V169" s="113"/>
      <c r="W169" s="113"/>
      <c r="X169" s="113"/>
      <c r="Y169" s="113"/>
      <c r="Z169" s="113"/>
      <c r="AA169" s="113"/>
      <c r="AB169" s="113"/>
      <c r="AC169" s="113"/>
      <c r="AD169" s="113"/>
      <c r="AE169" s="113"/>
      <c r="AF169" s="113"/>
      <c r="AG169" s="113"/>
      <c r="AH169" s="113"/>
      <c r="AI169" s="113"/>
      <c r="AJ169" s="113"/>
      <c r="AK169" s="113"/>
      <c r="AL169" s="113"/>
      <c r="AM169" s="113"/>
      <c r="AN169" s="113"/>
      <c r="AO169" s="113"/>
      <c r="AP169" s="113"/>
      <c r="AQ169" s="113"/>
      <c r="AR169" s="113"/>
      <c r="AS169" s="113"/>
      <c r="AT169" s="113"/>
      <c r="AU169" s="113"/>
      <c r="AV169" s="113"/>
      <c r="AW169" s="113"/>
      <c r="AX169" s="113"/>
      <c r="AY169" s="113"/>
      <c r="AZ169" s="113"/>
      <c r="BA169" s="113"/>
      <c r="BB169" s="113"/>
      <c r="BC169" s="113"/>
      <c r="BD169" s="113"/>
      <c r="BE169" s="113"/>
      <c r="BF169" s="113"/>
      <c r="BG169" s="113"/>
      <c r="BH169" s="113"/>
      <c r="BI169" s="113"/>
      <c r="BJ169" s="113"/>
      <c r="BK169" s="113"/>
      <c r="BL169" s="113"/>
      <c r="BM169" s="113"/>
      <c r="BN169" s="113"/>
      <c r="BO169" s="113"/>
      <c r="BP169" s="113"/>
      <c r="BQ169" s="113"/>
      <c r="BR169" s="113"/>
      <c r="BS169" s="113"/>
      <c r="BT169" s="113"/>
      <c r="BU169" s="113"/>
      <c r="BV169" s="113"/>
      <c r="BW169" s="113"/>
      <c r="BX169" s="113"/>
      <c r="BY169" s="113"/>
      <c r="BZ169" s="113"/>
      <c r="CA169" s="113"/>
      <c r="CB169" s="113"/>
      <c r="CC169" s="113"/>
      <c r="CD169" s="113"/>
      <c r="CE169" s="113"/>
      <c r="CF169" s="113"/>
      <c r="CG169" s="113"/>
      <c r="CH169" s="113"/>
      <c r="CI169" s="113"/>
      <c r="CJ169" s="113"/>
      <c r="CK169" s="113"/>
      <c r="CL169" s="113"/>
      <c r="CM169" s="113"/>
      <c r="CN169" s="113"/>
      <c r="CO169" s="113"/>
      <c r="CP169" s="113"/>
      <c r="CQ169" s="113"/>
      <c r="CR169" s="113"/>
      <c r="CS169" s="113"/>
      <c r="CT169" s="113"/>
      <c r="CU169" s="113"/>
      <c r="CV169" s="113"/>
      <c r="CW169" s="113"/>
      <c r="CX169" s="113"/>
      <c r="CY169" s="113"/>
      <c r="CZ169" s="113"/>
      <c r="DA169" s="113"/>
      <c r="DB169" s="113"/>
      <c r="DC169" s="113"/>
      <c r="DD169" s="113"/>
      <c r="DE169" s="113"/>
      <c r="DF169" s="113"/>
      <c r="DG169" s="113"/>
      <c r="DH169" s="113"/>
      <c r="DI169" s="113"/>
      <c r="DJ169" s="113"/>
      <c r="DK169" s="113"/>
      <c r="DL169" s="114"/>
      <c r="DM169" s="47"/>
    </row>
    <row r="170" spans="5:117" hidden="1" x14ac:dyDescent="0.35">
      <c r="E170" s="111"/>
      <c r="F170" s="112"/>
      <c r="G170" s="112"/>
      <c r="H170" s="116"/>
      <c r="I170" s="116"/>
      <c r="J170" s="38">
        <f t="shared" si="135"/>
        <v>0</v>
      </c>
      <c r="K170" s="38">
        <f t="shared" si="136"/>
        <v>0</v>
      </c>
      <c r="L170" s="39">
        <f t="shared" si="134"/>
        <v>0</v>
      </c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113"/>
      <c r="AH170" s="113"/>
      <c r="AI170" s="113"/>
      <c r="AJ170" s="113"/>
      <c r="AK170" s="113"/>
      <c r="AL170" s="113"/>
      <c r="AM170" s="113"/>
      <c r="AN170" s="113"/>
      <c r="AO170" s="113"/>
      <c r="AP170" s="113"/>
      <c r="AQ170" s="113"/>
      <c r="AR170" s="113"/>
      <c r="AS170" s="113"/>
      <c r="AT170" s="113"/>
      <c r="AU170" s="113"/>
      <c r="AV170" s="113"/>
      <c r="AW170" s="113"/>
      <c r="AX170" s="113"/>
      <c r="AY170" s="113"/>
      <c r="AZ170" s="113"/>
      <c r="BA170" s="113"/>
      <c r="BB170" s="113"/>
      <c r="BC170" s="113"/>
      <c r="BD170" s="113"/>
      <c r="BE170" s="113"/>
      <c r="BF170" s="113"/>
      <c r="BG170" s="113"/>
      <c r="BH170" s="113"/>
      <c r="BI170" s="113"/>
      <c r="BJ170" s="113"/>
      <c r="BK170" s="113"/>
      <c r="BL170" s="113"/>
      <c r="BM170" s="113"/>
      <c r="BN170" s="113"/>
      <c r="BO170" s="113"/>
      <c r="BP170" s="113"/>
      <c r="BQ170" s="113"/>
      <c r="BR170" s="113"/>
      <c r="BS170" s="113"/>
      <c r="BT170" s="113"/>
      <c r="BU170" s="113"/>
      <c r="BV170" s="113"/>
      <c r="BW170" s="113"/>
      <c r="BX170" s="113"/>
      <c r="BY170" s="113"/>
      <c r="BZ170" s="113"/>
      <c r="CA170" s="113"/>
      <c r="CB170" s="113"/>
      <c r="CC170" s="113"/>
      <c r="CD170" s="113"/>
      <c r="CE170" s="113"/>
      <c r="CF170" s="113"/>
      <c r="CG170" s="113"/>
      <c r="CH170" s="113"/>
      <c r="CI170" s="113"/>
      <c r="CJ170" s="113"/>
      <c r="CK170" s="113"/>
      <c r="CL170" s="113"/>
      <c r="CM170" s="113"/>
      <c r="CN170" s="113"/>
      <c r="CO170" s="113"/>
      <c r="CP170" s="113"/>
      <c r="CQ170" s="113"/>
      <c r="CR170" s="113"/>
      <c r="CS170" s="113"/>
      <c r="CT170" s="113"/>
      <c r="CU170" s="113"/>
      <c r="CV170" s="113"/>
      <c r="CW170" s="113"/>
      <c r="CX170" s="113"/>
      <c r="CY170" s="113"/>
      <c r="CZ170" s="113"/>
      <c r="DA170" s="113"/>
      <c r="DB170" s="113"/>
      <c r="DC170" s="113"/>
      <c r="DD170" s="113"/>
      <c r="DE170" s="113"/>
      <c r="DF170" s="113"/>
      <c r="DG170" s="113"/>
      <c r="DH170" s="113"/>
      <c r="DI170" s="113"/>
      <c r="DJ170" s="113"/>
      <c r="DK170" s="113"/>
      <c r="DL170" s="114"/>
      <c r="DM170" s="47"/>
    </row>
    <row r="171" spans="5:117" hidden="1" x14ac:dyDescent="0.35">
      <c r="E171" s="111"/>
      <c r="F171" s="112"/>
      <c r="G171" s="112"/>
      <c r="H171" s="116"/>
      <c r="I171" s="116"/>
      <c r="J171" s="38">
        <f t="shared" si="135"/>
        <v>0</v>
      </c>
      <c r="K171" s="38">
        <f t="shared" si="136"/>
        <v>0</v>
      </c>
      <c r="L171" s="39">
        <f t="shared" si="134"/>
        <v>0</v>
      </c>
      <c r="M171" s="113"/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13"/>
      <c r="Y171" s="113"/>
      <c r="Z171" s="113"/>
      <c r="AA171" s="113"/>
      <c r="AB171" s="113"/>
      <c r="AC171" s="113"/>
      <c r="AD171" s="113"/>
      <c r="AE171" s="113"/>
      <c r="AF171" s="113"/>
      <c r="AG171" s="113"/>
      <c r="AH171" s="113"/>
      <c r="AI171" s="113"/>
      <c r="AJ171" s="113"/>
      <c r="AK171" s="113"/>
      <c r="AL171" s="113"/>
      <c r="AM171" s="113"/>
      <c r="AN171" s="113"/>
      <c r="AO171" s="113"/>
      <c r="AP171" s="113"/>
      <c r="AQ171" s="113"/>
      <c r="AR171" s="113"/>
      <c r="AS171" s="113"/>
      <c r="AT171" s="113"/>
      <c r="AU171" s="113"/>
      <c r="AV171" s="113"/>
      <c r="AW171" s="113"/>
      <c r="AX171" s="113"/>
      <c r="AY171" s="113"/>
      <c r="AZ171" s="113"/>
      <c r="BA171" s="113"/>
      <c r="BB171" s="113"/>
      <c r="BC171" s="113"/>
      <c r="BD171" s="113"/>
      <c r="BE171" s="113"/>
      <c r="BF171" s="113"/>
      <c r="BG171" s="113"/>
      <c r="BH171" s="113"/>
      <c r="BI171" s="113"/>
      <c r="BJ171" s="113"/>
      <c r="BK171" s="113"/>
      <c r="BL171" s="113"/>
      <c r="BM171" s="113"/>
      <c r="BN171" s="113"/>
      <c r="BO171" s="113"/>
      <c r="BP171" s="113"/>
      <c r="BQ171" s="113"/>
      <c r="BR171" s="113"/>
      <c r="BS171" s="113"/>
      <c r="BT171" s="113"/>
      <c r="BU171" s="113"/>
      <c r="BV171" s="113"/>
      <c r="BW171" s="113"/>
      <c r="BX171" s="113"/>
      <c r="BY171" s="113"/>
      <c r="BZ171" s="113"/>
      <c r="CA171" s="113"/>
      <c r="CB171" s="113"/>
      <c r="CC171" s="113"/>
      <c r="CD171" s="113"/>
      <c r="CE171" s="113"/>
      <c r="CF171" s="113"/>
      <c r="CG171" s="113"/>
      <c r="CH171" s="113"/>
      <c r="CI171" s="113"/>
      <c r="CJ171" s="113"/>
      <c r="CK171" s="113"/>
      <c r="CL171" s="113"/>
      <c r="CM171" s="113"/>
      <c r="CN171" s="113"/>
      <c r="CO171" s="113"/>
      <c r="CP171" s="113"/>
      <c r="CQ171" s="113"/>
      <c r="CR171" s="113"/>
      <c r="CS171" s="113"/>
      <c r="CT171" s="113"/>
      <c r="CU171" s="113"/>
      <c r="CV171" s="113"/>
      <c r="CW171" s="113"/>
      <c r="CX171" s="113"/>
      <c r="CY171" s="113"/>
      <c r="CZ171" s="113"/>
      <c r="DA171" s="113"/>
      <c r="DB171" s="113"/>
      <c r="DC171" s="113"/>
      <c r="DD171" s="113"/>
      <c r="DE171" s="113"/>
      <c r="DF171" s="113"/>
      <c r="DG171" s="113"/>
      <c r="DH171" s="113"/>
      <c r="DI171" s="113"/>
      <c r="DJ171" s="113"/>
      <c r="DK171" s="113"/>
      <c r="DL171" s="114"/>
      <c r="DM171" s="47"/>
    </row>
    <row r="172" spans="5:117" hidden="1" x14ac:dyDescent="0.35">
      <c r="E172" s="111"/>
      <c r="F172" s="112"/>
      <c r="G172" s="112"/>
      <c r="H172" s="116"/>
      <c r="I172" s="116"/>
      <c r="J172" s="38">
        <f t="shared" si="135"/>
        <v>0</v>
      </c>
      <c r="K172" s="38">
        <f t="shared" si="136"/>
        <v>0</v>
      </c>
      <c r="L172" s="39">
        <f t="shared" si="134"/>
        <v>0</v>
      </c>
      <c r="M172" s="113"/>
      <c r="N172" s="113"/>
      <c r="O172" s="113"/>
      <c r="P172" s="113"/>
      <c r="Q172" s="113"/>
      <c r="R172" s="113"/>
      <c r="S172" s="113"/>
      <c r="T172" s="113"/>
      <c r="U172" s="113"/>
      <c r="V172" s="113"/>
      <c r="W172" s="113"/>
      <c r="X172" s="113"/>
      <c r="Y172" s="113"/>
      <c r="Z172" s="113"/>
      <c r="AA172" s="113"/>
      <c r="AB172" s="113"/>
      <c r="AC172" s="113"/>
      <c r="AD172" s="113"/>
      <c r="AE172" s="113"/>
      <c r="AF172" s="113"/>
      <c r="AG172" s="113"/>
      <c r="AH172" s="113"/>
      <c r="AI172" s="113"/>
      <c r="AJ172" s="113"/>
      <c r="AK172" s="113"/>
      <c r="AL172" s="113"/>
      <c r="AM172" s="113"/>
      <c r="AN172" s="113"/>
      <c r="AO172" s="113"/>
      <c r="AP172" s="113"/>
      <c r="AQ172" s="113"/>
      <c r="AR172" s="113"/>
      <c r="AS172" s="113"/>
      <c r="AT172" s="113"/>
      <c r="AU172" s="113"/>
      <c r="AV172" s="113"/>
      <c r="AW172" s="113"/>
      <c r="AX172" s="113"/>
      <c r="AY172" s="113"/>
      <c r="AZ172" s="113"/>
      <c r="BA172" s="113"/>
      <c r="BB172" s="113"/>
      <c r="BC172" s="113"/>
      <c r="BD172" s="113"/>
      <c r="BE172" s="113"/>
      <c r="BF172" s="113"/>
      <c r="BG172" s="113"/>
      <c r="BH172" s="113"/>
      <c r="BI172" s="113"/>
      <c r="BJ172" s="113"/>
      <c r="BK172" s="113"/>
      <c r="BL172" s="113"/>
      <c r="BM172" s="113"/>
      <c r="BN172" s="113"/>
      <c r="BO172" s="113"/>
      <c r="BP172" s="113"/>
      <c r="BQ172" s="113"/>
      <c r="BR172" s="113"/>
      <c r="BS172" s="113"/>
      <c r="BT172" s="113"/>
      <c r="BU172" s="113"/>
      <c r="BV172" s="113"/>
      <c r="BW172" s="113"/>
      <c r="BX172" s="113"/>
      <c r="BY172" s="113"/>
      <c r="BZ172" s="113"/>
      <c r="CA172" s="113"/>
      <c r="CB172" s="113"/>
      <c r="CC172" s="113"/>
      <c r="CD172" s="113"/>
      <c r="CE172" s="113"/>
      <c r="CF172" s="113"/>
      <c r="CG172" s="113"/>
      <c r="CH172" s="113"/>
      <c r="CI172" s="113"/>
      <c r="CJ172" s="113"/>
      <c r="CK172" s="113"/>
      <c r="CL172" s="113"/>
      <c r="CM172" s="113"/>
      <c r="CN172" s="113"/>
      <c r="CO172" s="113"/>
      <c r="CP172" s="113"/>
      <c r="CQ172" s="113"/>
      <c r="CR172" s="113"/>
      <c r="CS172" s="113"/>
      <c r="CT172" s="113"/>
      <c r="CU172" s="113"/>
      <c r="CV172" s="113"/>
      <c r="CW172" s="113"/>
      <c r="CX172" s="113"/>
      <c r="CY172" s="113"/>
      <c r="CZ172" s="113"/>
      <c r="DA172" s="113"/>
      <c r="DB172" s="113"/>
      <c r="DC172" s="113"/>
      <c r="DD172" s="113"/>
      <c r="DE172" s="113"/>
      <c r="DF172" s="113"/>
      <c r="DG172" s="113"/>
      <c r="DH172" s="113"/>
      <c r="DI172" s="113"/>
      <c r="DJ172" s="113"/>
      <c r="DK172" s="113"/>
      <c r="DL172" s="114"/>
      <c r="DM172" s="47"/>
    </row>
    <row r="173" spans="5:117" hidden="1" x14ac:dyDescent="0.35">
      <c r="E173" s="111"/>
      <c r="F173" s="112"/>
      <c r="G173" s="112"/>
      <c r="H173" s="116"/>
      <c r="I173" s="116"/>
      <c r="J173" s="38">
        <f t="shared" si="135"/>
        <v>0</v>
      </c>
      <c r="K173" s="38">
        <f t="shared" si="136"/>
        <v>0</v>
      </c>
      <c r="L173" s="39">
        <f t="shared" si="134"/>
        <v>0</v>
      </c>
      <c r="M173" s="113"/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113"/>
      <c r="Y173" s="113"/>
      <c r="Z173" s="113"/>
      <c r="AA173" s="113"/>
      <c r="AB173" s="113"/>
      <c r="AC173" s="113"/>
      <c r="AD173" s="113"/>
      <c r="AE173" s="113"/>
      <c r="AF173" s="113"/>
      <c r="AG173" s="113"/>
      <c r="AH173" s="113"/>
      <c r="AI173" s="113"/>
      <c r="AJ173" s="113"/>
      <c r="AK173" s="113"/>
      <c r="AL173" s="113"/>
      <c r="AM173" s="113"/>
      <c r="AN173" s="113"/>
      <c r="AO173" s="113"/>
      <c r="AP173" s="113"/>
      <c r="AQ173" s="113"/>
      <c r="AR173" s="113"/>
      <c r="AS173" s="113"/>
      <c r="AT173" s="113"/>
      <c r="AU173" s="113"/>
      <c r="AV173" s="113"/>
      <c r="AW173" s="113"/>
      <c r="AX173" s="113"/>
      <c r="AY173" s="113"/>
      <c r="AZ173" s="113"/>
      <c r="BA173" s="113"/>
      <c r="BB173" s="113"/>
      <c r="BC173" s="113"/>
      <c r="BD173" s="113"/>
      <c r="BE173" s="113"/>
      <c r="BF173" s="113"/>
      <c r="BG173" s="113"/>
      <c r="BH173" s="113"/>
      <c r="BI173" s="113"/>
      <c r="BJ173" s="113"/>
      <c r="BK173" s="113"/>
      <c r="BL173" s="113"/>
      <c r="BM173" s="113"/>
      <c r="BN173" s="113"/>
      <c r="BO173" s="113"/>
      <c r="BP173" s="113"/>
      <c r="BQ173" s="113"/>
      <c r="BR173" s="113"/>
      <c r="BS173" s="113"/>
      <c r="BT173" s="113"/>
      <c r="BU173" s="113"/>
      <c r="BV173" s="113"/>
      <c r="BW173" s="113"/>
      <c r="BX173" s="113"/>
      <c r="BY173" s="113"/>
      <c r="BZ173" s="113"/>
      <c r="CA173" s="113"/>
      <c r="CB173" s="113"/>
      <c r="CC173" s="113"/>
      <c r="CD173" s="113"/>
      <c r="CE173" s="113"/>
      <c r="CF173" s="113"/>
      <c r="CG173" s="113"/>
      <c r="CH173" s="113"/>
      <c r="CI173" s="113"/>
      <c r="CJ173" s="113"/>
      <c r="CK173" s="113"/>
      <c r="CL173" s="113"/>
      <c r="CM173" s="113"/>
      <c r="CN173" s="113"/>
      <c r="CO173" s="113"/>
      <c r="CP173" s="113"/>
      <c r="CQ173" s="113"/>
      <c r="CR173" s="113"/>
      <c r="CS173" s="113"/>
      <c r="CT173" s="113"/>
      <c r="CU173" s="113"/>
      <c r="CV173" s="113"/>
      <c r="CW173" s="113"/>
      <c r="CX173" s="113"/>
      <c r="CY173" s="113"/>
      <c r="CZ173" s="113"/>
      <c r="DA173" s="113"/>
      <c r="DB173" s="113"/>
      <c r="DC173" s="113"/>
      <c r="DD173" s="113"/>
      <c r="DE173" s="113"/>
      <c r="DF173" s="113"/>
      <c r="DG173" s="113"/>
      <c r="DH173" s="113"/>
      <c r="DI173" s="113"/>
      <c r="DJ173" s="113"/>
      <c r="DK173" s="113"/>
      <c r="DL173" s="114"/>
      <c r="DM173" s="47"/>
    </row>
    <row r="174" spans="5:117" hidden="1" x14ac:dyDescent="0.35">
      <c r="E174" s="111"/>
      <c r="F174" s="112"/>
      <c r="G174" s="112"/>
      <c r="H174" s="116"/>
      <c r="I174" s="116"/>
      <c r="J174" s="38">
        <f t="shared" si="135"/>
        <v>0</v>
      </c>
      <c r="K174" s="38">
        <f t="shared" si="136"/>
        <v>0</v>
      </c>
      <c r="L174" s="39">
        <f t="shared" si="134"/>
        <v>0</v>
      </c>
      <c r="M174" s="113"/>
      <c r="N174" s="113"/>
      <c r="O174" s="113"/>
      <c r="P174" s="113"/>
      <c r="Q174" s="113"/>
      <c r="R174" s="113"/>
      <c r="S174" s="113"/>
      <c r="T174" s="113"/>
      <c r="U174" s="113"/>
      <c r="V174" s="113"/>
      <c r="W174" s="113"/>
      <c r="X174" s="113"/>
      <c r="Y174" s="113"/>
      <c r="Z174" s="113"/>
      <c r="AA174" s="113"/>
      <c r="AB174" s="113"/>
      <c r="AC174" s="113"/>
      <c r="AD174" s="113"/>
      <c r="AE174" s="113"/>
      <c r="AF174" s="113"/>
      <c r="AG174" s="113"/>
      <c r="AH174" s="113"/>
      <c r="AI174" s="113"/>
      <c r="AJ174" s="113"/>
      <c r="AK174" s="113"/>
      <c r="AL174" s="113"/>
      <c r="AM174" s="113"/>
      <c r="AN174" s="113"/>
      <c r="AO174" s="113"/>
      <c r="AP174" s="113"/>
      <c r="AQ174" s="113"/>
      <c r="AR174" s="113"/>
      <c r="AS174" s="113"/>
      <c r="AT174" s="113"/>
      <c r="AU174" s="113"/>
      <c r="AV174" s="113"/>
      <c r="AW174" s="113"/>
      <c r="AX174" s="113"/>
      <c r="AY174" s="113"/>
      <c r="AZ174" s="113"/>
      <c r="BA174" s="113"/>
      <c r="BB174" s="113"/>
      <c r="BC174" s="113"/>
      <c r="BD174" s="113"/>
      <c r="BE174" s="113"/>
      <c r="BF174" s="113"/>
      <c r="BG174" s="113"/>
      <c r="BH174" s="113"/>
      <c r="BI174" s="113"/>
      <c r="BJ174" s="113"/>
      <c r="BK174" s="113"/>
      <c r="BL174" s="113"/>
      <c r="BM174" s="113"/>
      <c r="BN174" s="113"/>
      <c r="BO174" s="113"/>
      <c r="BP174" s="113"/>
      <c r="BQ174" s="113"/>
      <c r="BR174" s="113"/>
      <c r="BS174" s="113"/>
      <c r="BT174" s="113"/>
      <c r="BU174" s="113"/>
      <c r="BV174" s="113"/>
      <c r="BW174" s="113"/>
      <c r="BX174" s="113"/>
      <c r="BY174" s="113"/>
      <c r="BZ174" s="113"/>
      <c r="CA174" s="113"/>
      <c r="CB174" s="113"/>
      <c r="CC174" s="113"/>
      <c r="CD174" s="113"/>
      <c r="CE174" s="113"/>
      <c r="CF174" s="113"/>
      <c r="CG174" s="113"/>
      <c r="CH174" s="113"/>
      <c r="CI174" s="113"/>
      <c r="CJ174" s="113"/>
      <c r="CK174" s="113"/>
      <c r="CL174" s="113"/>
      <c r="CM174" s="113"/>
      <c r="CN174" s="113"/>
      <c r="CO174" s="113"/>
      <c r="CP174" s="113"/>
      <c r="CQ174" s="113"/>
      <c r="CR174" s="113"/>
      <c r="CS174" s="113"/>
      <c r="CT174" s="113"/>
      <c r="CU174" s="113"/>
      <c r="CV174" s="113"/>
      <c r="CW174" s="113"/>
      <c r="CX174" s="113"/>
      <c r="CY174" s="113"/>
      <c r="CZ174" s="113"/>
      <c r="DA174" s="113"/>
      <c r="DB174" s="113"/>
      <c r="DC174" s="113"/>
      <c r="DD174" s="113"/>
      <c r="DE174" s="113"/>
      <c r="DF174" s="113"/>
      <c r="DG174" s="113"/>
      <c r="DH174" s="113"/>
      <c r="DI174" s="113"/>
      <c r="DJ174" s="113"/>
      <c r="DK174" s="113"/>
      <c r="DL174" s="114"/>
      <c r="DM174" s="47"/>
    </row>
    <row r="175" spans="5:117" hidden="1" x14ac:dyDescent="0.35">
      <c r="E175" s="111"/>
      <c r="F175" s="112"/>
      <c r="G175" s="112"/>
      <c r="H175" s="116"/>
      <c r="I175" s="116"/>
      <c r="J175" s="38">
        <f t="shared" si="135"/>
        <v>0</v>
      </c>
      <c r="K175" s="38">
        <f t="shared" si="136"/>
        <v>0</v>
      </c>
      <c r="L175" s="39">
        <f t="shared" si="134"/>
        <v>0</v>
      </c>
      <c r="M175" s="113"/>
      <c r="N175" s="113"/>
      <c r="O175" s="113"/>
      <c r="P175" s="113"/>
      <c r="Q175" s="113"/>
      <c r="R175" s="113"/>
      <c r="S175" s="113"/>
      <c r="T175" s="113"/>
      <c r="U175" s="113"/>
      <c r="V175" s="113"/>
      <c r="W175" s="113"/>
      <c r="X175" s="113"/>
      <c r="Y175" s="113"/>
      <c r="Z175" s="113"/>
      <c r="AA175" s="113"/>
      <c r="AB175" s="113"/>
      <c r="AC175" s="113"/>
      <c r="AD175" s="113"/>
      <c r="AE175" s="113"/>
      <c r="AF175" s="113"/>
      <c r="AG175" s="113"/>
      <c r="AH175" s="113"/>
      <c r="AI175" s="113"/>
      <c r="AJ175" s="113"/>
      <c r="AK175" s="113"/>
      <c r="AL175" s="113"/>
      <c r="AM175" s="113"/>
      <c r="AN175" s="113"/>
      <c r="AO175" s="113"/>
      <c r="AP175" s="113"/>
      <c r="AQ175" s="113"/>
      <c r="AR175" s="113"/>
      <c r="AS175" s="113"/>
      <c r="AT175" s="113"/>
      <c r="AU175" s="113"/>
      <c r="AV175" s="113"/>
      <c r="AW175" s="113"/>
      <c r="AX175" s="113"/>
      <c r="AY175" s="113"/>
      <c r="AZ175" s="113"/>
      <c r="BA175" s="113"/>
      <c r="BB175" s="113"/>
      <c r="BC175" s="113"/>
      <c r="BD175" s="113"/>
      <c r="BE175" s="113"/>
      <c r="BF175" s="113"/>
      <c r="BG175" s="113"/>
      <c r="BH175" s="113"/>
      <c r="BI175" s="113"/>
      <c r="BJ175" s="113"/>
      <c r="BK175" s="113"/>
      <c r="BL175" s="113"/>
      <c r="BM175" s="113"/>
      <c r="BN175" s="113"/>
      <c r="BO175" s="113"/>
      <c r="BP175" s="113"/>
      <c r="BQ175" s="113"/>
      <c r="BR175" s="113"/>
      <c r="BS175" s="113"/>
      <c r="BT175" s="113"/>
      <c r="BU175" s="113"/>
      <c r="BV175" s="113"/>
      <c r="BW175" s="113"/>
      <c r="BX175" s="113"/>
      <c r="BY175" s="113"/>
      <c r="BZ175" s="113"/>
      <c r="CA175" s="113"/>
      <c r="CB175" s="113"/>
      <c r="CC175" s="113"/>
      <c r="CD175" s="113"/>
      <c r="CE175" s="113"/>
      <c r="CF175" s="113"/>
      <c r="CG175" s="113"/>
      <c r="CH175" s="113"/>
      <c r="CI175" s="113"/>
      <c r="CJ175" s="113"/>
      <c r="CK175" s="113"/>
      <c r="CL175" s="113"/>
      <c r="CM175" s="113"/>
      <c r="CN175" s="113"/>
      <c r="CO175" s="113"/>
      <c r="CP175" s="113"/>
      <c r="CQ175" s="113"/>
      <c r="CR175" s="113"/>
      <c r="CS175" s="113"/>
      <c r="CT175" s="113"/>
      <c r="CU175" s="113"/>
      <c r="CV175" s="113"/>
      <c r="CW175" s="113"/>
      <c r="CX175" s="113"/>
      <c r="CY175" s="113"/>
      <c r="CZ175" s="113"/>
      <c r="DA175" s="113"/>
      <c r="DB175" s="113"/>
      <c r="DC175" s="113"/>
      <c r="DD175" s="113"/>
      <c r="DE175" s="113"/>
      <c r="DF175" s="113"/>
      <c r="DG175" s="113"/>
      <c r="DH175" s="113"/>
      <c r="DI175" s="113"/>
      <c r="DJ175" s="113"/>
      <c r="DK175" s="113"/>
      <c r="DL175" s="114"/>
      <c r="DM175" s="47"/>
    </row>
    <row r="176" spans="5:117" hidden="1" x14ac:dyDescent="0.35">
      <c r="E176" s="111"/>
      <c r="F176" s="112"/>
      <c r="G176" s="112"/>
      <c r="H176" s="116"/>
      <c r="I176" s="116"/>
      <c r="J176" s="38">
        <f t="shared" si="135"/>
        <v>0</v>
      </c>
      <c r="K176" s="38">
        <f t="shared" si="136"/>
        <v>0</v>
      </c>
      <c r="L176" s="39">
        <f t="shared" si="134"/>
        <v>0</v>
      </c>
      <c r="M176" s="113"/>
      <c r="N176" s="113"/>
      <c r="O176" s="113"/>
      <c r="P176" s="113"/>
      <c r="Q176" s="113"/>
      <c r="R176" s="113"/>
      <c r="S176" s="113"/>
      <c r="T176" s="113"/>
      <c r="U176" s="113"/>
      <c r="V176" s="113"/>
      <c r="W176" s="113"/>
      <c r="X176" s="113"/>
      <c r="Y176" s="113"/>
      <c r="Z176" s="113"/>
      <c r="AA176" s="113"/>
      <c r="AB176" s="113"/>
      <c r="AC176" s="113"/>
      <c r="AD176" s="113"/>
      <c r="AE176" s="113"/>
      <c r="AF176" s="113"/>
      <c r="AG176" s="113"/>
      <c r="AH176" s="113"/>
      <c r="AI176" s="113"/>
      <c r="AJ176" s="113"/>
      <c r="AK176" s="113"/>
      <c r="AL176" s="113"/>
      <c r="AM176" s="113"/>
      <c r="AN176" s="113"/>
      <c r="AO176" s="113"/>
      <c r="AP176" s="113"/>
      <c r="AQ176" s="113"/>
      <c r="AR176" s="113"/>
      <c r="AS176" s="113"/>
      <c r="AT176" s="113"/>
      <c r="AU176" s="113"/>
      <c r="AV176" s="113"/>
      <c r="AW176" s="113"/>
      <c r="AX176" s="113"/>
      <c r="AY176" s="113"/>
      <c r="AZ176" s="113"/>
      <c r="BA176" s="113"/>
      <c r="BB176" s="113"/>
      <c r="BC176" s="113"/>
      <c r="BD176" s="113"/>
      <c r="BE176" s="113"/>
      <c r="BF176" s="113"/>
      <c r="BG176" s="113"/>
      <c r="BH176" s="113"/>
      <c r="BI176" s="113"/>
      <c r="BJ176" s="113"/>
      <c r="BK176" s="113"/>
      <c r="BL176" s="113"/>
      <c r="BM176" s="113"/>
      <c r="BN176" s="113"/>
      <c r="BO176" s="113"/>
      <c r="BP176" s="113"/>
      <c r="BQ176" s="113"/>
      <c r="BR176" s="113"/>
      <c r="BS176" s="113"/>
      <c r="BT176" s="113"/>
      <c r="BU176" s="113"/>
      <c r="BV176" s="113"/>
      <c r="BW176" s="113"/>
      <c r="BX176" s="113"/>
      <c r="BY176" s="113"/>
      <c r="BZ176" s="113"/>
      <c r="CA176" s="113"/>
      <c r="CB176" s="113"/>
      <c r="CC176" s="113"/>
      <c r="CD176" s="113"/>
      <c r="CE176" s="113"/>
      <c r="CF176" s="113"/>
      <c r="CG176" s="113"/>
      <c r="CH176" s="113"/>
      <c r="CI176" s="113"/>
      <c r="CJ176" s="113"/>
      <c r="CK176" s="113"/>
      <c r="CL176" s="113"/>
      <c r="CM176" s="113"/>
      <c r="CN176" s="113"/>
      <c r="CO176" s="113"/>
      <c r="CP176" s="113"/>
      <c r="CQ176" s="113"/>
      <c r="CR176" s="113"/>
      <c r="CS176" s="113"/>
      <c r="CT176" s="113"/>
      <c r="CU176" s="113"/>
      <c r="CV176" s="113"/>
      <c r="CW176" s="113"/>
      <c r="CX176" s="113"/>
      <c r="CY176" s="113"/>
      <c r="CZ176" s="113"/>
      <c r="DA176" s="113"/>
      <c r="DB176" s="113"/>
      <c r="DC176" s="113"/>
      <c r="DD176" s="113"/>
      <c r="DE176" s="113"/>
      <c r="DF176" s="113"/>
      <c r="DG176" s="113"/>
      <c r="DH176" s="113"/>
      <c r="DI176" s="113"/>
      <c r="DJ176" s="113"/>
      <c r="DK176" s="113"/>
      <c r="DL176" s="114"/>
      <c r="DM176" s="47"/>
    </row>
    <row r="177" spans="5:117" hidden="1" x14ac:dyDescent="0.35">
      <c r="E177" s="111"/>
      <c r="F177" s="112"/>
      <c r="G177" s="112"/>
      <c r="H177" s="116"/>
      <c r="I177" s="116"/>
      <c r="J177" s="38">
        <f t="shared" si="135"/>
        <v>0</v>
      </c>
      <c r="K177" s="38">
        <f t="shared" si="136"/>
        <v>0</v>
      </c>
      <c r="L177" s="39">
        <f t="shared" si="134"/>
        <v>0</v>
      </c>
      <c r="M177" s="113"/>
      <c r="N177" s="113"/>
      <c r="O177" s="113"/>
      <c r="P177" s="113"/>
      <c r="Q177" s="113"/>
      <c r="R177" s="113"/>
      <c r="S177" s="113"/>
      <c r="T177" s="113"/>
      <c r="U177" s="113"/>
      <c r="V177" s="113"/>
      <c r="W177" s="113"/>
      <c r="X177" s="113"/>
      <c r="Y177" s="113"/>
      <c r="Z177" s="113"/>
      <c r="AA177" s="113"/>
      <c r="AB177" s="113"/>
      <c r="AC177" s="113"/>
      <c r="AD177" s="113"/>
      <c r="AE177" s="113"/>
      <c r="AF177" s="113"/>
      <c r="AG177" s="113"/>
      <c r="AH177" s="113"/>
      <c r="AI177" s="113"/>
      <c r="AJ177" s="113"/>
      <c r="AK177" s="113"/>
      <c r="AL177" s="113"/>
      <c r="AM177" s="113"/>
      <c r="AN177" s="113"/>
      <c r="AO177" s="113"/>
      <c r="AP177" s="113"/>
      <c r="AQ177" s="113"/>
      <c r="AR177" s="113"/>
      <c r="AS177" s="113"/>
      <c r="AT177" s="113"/>
      <c r="AU177" s="113"/>
      <c r="AV177" s="113"/>
      <c r="AW177" s="113"/>
      <c r="AX177" s="113"/>
      <c r="AY177" s="113"/>
      <c r="AZ177" s="113"/>
      <c r="BA177" s="113"/>
      <c r="BB177" s="113"/>
      <c r="BC177" s="113"/>
      <c r="BD177" s="113"/>
      <c r="BE177" s="113"/>
      <c r="BF177" s="113"/>
      <c r="BG177" s="113"/>
      <c r="BH177" s="113"/>
      <c r="BI177" s="113"/>
      <c r="BJ177" s="113"/>
      <c r="BK177" s="113"/>
      <c r="BL177" s="113"/>
      <c r="BM177" s="113"/>
      <c r="BN177" s="113"/>
      <c r="BO177" s="113"/>
      <c r="BP177" s="113"/>
      <c r="BQ177" s="113"/>
      <c r="BR177" s="113"/>
      <c r="BS177" s="113"/>
      <c r="BT177" s="113"/>
      <c r="BU177" s="113"/>
      <c r="BV177" s="113"/>
      <c r="BW177" s="113"/>
      <c r="BX177" s="113"/>
      <c r="BY177" s="113"/>
      <c r="BZ177" s="113"/>
      <c r="CA177" s="113"/>
      <c r="CB177" s="113"/>
      <c r="CC177" s="113"/>
      <c r="CD177" s="113"/>
      <c r="CE177" s="113"/>
      <c r="CF177" s="113"/>
      <c r="CG177" s="113"/>
      <c r="CH177" s="113"/>
      <c r="CI177" s="113"/>
      <c r="CJ177" s="113"/>
      <c r="CK177" s="113"/>
      <c r="CL177" s="113"/>
      <c r="CM177" s="113"/>
      <c r="CN177" s="113"/>
      <c r="CO177" s="113"/>
      <c r="CP177" s="113"/>
      <c r="CQ177" s="113"/>
      <c r="CR177" s="113"/>
      <c r="CS177" s="113"/>
      <c r="CT177" s="113"/>
      <c r="CU177" s="113"/>
      <c r="CV177" s="113"/>
      <c r="CW177" s="113"/>
      <c r="CX177" s="113"/>
      <c r="CY177" s="113"/>
      <c r="CZ177" s="113"/>
      <c r="DA177" s="113"/>
      <c r="DB177" s="113"/>
      <c r="DC177" s="113"/>
      <c r="DD177" s="113"/>
      <c r="DE177" s="113"/>
      <c r="DF177" s="113"/>
      <c r="DG177" s="113"/>
      <c r="DH177" s="113"/>
      <c r="DI177" s="113"/>
      <c r="DJ177" s="113"/>
      <c r="DK177" s="113"/>
      <c r="DL177" s="114"/>
      <c r="DM177" s="47"/>
    </row>
    <row r="178" spans="5:117" hidden="1" x14ac:dyDescent="0.35">
      <c r="E178" s="111"/>
      <c r="F178" s="112"/>
      <c r="G178" s="112"/>
      <c r="H178" s="116"/>
      <c r="I178" s="116"/>
      <c r="J178" s="38">
        <f t="shared" si="135"/>
        <v>0</v>
      </c>
      <c r="K178" s="38">
        <f t="shared" si="136"/>
        <v>0</v>
      </c>
      <c r="L178" s="39">
        <f t="shared" si="134"/>
        <v>0</v>
      </c>
      <c r="M178" s="113"/>
      <c r="N178" s="113"/>
      <c r="O178" s="113"/>
      <c r="P178" s="113"/>
      <c r="Q178" s="113"/>
      <c r="R178" s="113"/>
      <c r="S178" s="113"/>
      <c r="T178" s="113"/>
      <c r="U178" s="113"/>
      <c r="V178" s="113"/>
      <c r="W178" s="113"/>
      <c r="X178" s="113"/>
      <c r="Y178" s="113"/>
      <c r="Z178" s="113"/>
      <c r="AA178" s="113"/>
      <c r="AB178" s="113"/>
      <c r="AC178" s="113"/>
      <c r="AD178" s="113"/>
      <c r="AE178" s="113"/>
      <c r="AF178" s="113"/>
      <c r="AG178" s="113"/>
      <c r="AH178" s="113"/>
      <c r="AI178" s="113"/>
      <c r="AJ178" s="113"/>
      <c r="AK178" s="113"/>
      <c r="AL178" s="113"/>
      <c r="AM178" s="113"/>
      <c r="AN178" s="113"/>
      <c r="AO178" s="113"/>
      <c r="AP178" s="113"/>
      <c r="AQ178" s="113"/>
      <c r="AR178" s="113"/>
      <c r="AS178" s="113"/>
      <c r="AT178" s="113"/>
      <c r="AU178" s="113"/>
      <c r="AV178" s="113"/>
      <c r="AW178" s="113"/>
      <c r="AX178" s="113"/>
      <c r="AY178" s="113"/>
      <c r="AZ178" s="113"/>
      <c r="BA178" s="113"/>
      <c r="BB178" s="113"/>
      <c r="BC178" s="113"/>
      <c r="BD178" s="113"/>
      <c r="BE178" s="113"/>
      <c r="BF178" s="113"/>
      <c r="BG178" s="113"/>
      <c r="BH178" s="113"/>
      <c r="BI178" s="113"/>
      <c r="BJ178" s="113"/>
      <c r="BK178" s="113"/>
      <c r="BL178" s="113"/>
      <c r="BM178" s="113"/>
      <c r="BN178" s="113"/>
      <c r="BO178" s="113"/>
      <c r="BP178" s="113"/>
      <c r="BQ178" s="113"/>
      <c r="BR178" s="113"/>
      <c r="BS178" s="113"/>
      <c r="BT178" s="113"/>
      <c r="BU178" s="113"/>
      <c r="BV178" s="113"/>
      <c r="BW178" s="113"/>
      <c r="BX178" s="113"/>
      <c r="BY178" s="113"/>
      <c r="BZ178" s="113"/>
      <c r="CA178" s="113"/>
      <c r="CB178" s="113"/>
      <c r="CC178" s="113"/>
      <c r="CD178" s="113"/>
      <c r="CE178" s="113"/>
      <c r="CF178" s="113"/>
      <c r="CG178" s="113"/>
      <c r="CH178" s="113"/>
      <c r="CI178" s="113"/>
      <c r="CJ178" s="113"/>
      <c r="CK178" s="113"/>
      <c r="CL178" s="113"/>
      <c r="CM178" s="113"/>
      <c r="CN178" s="113"/>
      <c r="CO178" s="113"/>
      <c r="CP178" s="113"/>
      <c r="CQ178" s="113"/>
      <c r="CR178" s="113"/>
      <c r="CS178" s="113"/>
      <c r="CT178" s="113"/>
      <c r="CU178" s="113"/>
      <c r="CV178" s="113"/>
      <c r="CW178" s="113"/>
      <c r="CX178" s="113"/>
      <c r="CY178" s="113"/>
      <c r="CZ178" s="113"/>
      <c r="DA178" s="113"/>
      <c r="DB178" s="113"/>
      <c r="DC178" s="113"/>
      <c r="DD178" s="113"/>
      <c r="DE178" s="113"/>
      <c r="DF178" s="113"/>
      <c r="DG178" s="113"/>
      <c r="DH178" s="113"/>
      <c r="DI178" s="113"/>
      <c r="DJ178" s="113"/>
      <c r="DK178" s="113"/>
      <c r="DL178" s="114"/>
      <c r="DM178" s="47"/>
    </row>
    <row r="179" spans="5:117" hidden="1" x14ac:dyDescent="0.35">
      <c r="E179" s="111"/>
      <c r="F179" s="112"/>
      <c r="G179" s="112"/>
      <c r="H179" s="116"/>
      <c r="I179" s="116"/>
      <c r="J179" s="38">
        <f t="shared" si="135"/>
        <v>0</v>
      </c>
      <c r="K179" s="38">
        <f t="shared" si="136"/>
        <v>0</v>
      </c>
      <c r="L179" s="39">
        <f t="shared" si="134"/>
        <v>0</v>
      </c>
      <c r="M179" s="113"/>
      <c r="N179" s="113"/>
      <c r="O179" s="113"/>
      <c r="P179" s="113"/>
      <c r="Q179" s="113"/>
      <c r="R179" s="113"/>
      <c r="S179" s="113"/>
      <c r="T179" s="113"/>
      <c r="U179" s="113"/>
      <c r="V179" s="113"/>
      <c r="W179" s="113"/>
      <c r="X179" s="113"/>
      <c r="Y179" s="113"/>
      <c r="Z179" s="113"/>
      <c r="AA179" s="113"/>
      <c r="AB179" s="113"/>
      <c r="AC179" s="113"/>
      <c r="AD179" s="113"/>
      <c r="AE179" s="113"/>
      <c r="AF179" s="113"/>
      <c r="AG179" s="113"/>
      <c r="AH179" s="113"/>
      <c r="AI179" s="113"/>
      <c r="AJ179" s="113"/>
      <c r="AK179" s="113"/>
      <c r="AL179" s="113"/>
      <c r="AM179" s="113"/>
      <c r="AN179" s="113"/>
      <c r="AO179" s="113"/>
      <c r="AP179" s="113"/>
      <c r="AQ179" s="113"/>
      <c r="AR179" s="113"/>
      <c r="AS179" s="113"/>
      <c r="AT179" s="113"/>
      <c r="AU179" s="113"/>
      <c r="AV179" s="113"/>
      <c r="AW179" s="113"/>
      <c r="AX179" s="113"/>
      <c r="AY179" s="113"/>
      <c r="AZ179" s="113"/>
      <c r="BA179" s="113"/>
      <c r="BB179" s="113"/>
      <c r="BC179" s="113"/>
      <c r="BD179" s="113"/>
      <c r="BE179" s="113"/>
      <c r="BF179" s="113"/>
      <c r="BG179" s="113"/>
      <c r="BH179" s="113"/>
      <c r="BI179" s="113"/>
      <c r="BJ179" s="113"/>
      <c r="BK179" s="113"/>
      <c r="BL179" s="113"/>
      <c r="BM179" s="113"/>
      <c r="BN179" s="113"/>
      <c r="BO179" s="113"/>
      <c r="BP179" s="113"/>
      <c r="BQ179" s="113"/>
      <c r="BR179" s="113"/>
      <c r="BS179" s="113"/>
      <c r="BT179" s="113"/>
      <c r="BU179" s="113"/>
      <c r="BV179" s="113"/>
      <c r="BW179" s="113"/>
      <c r="BX179" s="113"/>
      <c r="BY179" s="113"/>
      <c r="BZ179" s="113"/>
      <c r="CA179" s="113"/>
      <c r="CB179" s="113"/>
      <c r="CC179" s="113"/>
      <c r="CD179" s="113"/>
      <c r="CE179" s="113"/>
      <c r="CF179" s="113"/>
      <c r="CG179" s="113"/>
      <c r="CH179" s="113"/>
      <c r="CI179" s="113"/>
      <c r="CJ179" s="113"/>
      <c r="CK179" s="113"/>
      <c r="CL179" s="113"/>
      <c r="CM179" s="113"/>
      <c r="CN179" s="113"/>
      <c r="CO179" s="113"/>
      <c r="CP179" s="113"/>
      <c r="CQ179" s="113"/>
      <c r="CR179" s="113"/>
      <c r="CS179" s="113"/>
      <c r="CT179" s="113"/>
      <c r="CU179" s="113"/>
      <c r="CV179" s="113"/>
      <c r="CW179" s="113"/>
      <c r="CX179" s="113"/>
      <c r="CY179" s="113"/>
      <c r="CZ179" s="113"/>
      <c r="DA179" s="113"/>
      <c r="DB179" s="113"/>
      <c r="DC179" s="113"/>
      <c r="DD179" s="113"/>
      <c r="DE179" s="113"/>
      <c r="DF179" s="113"/>
      <c r="DG179" s="113"/>
      <c r="DH179" s="113"/>
      <c r="DI179" s="113"/>
      <c r="DJ179" s="113"/>
      <c r="DK179" s="113"/>
      <c r="DL179" s="114"/>
      <c r="DM179" s="47"/>
    </row>
    <row r="180" spans="5:117" hidden="1" x14ac:dyDescent="0.35">
      <c r="E180" s="111"/>
      <c r="F180" s="112"/>
      <c r="G180" s="112"/>
      <c r="H180" s="116"/>
      <c r="I180" s="116"/>
      <c r="J180" s="38">
        <f t="shared" si="135"/>
        <v>0</v>
      </c>
      <c r="K180" s="38">
        <f t="shared" si="136"/>
        <v>0</v>
      </c>
      <c r="L180" s="39">
        <f t="shared" si="134"/>
        <v>0</v>
      </c>
      <c r="M180" s="113"/>
      <c r="N180" s="113"/>
      <c r="O180" s="113"/>
      <c r="P180" s="113"/>
      <c r="Q180" s="113"/>
      <c r="R180" s="113"/>
      <c r="S180" s="113"/>
      <c r="T180" s="113"/>
      <c r="U180" s="113"/>
      <c r="V180" s="113"/>
      <c r="W180" s="113"/>
      <c r="X180" s="113"/>
      <c r="Y180" s="113"/>
      <c r="Z180" s="113"/>
      <c r="AA180" s="113"/>
      <c r="AB180" s="113"/>
      <c r="AC180" s="113"/>
      <c r="AD180" s="113"/>
      <c r="AE180" s="113"/>
      <c r="AF180" s="113"/>
      <c r="AG180" s="113"/>
      <c r="AH180" s="113"/>
      <c r="AI180" s="113"/>
      <c r="AJ180" s="113"/>
      <c r="AK180" s="113"/>
      <c r="AL180" s="113"/>
      <c r="AM180" s="113"/>
      <c r="AN180" s="113"/>
      <c r="AO180" s="113"/>
      <c r="AP180" s="113"/>
      <c r="AQ180" s="113"/>
      <c r="AR180" s="113"/>
      <c r="AS180" s="113"/>
      <c r="AT180" s="113"/>
      <c r="AU180" s="113"/>
      <c r="AV180" s="113"/>
      <c r="AW180" s="113"/>
      <c r="AX180" s="113"/>
      <c r="AY180" s="113"/>
      <c r="AZ180" s="113"/>
      <c r="BA180" s="113"/>
      <c r="BB180" s="113"/>
      <c r="BC180" s="113"/>
      <c r="BD180" s="113"/>
      <c r="BE180" s="113"/>
      <c r="BF180" s="113"/>
      <c r="BG180" s="113"/>
      <c r="BH180" s="113"/>
      <c r="BI180" s="113"/>
      <c r="BJ180" s="113"/>
      <c r="BK180" s="113"/>
      <c r="BL180" s="113"/>
      <c r="BM180" s="113"/>
      <c r="BN180" s="113"/>
      <c r="BO180" s="113"/>
      <c r="BP180" s="113"/>
      <c r="BQ180" s="113"/>
      <c r="BR180" s="113"/>
      <c r="BS180" s="113"/>
      <c r="BT180" s="113"/>
      <c r="BU180" s="113"/>
      <c r="BV180" s="113"/>
      <c r="BW180" s="113"/>
      <c r="BX180" s="113"/>
      <c r="BY180" s="113"/>
      <c r="BZ180" s="113"/>
      <c r="CA180" s="113"/>
      <c r="CB180" s="113"/>
      <c r="CC180" s="113"/>
      <c r="CD180" s="113"/>
      <c r="CE180" s="113"/>
      <c r="CF180" s="113"/>
      <c r="CG180" s="113"/>
      <c r="CH180" s="113"/>
      <c r="CI180" s="113"/>
      <c r="CJ180" s="113"/>
      <c r="CK180" s="113"/>
      <c r="CL180" s="113"/>
      <c r="CM180" s="113"/>
      <c r="CN180" s="113"/>
      <c r="CO180" s="113"/>
      <c r="CP180" s="113"/>
      <c r="CQ180" s="113"/>
      <c r="CR180" s="113"/>
      <c r="CS180" s="113"/>
      <c r="CT180" s="113"/>
      <c r="CU180" s="113"/>
      <c r="CV180" s="113"/>
      <c r="CW180" s="113"/>
      <c r="CX180" s="113"/>
      <c r="CY180" s="113"/>
      <c r="CZ180" s="113"/>
      <c r="DA180" s="113"/>
      <c r="DB180" s="113"/>
      <c r="DC180" s="113"/>
      <c r="DD180" s="113"/>
      <c r="DE180" s="113"/>
      <c r="DF180" s="113"/>
      <c r="DG180" s="113"/>
      <c r="DH180" s="113"/>
      <c r="DI180" s="113"/>
      <c r="DJ180" s="113"/>
      <c r="DK180" s="113"/>
      <c r="DL180" s="114"/>
      <c r="DM180" s="47"/>
    </row>
    <row r="181" spans="5:117" hidden="1" x14ac:dyDescent="0.35">
      <c r="E181" s="111"/>
      <c r="F181" s="112"/>
      <c r="G181" s="112"/>
      <c r="H181" s="116"/>
      <c r="I181" s="116"/>
      <c r="J181" s="38">
        <f t="shared" si="135"/>
        <v>0</v>
      </c>
      <c r="K181" s="38">
        <f t="shared" si="136"/>
        <v>0</v>
      </c>
      <c r="L181" s="39">
        <f t="shared" si="134"/>
        <v>0</v>
      </c>
      <c r="M181" s="113"/>
      <c r="N181" s="113"/>
      <c r="O181" s="113"/>
      <c r="P181" s="113"/>
      <c r="Q181" s="113"/>
      <c r="R181" s="113"/>
      <c r="S181" s="113"/>
      <c r="T181" s="113"/>
      <c r="U181" s="113"/>
      <c r="V181" s="113"/>
      <c r="W181" s="113"/>
      <c r="X181" s="113"/>
      <c r="Y181" s="113"/>
      <c r="Z181" s="113"/>
      <c r="AA181" s="113"/>
      <c r="AB181" s="113"/>
      <c r="AC181" s="113"/>
      <c r="AD181" s="113"/>
      <c r="AE181" s="113"/>
      <c r="AF181" s="113"/>
      <c r="AG181" s="113"/>
      <c r="AH181" s="113"/>
      <c r="AI181" s="113"/>
      <c r="AJ181" s="113"/>
      <c r="AK181" s="113"/>
      <c r="AL181" s="113"/>
      <c r="AM181" s="113"/>
      <c r="AN181" s="113"/>
      <c r="AO181" s="113"/>
      <c r="AP181" s="113"/>
      <c r="AQ181" s="113"/>
      <c r="AR181" s="113"/>
      <c r="AS181" s="113"/>
      <c r="AT181" s="113"/>
      <c r="AU181" s="113"/>
      <c r="AV181" s="113"/>
      <c r="AW181" s="113"/>
      <c r="AX181" s="113"/>
      <c r="AY181" s="113"/>
      <c r="AZ181" s="113"/>
      <c r="BA181" s="113"/>
      <c r="BB181" s="113"/>
      <c r="BC181" s="113"/>
      <c r="BD181" s="113"/>
      <c r="BE181" s="113"/>
      <c r="BF181" s="113"/>
      <c r="BG181" s="113"/>
      <c r="BH181" s="113"/>
      <c r="BI181" s="113"/>
      <c r="BJ181" s="113"/>
      <c r="BK181" s="113"/>
      <c r="BL181" s="113"/>
      <c r="BM181" s="113"/>
      <c r="BN181" s="113"/>
      <c r="BO181" s="113"/>
      <c r="BP181" s="113"/>
      <c r="BQ181" s="113"/>
      <c r="BR181" s="113"/>
      <c r="BS181" s="113"/>
      <c r="BT181" s="113"/>
      <c r="BU181" s="113"/>
      <c r="BV181" s="113"/>
      <c r="BW181" s="113"/>
      <c r="BX181" s="113"/>
      <c r="BY181" s="113"/>
      <c r="BZ181" s="113"/>
      <c r="CA181" s="113"/>
      <c r="CB181" s="113"/>
      <c r="CC181" s="113"/>
      <c r="CD181" s="113"/>
      <c r="CE181" s="113"/>
      <c r="CF181" s="113"/>
      <c r="CG181" s="113"/>
      <c r="CH181" s="113"/>
      <c r="CI181" s="113"/>
      <c r="CJ181" s="113"/>
      <c r="CK181" s="113"/>
      <c r="CL181" s="113"/>
      <c r="CM181" s="113"/>
      <c r="CN181" s="113"/>
      <c r="CO181" s="113"/>
      <c r="CP181" s="113"/>
      <c r="CQ181" s="113"/>
      <c r="CR181" s="113"/>
      <c r="CS181" s="113"/>
      <c r="CT181" s="113"/>
      <c r="CU181" s="113"/>
      <c r="CV181" s="113"/>
      <c r="CW181" s="113"/>
      <c r="CX181" s="113"/>
      <c r="CY181" s="113"/>
      <c r="CZ181" s="113"/>
      <c r="DA181" s="113"/>
      <c r="DB181" s="113"/>
      <c r="DC181" s="113"/>
      <c r="DD181" s="113"/>
      <c r="DE181" s="113"/>
      <c r="DF181" s="113"/>
      <c r="DG181" s="113"/>
      <c r="DH181" s="113"/>
      <c r="DI181" s="113"/>
      <c r="DJ181" s="113"/>
      <c r="DK181" s="113"/>
      <c r="DL181" s="114"/>
      <c r="DM181" s="47"/>
    </row>
    <row r="182" spans="5:117" hidden="1" x14ac:dyDescent="0.35">
      <c r="E182" s="111"/>
      <c r="F182" s="112"/>
      <c r="G182" s="112"/>
      <c r="H182" s="116"/>
      <c r="I182" s="116"/>
      <c r="J182" s="38">
        <f t="shared" si="135"/>
        <v>0</v>
      </c>
      <c r="K182" s="38">
        <f t="shared" si="136"/>
        <v>0</v>
      </c>
      <c r="L182" s="39">
        <f t="shared" si="134"/>
        <v>0</v>
      </c>
      <c r="M182" s="113"/>
      <c r="N182" s="113"/>
      <c r="O182" s="113"/>
      <c r="P182" s="113"/>
      <c r="Q182" s="113"/>
      <c r="R182" s="113"/>
      <c r="S182" s="113"/>
      <c r="T182" s="113"/>
      <c r="U182" s="113"/>
      <c r="V182" s="113"/>
      <c r="W182" s="113"/>
      <c r="X182" s="113"/>
      <c r="Y182" s="113"/>
      <c r="Z182" s="113"/>
      <c r="AA182" s="113"/>
      <c r="AB182" s="113"/>
      <c r="AC182" s="113"/>
      <c r="AD182" s="113"/>
      <c r="AE182" s="113"/>
      <c r="AF182" s="113"/>
      <c r="AG182" s="113"/>
      <c r="AH182" s="113"/>
      <c r="AI182" s="113"/>
      <c r="AJ182" s="113"/>
      <c r="AK182" s="113"/>
      <c r="AL182" s="113"/>
      <c r="AM182" s="113"/>
      <c r="AN182" s="113"/>
      <c r="AO182" s="113"/>
      <c r="AP182" s="113"/>
      <c r="AQ182" s="113"/>
      <c r="AR182" s="113"/>
      <c r="AS182" s="113"/>
      <c r="AT182" s="113"/>
      <c r="AU182" s="113"/>
      <c r="AV182" s="113"/>
      <c r="AW182" s="113"/>
      <c r="AX182" s="113"/>
      <c r="AY182" s="113"/>
      <c r="AZ182" s="113"/>
      <c r="BA182" s="113"/>
      <c r="BB182" s="113"/>
      <c r="BC182" s="113"/>
      <c r="BD182" s="113"/>
      <c r="BE182" s="113"/>
      <c r="BF182" s="113"/>
      <c r="BG182" s="113"/>
      <c r="BH182" s="113"/>
      <c r="BI182" s="113"/>
      <c r="BJ182" s="113"/>
      <c r="BK182" s="113"/>
      <c r="BL182" s="113"/>
      <c r="BM182" s="113"/>
      <c r="BN182" s="113"/>
      <c r="BO182" s="113"/>
      <c r="BP182" s="113"/>
      <c r="BQ182" s="113"/>
      <c r="BR182" s="113"/>
      <c r="BS182" s="113"/>
      <c r="BT182" s="113"/>
      <c r="BU182" s="113"/>
      <c r="BV182" s="113"/>
      <c r="BW182" s="113"/>
      <c r="BX182" s="113"/>
      <c r="BY182" s="113"/>
      <c r="BZ182" s="113"/>
      <c r="CA182" s="113"/>
      <c r="CB182" s="113"/>
      <c r="CC182" s="113"/>
      <c r="CD182" s="113"/>
      <c r="CE182" s="113"/>
      <c r="CF182" s="113"/>
      <c r="CG182" s="113"/>
      <c r="CH182" s="113"/>
      <c r="CI182" s="113"/>
      <c r="CJ182" s="113"/>
      <c r="CK182" s="113"/>
      <c r="CL182" s="113"/>
      <c r="CM182" s="113"/>
      <c r="CN182" s="113"/>
      <c r="CO182" s="113"/>
      <c r="CP182" s="113"/>
      <c r="CQ182" s="113"/>
      <c r="CR182" s="113"/>
      <c r="CS182" s="113"/>
      <c r="CT182" s="113"/>
      <c r="CU182" s="113"/>
      <c r="CV182" s="113"/>
      <c r="CW182" s="113"/>
      <c r="CX182" s="113"/>
      <c r="CY182" s="113"/>
      <c r="CZ182" s="113"/>
      <c r="DA182" s="113"/>
      <c r="DB182" s="113"/>
      <c r="DC182" s="113"/>
      <c r="DD182" s="113"/>
      <c r="DE182" s="113"/>
      <c r="DF182" s="113"/>
      <c r="DG182" s="113"/>
      <c r="DH182" s="113"/>
      <c r="DI182" s="113"/>
      <c r="DJ182" s="113"/>
      <c r="DK182" s="113"/>
      <c r="DL182" s="114"/>
      <c r="DM182" s="47"/>
    </row>
    <row r="183" spans="5:117" hidden="1" x14ac:dyDescent="0.35">
      <c r="E183" s="111"/>
      <c r="F183" s="112"/>
      <c r="G183" s="112"/>
      <c r="H183" s="116"/>
      <c r="I183" s="116"/>
      <c r="J183" s="38">
        <f t="shared" si="135"/>
        <v>0</v>
      </c>
      <c r="K183" s="38">
        <f t="shared" si="136"/>
        <v>0</v>
      </c>
      <c r="L183" s="39">
        <f t="shared" si="134"/>
        <v>0</v>
      </c>
      <c r="M183" s="113"/>
      <c r="N183" s="113"/>
      <c r="O183" s="113"/>
      <c r="P183" s="113"/>
      <c r="Q183" s="113"/>
      <c r="R183" s="113"/>
      <c r="S183" s="113"/>
      <c r="T183" s="113"/>
      <c r="U183" s="113"/>
      <c r="V183" s="113"/>
      <c r="W183" s="113"/>
      <c r="X183" s="113"/>
      <c r="Y183" s="113"/>
      <c r="Z183" s="113"/>
      <c r="AA183" s="113"/>
      <c r="AB183" s="113"/>
      <c r="AC183" s="113"/>
      <c r="AD183" s="113"/>
      <c r="AE183" s="113"/>
      <c r="AF183" s="113"/>
      <c r="AG183" s="113"/>
      <c r="AH183" s="113"/>
      <c r="AI183" s="113"/>
      <c r="AJ183" s="113"/>
      <c r="AK183" s="113"/>
      <c r="AL183" s="113"/>
      <c r="AM183" s="113"/>
      <c r="AN183" s="113"/>
      <c r="AO183" s="113"/>
      <c r="AP183" s="113"/>
      <c r="AQ183" s="113"/>
      <c r="AR183" s="113"/>
      <c r="AS183" s="113"/>
      <c r="AT183" s="113"/>
      <c r="AU183" s="113"/>
      <c r="AV183" s="113"/>
      <c r="AW183" s="113"/>
      <c r="AX183" s="113"/>
      <c r="AY183" s="113"/>
      <c r="AZ183" s="113"/>
      <c r="BA183" s="113"/>
      <c r="BB183" s="113"/>
      <c r="BC183" s="113"/>
      <c r="BD183" s="113"/>
      <c r="BE183" s="113"/>
      <c r="BF183" s="113"/>
      <c r="BG183" s="113"/>
      <c r="BH183" s="113"/>
      <c r="BI183" s="113"/>
      <c r="BJ183" s="113"/>
      <c r="BK183" s="113"/>
      <c r="BL183" s="113"/>
      <c r="BM183" s="113"/>
      <c r="BN183" s="113"/>
      <c r="BO183" s="113"/>
      <c r="BP183" s="113"/>
      <c r="BQ183" s="113"/>
      <c r="BR183" s="113"/>
      <c r="BS183" s="113"/>
      <c r="BT183" s="113"/>
      <c r="BU183" s="113"/>
      <c r="BV183" s="113"/>
      <c r="BW183" s="113"/>
      <c r="BX183" s="113"/>
      <c r="BY183" s="113"/>
      <c r="BZ183" s="113"/>
      <c r="CA183" s="113"/>
      <c r="CB183" s="113"/>
      <c r="CC183" s="113"/>
      <c r="CD183" s="113"/>
      <c r="CE183" s="113"/>
      <c r="CF183" s="113"/>
      <c r="CG183" s="113"/>
      <c r="CH183" s="113"/>
      <c r="CI183" s="113"/>
      <c r="CJ183" s="113"/>
      <c r="CK183" s="113"/>
      <c r="CL183" s="113"/>
      <c r="CM183" s="113"/>
      <c r="CN183" s="113"/>
      <c r="CO183" s="113"/>
      <c r="CP183" s="113"/>
      <c r="CQ183" s="113"/>
      <c r="CR183" s="113"/>
      <c r="CS183" s="113"/>
      <c r="CT183" s="113"/>
      <c r="CU183" s="113"/>
      <c r="CV183" s="113"/>
      <c r="CW183" s="113"/>
      <c r="CX183" s="113"/>
      <c r="CY183" s="113"/>
      <c r="CZ183" s="113"/>
      <c r="DA183" s="113"/>
      <c r="DB183" s="113"/>
      <c r="DC183" s="113"/>
      <c r="DD183" s="113"/>
      <c r="DE183" s="113"/>
      <c r="DF183" s="113"/>
      <c r="DG183" s="113"/>
      <c r="DH183" s="113"/>
      <c r="DI183" s="113"/>
      <c r="DJ183" s="113"/>
      <c r="DK183" s="113"/>
      <c r="DL183" s="114"/>
      <c r="DM183" s="47"/>
    </row>
    <row r="184" spans="5:117" hidden="1" x14ac:dyDescent="0.35">
      <c r="E184" s="111"/>
      <c r="F184" s="112"/>
      <c r="G184" s="112"/>
      <c r="H184" s="116"/>
      <c r="I184" s="116"/>
      <c r="J184" s="38">
        <f t="shared" si="135"/>
        <v>0</v>
      </c>
      <c r="K184" s="38">
        <f t="shared" si="136"/>
        <v>0</v>
      </c>
      <c r="L184" s="39">
        <f t="shared" si="134"/>
        <v>0</v>
      </c>
      <c r="M184" s="113"/>
      <c r="N184" s="113"/>
      <c r="O184" s="113"/>
      <c r="P184" s="113"/>
      <c r="Q184" s="113"/>
      <c r="R184" s="113"/>
      <c r="S184" s="113"/>
      <c r="T184" s="113"/>
      <c r="U184" s="113"/>
      <c r="V184" s="113"/>
      <c r="W184" s="113"/>
      <c r="X184" s="113"/>
      <c r="Y184" s="113"/>
      <c r="Z184" s="113"/>
      <c r="AA184" s="113"/>
      <c r="AB184" s="113"/>
      <c r="AC184" s="113"/>
      <c r="AD184" s="113"/>
      <c r="AE184" s="113"/>
      <c r="AF184" s="113"/>
      <c r="AG184" s="113"/>
      <c r="AH184" s="113"/>
      <c r="AI184" s="113"/>
      <c r="AJ184" s="113"/>
      <c r="AK184" s="113"/>
      <c r="AL184" s="113"/>
      <c r="AM184" s="113"/>
      <c r="AN184" s="113"/>
      <c r="AO184" s="113"/>
      <c r="AP184" s="113"/>
      <c r="AQ184" s="113"/>
      <c r="AR184" s="113"/>
      <c r="AS184" s="113"/>
      <c r="AT184" s="113"/>
      <c r="AU184" s="113"/>
      <c r="AV184" s="113"/>
      <c r="AW184" s="113"/>
      <c r="AX184" s="113"/>
      <c r="AY184" s="113"/>
      <c r="AZ184" s="113"/>
      <c r="BA184" s="113"/>
      <c r="BB184" s="113"/>
      <c r="BC184" s="113"/>
      <c r="BD184" s="113"/>
      <c r="BE184" s="113"/>
      <c r="BF184" s="113"/>
      <c r="BG184" s="113"/>
      <c r="BH184" s="113"/>
      <c r="BI184" s="113"/>
      <c r="BJ184" s="113"/>
      <c r="BK184" s="113"/>
      <c r="BL184" s="113"/>
      <c r="BM184" s="113"/>
      <c r="BN184" s="113"/>
      <c r="BO184" s="113"/>
      <c r="BP184" s="113"/>
      <c r="BQ184" s="113"/>
      <c r="BR184" s="113"/>
      <c r="BS184" s="113"/>
      <c r="BT184" s="113"/>
      <c r="BU184" s="113"/>
      <c r="BV184" s="113"/>
      <c r="BW184" s="113"/>
      <c r="BX184" s="113"/>
      <c r="BY184" s="113"/>
      <c r="BZ184" s="113"/>
      <c r="CA184" s="113"/>
      <c r="CB184" s="113"/>
      <c r="CC184" s="113"/>
      <c r="CD184" s="113"/>
      <c r="CE184" s="113"/>
      <c r="CF184" s="113"/>
      <c r="CG184" s="113"/>
      <c r="CH184" s="113"/>
      <c r="CI184" s="113"/>
      <c r="CJ184" s="113"/>
      <c r="CK184" s="113"/>
      <c r="CL184" s="113"/>
      <c r="CM184" s="113"/>
      <c r="CN184" s="113"/>
      <c r="CO184" s="113"/>
      <c r="CP184" s="113"/>
      <c r="CQ184" s="113"/>
      <c r="CR184" s="113"/>
      <c r="CS184" s="113"/>
      <c r="CT184" s="113"/>
      <c r="CU184" s="113"/>
      <c r="CV184" s="113"/>
      <c r="CW184" s="113"/>
      <c r="CX184" s="113"/>
      <c r="CY184" s="113"/>
      <c r="CZ184" s="113"/>
      <c r="DA184" s="113"/>
      <c r="DB184" s="113"/>
      <c r="DC184" s="113"/>
      <c r="DD184" s="113"/>
      <c r="DE184" s="113"/>
      <c r="DF184" s="113"/>
      <c r="DG184" s="113"/>
      <c r="DH184" s="113"/>
      <c r="DI184" s="113"/>
      <c r="DJ184" s="113"/>
      <c r="DK184" s="113"/>
      <c r="DL184" s="114"/>
      <c r="DM184" s="47"/>
    </row>
    <row r="185" spans="5:117" x14ac:dyDescent="0.35">
      <c r="E185" s="111"/>
      <c r="F185" s="112"/>
      <c r="G185" s="112"/>
      <c r="H185" s="116"/>
      <c r="I185" s="116"/>
      <c r="J185" s="38">
        <f t="shared" si="135"/>
        <v>0</v>
      </c>
      <c r="K185" s="38">
        <f t="shared" si="136"/>
        <v>0</v>
      </c>
      <c r="L185" s="39">
        <f t="shared" si="134"/>
        <v>0</v>
      </c>
      <c r="M185" s="113"/>
      <c r="N185" s="113"/>
      <c r="O185" s="113"/>
      <c r="P185" s="113"/>
      <c r="Q185" s="113"/>
      <c r="R185" s="113"/>
      <c r="S185" s="113"/>
      <c r="T185" s="113"/>
      <c r="U185" s="113"/>
      <c r="V185" s="113"/>
      <c r="W185" s="113"/>
      <c r="X185" s="113"/>
      <c r="Y185" s="113"/>
      <c r="Z185" s="113"/>
      <c r="AA185" s="113"/>
      <c r="AB185" s="113"/>
      <c r="AC185" s="113"/>
      <c r="AD185" s="113"/>
      <c r="AE185" s="113"/>
      <c r="AF185" s="113"/>
      <c r="AG185" s="113"/>
      <c r="AH185" s="113"/>
      <c r="AI185" s="113"/>
      <c r="AJ185" s="113"/>
      <c r="AK185" s="113"/>
      <c r="AL185" s="113"/>
      <c r="AM185" s="113"/>
      <c r="AN185" s="113"/>
      <c r="AO185" s="113"/>
      <c r="AP185" s="113"/>
      <c r="AQ185" s="113"/>
      <c r="AR185" s="113"/>
      <c r="AS185" s="113"/>
      <c r="AT185" s="113"/>
      <c r="AU185" s="113"/>
      <c r="AV185" s="113"/>
      <c r="AW185" s="113"/>
      <c r="AX185" s="113"/>
      <c r="AY185" s="113"/>
      <c r="AZ185" s="113"/>
      <c r="BA185" s="113"/>
      <c r="BB185" s="113"/>
      <c r="BC185" s="113"/>
      <c r="BD185" s="113"/>
      <c r="BE185" s="113"/>
      <c r="BF185" s="113"/>
      <c r="BG185" s="113"/>
      <c r="BH185" s="113"/>
      <c r="BI185" s="113"/>
      <c r="BJ185" s="113"/>
      <c r="BK185" s="113"/>
      <c r="BL185" s="113"/>
      <c r="BM185" s="113"/>
      <c r="BN185" s="113"/>
      <c r="BO185" s="113"/>
      <c r="BP185" s="113"/>
      <c r="BQ185" s="113"/>
      <c r="BR185" s="113"/>
      <c r="BS185" s="113"/>
      <c r="BT185" s="113"/>
      <c r="BU185" s="113"/>
      <c r="BV185" s="113"/>
      <c r="BW185" s="113"/>
      <c r="BX185" s="113"/>
      <c r="BY185" s="113"/>
      <c r="BZ185" s="113"/>
      <c r="CA185" s="113"/>
      <c r="CB185" s="113"/>
      <c r="CC185" s="113"/>
      <c r="CD185" s="113"/>
      <c r="CE185" s="113"/>
      <c r="CF185" s="113"/>
      <c r="CG185" s="113"/>
      <c r="CH185" s="113"/>
      <c r="CI185" s="113"/>
      <c r="CJ185" s="113"/>
      <c r="CK185" s="113"/>
      <c r="CL185" s="113"/>
      <c r="CM185" s="113"/>
      <c r="CN185" s="113"/>
      <c r="CO185" s="113"/>
      <c r="CP185" s="113"/>
      <c r="CQ185" s="113"/>
      <c r="CR185" s="113"/>
      <c r="CS185" s="113"/>
      <c r="CT185" s="113"/>
      <c r="CU185" s="113"/>
      <c r="CV185" s="113"/>
      <c r="CW185" s="113"/>
      <c r="CX185" s="113"/>
      <c r="CY185" s="113"/>
      <c r="CZ185" s="113"/>
      <c r="DA185" s="113"/>
      <c r="DB185" s="113"/>
      <c r="DC185" s="113"/>
      <c r="DD185" s="113"/>
      <c r="DE185" s="113"/>
      <c r="DF185" s="113"/>
      <c r="DG185" s="113"/>
      <c r="DH185" s="113"/>
      <c r="DI185" s="113"/>
      <c r="DJ185" s="113"/>
      <c r="DK185" s="113"/>
      <c r="DL185" s="114"/>
      <c r="DM185" s="47"/>
    </row>
    <row r="186" spans="5:117" ht="15" thickBot="1" x14ac:dyDescent="0.4">
      <c r="E186" s="3" t="s">
        <v>277</v>
      </c>
      <c r="F186" s="41"/>
      <c r="G186" s="41"/>
      <c r="H186" s="41"/>
      <c r="I186" s="8" t="s">
        <v>150</v>
      </c>
      <c r="J186" s="98">
        <f>SUM(J156:J185)</f>
        <v>0</v>
      </c>
      <c r="K186" s="98">
        <f>SUM(K156:K185)</f>
        <v>0</v>
      </c>
      <c r="L186" s="99">
        <f>SUM(L156:L185)</f>
        <v>0</v>
      </c>
      <c r="M186" s="4">
        <f>SUM(M156:M185)</f>
        <v>0</v>
      </c>
      <c r="N186" s="4">
        <f t="shared" ref="N186:BY186" si="137">SUM(N156:N185)</f>
        <v>0</v>
      </c>
      <c r="O186" s="4">
        <f t="shared" si="137"/>
        <v>0</v>
      </c>
      <c r="P186" s="4">
        <f t="shared" si="137"/>
        <v>0</v>
      </c>
      <c r="Q186" s="4">
        <f t="shared" si="137"/>
        <v>0</v>
      </c>
      <c r="R186" s="4">
        <f t="shared" si="137"/>
        <v>0</v>
      </c>
      <c r="S186" s="4">
        <f t="shared" si="137"/>
        <v>0</v>
      </c>
      <c r="T186" s="4">
        <f t="shared" si="137"/>
        <v>0</v>
      </c>
      <c r="U186" s="4">
        <f t="shared" si="137"/>
        <v>0</v>
      </c>
      <c r="V186" s="4">
        <f t="shared" si="137"/>
        <v>0</v>
      </c>
      <c r="W186" s="4">
        <f t="shared" si="137"/>
        <v>0</v>
      </c>
      <c r="X186" s="4">
        <f t="shared" si="137"/>
        <v>0</v>
      </c>
      <c r="Y186" s="4">
        <f t="shared" si="137"/>
        <v>0</v>
      </c>
      <c r="Z186" s="4">
        <f t="shared" si="137"/>
        <v>0</v>
      </c>
      <c r="AA186" s="4">
        <f t="shared" si="137"/>
        <v>0</v>
      </c>
      <c r="AB186" s="4">
        <f t="shared" si="137"/>
        <v>0</v>
      </c>
      <c r="AC186" s="4">
        <f t="shared" si="137"/>
        <v>0</v>
      </c>
      <c r="AD186" s="4">
        <f t="shared" si="137"/>
        <v>0</v>
      </c>
      <c r="AE186" s="4">
        <f t="shared" si="137"/>
        <v>0</v>
      </c>
      <c r="AF186" s="4">
        <f t="shared" si="137"/>
        <v>0</v>
      </c>
      <c r="AG186" s="4">
        <f t="shared" si="137"/>
        <v>0</v>
      </c>
      <c r="AH186" s="4">
        <f t="shared" si="137"/>
        <v>0</v>
      </c>
      <c r="AI186" s="4">
        <f t="shared" si="137"/>
        <v>0</v>
      </c>
      <c r="AJ186" s="4">
        <f t="shared" si="137"/>
        <v>0</v>
      </c>
      <c r="AK186" s="4">
        <f t="shared" si="137"/>
        <v>0</v>
      </c>
      <c r="AL186" s="4">
        <f t="shared" si="137"/>
        <v>0</v>
      </c>
      <c r="AM186" s="4">
        <f t="shared" si="137"/>
        <v>0</v>
      </c>
      <c r="AN186" s="4">
        <f t="shared" si="137"/>
        <v>0</v>
      </c>
      <c r="AO186" s="4">
        <f t="shared" si="137"/>
        <v>0</v>
      </c>
      <c r="AP186" s="4">
        <f t="shared" si="137"/>
        <v>0</v>
      </c>
      <c r="AQ186" s="4">
        <f t="shared" si="137"/>
        <v>0</v>
      </c>
      <c r="AR186" s="4">
        <f t="shared" si="137"/>
        <v>0</v>
      </c>
      <c r="AS186" s="4">
        <f t="shared" si="137"/>
        <v>0</v>
      </c>
      <c r="AT186" s="4">
        <f t="shared" si="137"/>
        <v>0</v>
      </c>
      <c r="AU186" s="4">
        <f t="shared" si="137"/>
        <v>0</v>
      </c>
      <c r="AV186" s="4">
        <f t="shared" si="137"/>
        <v>0</v>
      </c>
      <c r="AW186" s="4">
        <f t="shared" si="137"/>
        <v>0</v>
      </c>
      <c r="AX186" s="4">
        <f t="shared" si="137"/>
        <v>0</v>
      </c>
      <c r="AY186" s="4">
        <f t="shared" si="137"/>
        <v>0</v>
      </c>
      <c r="AZ186" s="4">
        <f t="shared" si="137"/>
        <v>0</v>
      </c>
      <c r="BA186" s="4">
        <f t="shared" si="137"/>
        <v>0</v>
      </c>
      <c r="BB186" s="4">
        <f t="shared" si="137"/>
        <v>0</v>
      </c>
      <c r="BC186" s="4">
        <f t="shared" si="137"/>
        <v>0</v>
      </c>
      <c r="BD186" s="4">
        <f t="shared" si="137"/>
        <v>0</v>
      </c>
      <c r="BE186" s="4">
        <f t="shared" si="137"/>
        <v>0</v>
      </c>
      <c r="BF186" s="4">
        <f t="shared" si="137"/>
        <v>0</v>
      </c>
      <c r="BG186" s="4">
        <f t="shared" si="137"/>
        <v>0</v>
      </c>
      <c r="BH186" s="4">
        <f t="shared" si="137"/>
        <v>0</v>
      </c>
      <c r="BI186" s="4">
        <f t="shared" si="137"/>
        <v>0</v>
      </c>
      <c r="BJ186" s="4">
        <f t="shared" si="137"/>
        <v>0</v>
      </c>
      <c r="BK186" s="4">
        <f t="shared" si="137"/>
        <v>0</v>
      </c>
      <c r="BL186" s="4">
        <f t="shared" si="137"/>
        <v>0</v>
      </c>
      <c r="BM186" s="4">
        <f t="shared" si="137"/>
        <v>0</v>
      </c>
      <c r="BN186" s="4">
        <f t="shared" si="137"/>
        <v>0</v>
      </c>
      <c r="BO186" s="4">
        <f t="shared" si="137"/>
        <v>0</v>
      </c>
      <c r="BP186" s="4">
        <f t="shared" si="137"/>
        <v>0</v>
      </c>
      <c r="BQ186" s="4">
        <f t="shared" si="137"/>
        <v>0</v>
      </c>
      <c r="BR186" s="4">
        <f t="shared" si="137"/>
        <v>0</v>
      </c>
      <c r="BS186" s="4">
        <f t="shared" si="137"/>
        <v>0</v>
      </c>
      <c r="BT186" s="4">
        <f t="shared" si="137"/>
        <v>0</v>
      </c>
      <c r="BU186" s="4">
        <f t="shared" si="137"/>
        <v>0</v>
      </c>
      <c r="BV186" s="4">
        <f t="shared" si="137"/>
        <v>0</v>
      </c>
      <c r="BW186" s="4">
        <f t="shared" si="137"/>
        <v>0</v>
      </c>
      <c r="BX186" s="4">
        <f t="shared" si="137"/>
        <v>0</v>
      </c>
      <c r="BY186" s="4">
        <f t="shared" si="137"/>
        <v>0</v>
      </c>
      <c r="BZ186" s="4">
        <f t="shared" ref="BZ186:DL186" si="138">SUM(BZ156:BZ185)</f>
        <v>0</v>
      </c>
      <c r="CA186" s="4">
        <f t="shared" si="138"/>
        <v>0</v>
      </c>
      <c r="CB186" s="4">
        <f t="shared" si="138"/>
        <v>0</v>
      </c>
      <c r="CC186" s="4">
        <f t="shared" si="138"/>
        <v>0</v>
      </c>
      <c r="CD186" s="4">
        <f t="shared" si="138"/>
        <v>0</v>
      </c>
      <c r="CE186" s="4">
        <f t="shared" si="138"/>
        <v>0</v>
      </c>
      <c r="CF186" s="4">
        <f t="shared" si="138"/>
        <v>0</v>
      </c>
      <c r="CG186" s="4">
        <f t="shared" si="138"/>
        <v>0</v>
      </c>
      <c r="CH186" s="4">
        <f t="shared" si="138"/>
        <v>0</v>
      </c>
      <c r="CI186" s="4">
        <f t="shared" si="138"/>
        <v>0</v>
      </c>
      <c r="CJ186" s="4">
        <f t="shared" si="138"/>
        <v>0</v>
      </c>
      <c r="CK186" s="4">
        <f t="shared" si="138"/>
        <v>0</v>
      </c>
      <c r="CL186" s="4">
        <f t="shared" si="138"/>
        <v>0</v>
      </c>
      <c r="CM186" s="4">
        <f t="shared" si="138"/>
        <v>0</v>
      </c>
      <c r="CN186" s="4">
        <f t="shared" si="138"/>
        <v>0</v>
      </c>
      <c r="CO186" s="4">
        <f t="shared" si="138"/>
        <v>0</v>
      </c>
      <c r="CP186" s="4">
        <f t="shared" si="138"/>
        <v>0</v>
      </c>
      <c r="CQ186" s="4">
        <f t="shared" si="138"/>
        <v>0</v>
      </c>
      <c r="CR186" s="4">
        <f t="shared" si="138"/>
        <v>0</v>
      </c>
      <c r="CS186" s="4">
        <f t="shared" si="138"/>
        <v>0</v>
      </c>
      <c r="CT186" s="4">
        <f t="shared" si="138"/>
        <v>0</v>
      </c>
      <c r="CU186" s="4">
        <f t="shared" si="138"/>
        <v>0</v>
      </c>
      <c r="CV186" s="4">
        <f t="shared" si="138"/>
        <v>0</v>
      </c>
      <c r="CW186" s="4">
        <f t="shared" si="138"/>
        <v>0</v>
      </c>
      <c r="CX186" s="4">
        <f t="shared" si="138"/>
        <v>0</v>
      </c>
      <c r="CY186" s="4">
        <f t="shared" si="138"/>
        <v>0</v>
      </c>
      <c r="CZ186" s="4">
        <f t="shared" si="138"/>
        <v>0</v>
      </c>
      <c r="DA186" s="4">
        <f t="shared" si="138"/>
        <v>0</v>
      </c>
      <c r="DB186" s="4">
        <f t="shared" si="138"/>
        <v>0</v>
      </c>
      <c r="DC186" s="4">
        <f t="shared" si="138"/>
        <v>0</v>
      </c>
      <c r="DD186" s="4">
        <f t="shared" si="138"/>
        <v>0</v>
      </c>
      <c r="DE186" s="4">
        <f t="shared" si="138"/>
        <v>0</v>
      </c>
      <c r="DF186" s="4">
        <f t="shared" si="138"/>
        <v>0</v>
      </c>
      <c r="DG186" s="4">
        <f t="shared" si="138"/>
        <v>0</v>
      </c>
      <c r="DH186" s="4">
        <f t="shared" si="138"/>
        <v>0</v>
      </c>
      <c r="DI186" s="4">
        <f t="shared" si="138"/>
        <v>0</v>
      </c>
      <c r="DJ186" s="4">
        <f t="shared" si="138"/>
        <v>0</v>
      </c>
      <c r="DK186" s="4">
        <f t="shared" si="138"/>
        <v>0</v>
      </c>
      <c r="DL186" s="4">
        <f t="shared" si="138"/>
        <v>0</v>
      </c>
      <c r="DM186" s="47"/>
    </row>
    <row r="187" spans="5:117" ht="15" thickBot="1" x14ac:dyDescent="0.4"/>
    <row r="188" spans="5:117" ht="15" thickBot="1" x14ac:dyDescent="0.4">
      <c r="J188" s="48"/>
      <c r="K188" s="49" t="s">
        <v>272</v>
      </c>
      <c r="L188" s="50" t="s">
        <v>34</v>
      </c>
      <c r="M188" s="51" t="s">
        <v>35</v>
      </c>
      <c r="N188" s="51" t="s">
        <v>36</v>
      </c>
      <c r="O188" s="51" t="s">
        <v>37</v>
      </c>
      <c r="P188" s="51" t="s">
        <v>38</v>
      </c>
      <c r="Q188" s="51" t="s">
        <v>39</v>
      </c>
      <c r="R188" s="51" t="s">
        <v>40</v>
      </c>
      <c r="S188" s="51" t="s">
        <v>41</v>
      </c>
      <c r="T188" s="51" t="s">
        <v>42</v>
      </c>
      <c r="U188" s="51" t="s">
        <v>43</v>
      </c>
      <c r="V188" s="51" t="s">
        <v>44</v>
      </c>
      <c r="W188" s="51" t="s">
        <v>45</v>
      </c>
      <c r="X188" s="51" t="s">
        <v>46</v>
      </c>
      <c r="Y188" s="51" t="s">
        <v>47</v>
      </c>
      <c r="Z188" s="51" t="s">
        <v>48</v>
      </c>
      <c r="AA188" s="51" t="s">
        <v>49</v>
      </c>
      <c r="AB188" s="51" t="s">
        <v>50</v>
      </c>
      <c r="AC188" s="51" t="s">
        <v>51</v>
      </c>
      <c r="AD188" s="51" t="s">
        <v>52</v>
      </c>
      <c r="AE188" s="51" t="s">
        <v>53</v>
      </c>
      <c r="AF188" s="51" t="s">
        <v>54</v>
      </c>
      <c r="AG188" s="51" t="s">
        <v>55</v>
      </c>
      <c r="AH188" s="51" t="s">
        <v>56</v>
      </c>
      <c r="AI188" s="51" t="s">
        <v>57</v>
      </c>
      <c r="AJ188" s="51" t="s">
        <v>58</v>
      </c>
      <c r="AK188" s="51" t="s">
        <v>59</v>
      </c>
      <c r="AL188" s="51" t="s">
        <v>60</v>
      </c>
      <c r="AM188" s="51" t="s">
        <v>61</v>
      </c>
      <c r="AN188" s="51" t="s">
        <v>62</v>
      </c>
      <c r="AO188" s="51" t="s">
        <v>63</v>
      </c>
      <c r="AP188" s="51" t="s">
        <v>64</v>
      </c>
      <c r="AQ188" s="51" t="s">
        <v>65</v>
      </c>
      <c r="AR188" s="51" t="s">
        <v>66</v>
      </c>
      <c r="AS188" s="51" t="s">
        <v>67</v>
      </c>
      <c r="AT188" s="51" t="s">
        <v>68</v>
      </c>
      <c r="AU188" s="51" t="s">
        <v>69</v>
      </c>
      <c r="AV188" s="51" t="s">
        <v>70</v>
      </c>
      <c r="AW188" s="51" t="s">
        <v>71</v>
      </c>
      <c r="AX188" s="51" t="s">
        <v>72</v>
      </c>
      <c r="AY188" s="51" t="s">
        <v>73</v>
      </c>
      <c r="AZ188" s="51" t="s">
        <v>74</v>
      </c>
      <c r="BA188" s="51" t="s">
        <v>75</v>
      </c>
      <c r="BB188" s="51" t="s">
        <v>76</v>
      </c>
      <c r="BC188" s="51" t="s">
        <v>77</v>
      </c>
      <c r="BD188" s="51" t="s">
        <v>78</v>
      </c>
      <c r="BE188" s="51" t="s">
        <v>79</v>
      </c>
      <c r="BF188" s="51" t="s">
        <v>80</v>
      </c>
      <c r="BG188" s="51" t="s">
        <v>81</v>
      </c>
      <c r="BH188" s="51" t="s">
        <v>82</v>
      </c>
      <c r="BI188" s="51" t="s">
        <v>83</v>
      </c>
      <c r="BJ188" s="51" t="s">
        <v>84</v>
      </c>
      <c r="BK188" s="51" t="s">
        <v>85</v>
      </c>
      <c r="BL188" s="51" t="s">
        <v>86</v>
      </c>
      <c r="BM188" s="51" t="s">
        <v>87</v>
      </c>
      <c r="BN188" s="51" t="s">
        <v>88</v>
      </c>
      <c r="BO188" s="51" t="s">
        <v>89</v>
      </c>
      <c r="BP188" s="51" t="s">
        <v>90</v>
      </c>
      <c r="BQ188" s="51" t="s">
        <v>91</v>
      </c>
      <c r="BR188" s="51" t="s">
        <v>92</v>
      </c>
      <c r="BS188" s="51" t="s">
        <v>93</v>
      </c>
      <c r="BT188" s="51" t="s">
        <v>94</v>
      </c>
      <c r="BU188" s="51" t="s">
        <v>95</v>
      </c>
      <c r="BV188" s="51" t="s">
        <v>96</v>
      </c>
      <c r="BW188" s="51" t="s">
        <v>97</v>
      </c>
      <c r="BX188" s="51" t="s">
        <v>98</v>
      </c>
      <c r="BY188" s="51" t="s">
        <v>99</v>
      </c>
      <c r="BZ188" s="51" t="s">
        <v>100</v>
      </c>
      <c r="CA188" s="51" t="s">
        <v>101</v>
      </c>
      <c r="CB188" s="51" t="s">
        <v>102</v>
      </c>
      <c r="CC188" s="51" t="s">
        <v>103</v>
      </c>
      <c r="CD188" s="51" t="s">
        <v>104</v>
      </c>
      <c r="CE188" s="51" t="s">
        <v>105</v>
      </c>
      <c r="CF188" s="51" t="s">
        <v>106</v>
      </c>
      <c r="CG188" s="51" t="s">
        <v>107</v>
      </c>
      <c r="CH188" s="51" t="s">
        <v>108</v>
      </c>
      <c r="CI188" s="51" t="s">
        <v>109</v>
      </c>
      <c r="CJ188" s="51" t="s">
        <v>110</v>
      </c>
      <c r="CK188" s="51" t="s">
        <v>111</v>
      </c>
      <c r="CL188" s="51" t="s">
        <v>112</v>
      </c>
      <c r="CM188" s="51" t="s">
        <v>113</v>
      </c>
      <c r="CN188" s="51" t="s">
        <v>114</v>
      </c>
      <c r="CO188" s="51" t="s">
        <v>115</v>
      </c>
      <c r="CP188" s="51" t="s">
        <v>116</v>
      </c>
      <c r="CQ188" s="51" t="s">
        <v>117</v>
      </c>
      <c r="CR188" s="51" t="s">
        <v>118</v>
      </c>
      <c r="CS188" s="51" t="s">
        <v>119</v>
      </c>
      <c r="CT188" s="51" t="s">
        <v>120</v>
      </c>
      <c r="CU188" s="51" t="s">
        <v>121</v>
      </c>
      <c r="CV188" s="51" t="s">
        <v>122</v>
      </c>
      <c r="CW188" s="51" t="s">
        <v>123</v>
      </c>
      <c r="CX188" s="51" t="s">
        <v>124</v>
      </c>
      <c r="CY188" s="51" t="s">
        <v>125</v>
      </c>
      <c r="CZ188" s="51" t="s">
        <v>126</v>
      </c>
      <c r="DA188" s="51" t="s">
        <v>127</v>
      </c>
      <c r="DB188" s="51" t="s">
        <v>128</v>
      </c>
      <c r="DC188" s="51" t="s">
        <v>129</v>
      </c>
      <c r="DD188" s="51" t="s">
        <v>130</v>
      </c>
      <c r="DE188" s="51" t="s">
        <v>131</v>
      </c>
      <c r="DF188" s="51" t="s">
        <v>132</v>
      </c>
      <c r="DG188" s="51" t="s">
        <v>133</v>
      </c>
      <c r="DH188" s="51" t="s">
        <v>134</v>
      </c>
      <c r="DI188" s="51" t="s">
        <v>135</v>
      </c>
      <c r="DJ188" s="51" t="s">
        <v>136</v>
      </c>
      <c r="DK188" s="51" t="s">
        <v>137</v>
      </c>
      <c r="DL188" s="52" t="s">
        <v>138</v>
      </c>
    </row>
    <row r="189" spans="5:117" x14ac:dyDescent="0.35">
      <c r="J189" s="7" t="s">
        <v>144</v>
      </c>
      <c r="K189" s="53">
        <f>SUM(K186,K152,K70)</f>
        <v>0</v>
      </c>
      <c r="L189" s="39">
        <f>SUM(L186,L152,L70)</f>
        <v>240</v>
      </c>
      <c r="M189" s="5">
        <f>SUM(M186,M152,M70)</f>
        <v>8</v>
      </c>
      <c r="N189" s="5">
        <f t="shared" ref="N189:BY189" si="139">SUM(N186,N152,N70)</f>
        <v>40</v>
      </c>
      <c r="O189" s="5">
        <f t="shared" si="139"/>
        <v>48</v>
      </c>
      <c r="P189" s="5">
        <f t="shared" si="139"/>
        <v>80</v>
      </c>
      <c r="Q189" s="5">
        <f t="shared" si="139"/>
        <v>64</v>
      </c>
      <c r="R189" s="5">
        <f t="shared" si="139"/>
        <v>0</v>
      </c>
      <c r="S189" s="5">
        <f t="shared" si="139"/>
        <v>0</v>
      </c>
      <c r="T189" s="5">
        <f t="shared" si="139"/>
        <v>0</v>
      </c>
      <c r="U189" s="5">
        <f t="shared" si="139"/>
        <v>0</v>
      </c>
      <c r="V189" s="5">
        <f t="shared" si="139"/>
        <v>0</v>
      </c>
      <c r="W189" s="5">
        <f t="shared" si="139"/>
        <v>0</v>
      </c>
      <c r="X189" s="5">
        <f t="shared" si="139"/>
        <v>0</v>
      </c>
      <c r="Y189" s="5">
        <f t="shared" si="139"/>
        <v>0</v>
      </c>
      <c r="Z189" s="5">
        <f t="shared" si="139"/>
        <v>0</v>
      </c>
      <c r="AA189" s="5">
        <f t="shared" si="139"/>
        <v>0</v>
      </c>
      <c r="AB189" s="5">
        <f t="shared" si="139"/>
        <v>0</v>
      </c>
      <c r="AC189" s="5">
        <f t="shared" si="139"/>
        <v>0</v>
      </c>
      <c r="AD189" s="5">
        <f t="shared" si="139"/>
        <v>0</v>
      </c>
      <c r="AE189" s="5">
        <f t="shared" si="139"/>
        <v>0</v>
      </c>
      <c r="AF189" s="5">
        <f t="shared" si="139"/>
        <v>0</v>
      </c>
      <c r="AG189" s="5">
        <f t="shared" si="139"/>
        <v>0</v>
      </c>
      <c r="AH189" s="5">
        <f t="shared" si="139"/>
        <v>0</v>
      </c>
      <c r="AI189" s="5">
        <f t="shared" si="139"/>
        <v>0</v>
      </c>
      <c r="AJ189" s="5">
        <f t="shared" si="139"/>
        <v>0</v>
      </c>
      <c r="AK189" s="5">
        <f t="shared" si="139"/>
        <v>0</v>
      </c>
      <c r="AL189" s="5">
        <f t="shared" si="139"/>
        <v>0</v>
      </c>
      <c r="AM189" s="5">
        <f t="shared" si="139"/>
        <v>0</v>
      </c>
      <c r="AN189" s="5">
        <f t="shared" si="139"/>
        <v>0</v>
      </c>
      <c r="AO189" s="5">
        <f t="shared" si="139"/>
        <v>0</v>
      </c>
      <c r="AP189" s="5">
        <f t="shared" si="139"/>
        <v>0</v>
      </c>
      <c r="AQ189" s="5">
        <f t="shared" si="139"/>
        <v>0</v>
      </c>
      <c r="AR189" s="5">
        <f t="shared" si="139"/>
        <v>0</v>
      </c>
      <c r="AS189" s="5">
        <f t="shared" si="139"/>
        <v>0</v>
      </c>
      <c r="AT189" s="5">
        <f t="shared" si="139"/>
        <v>0</v>
      </c>
      <c r="AU189" s="5">
        <f t="shared" si="139"/>
        <v>0</v>
      </c>
      <c r="AV189" s="5">
        <f t="shared" si="139"/>
        <v>0</v>
      </c>
      <c r="AW189" s="5">
        <f t="shared" si="139"/>
        <v>0</v>
      </c>
      <c r="AX189" s="5">
        <f t="shared" si="139"/>
        <v>0</v>
      </c>
      <c r="AY189" s="5">
        <f t="shared" si="139"/>
        <v>0</v>
      </c>
      <c r="AZ189" s="5">
        <f t="shared" si="139"/>
        <v>0</v>
      </c>
      <c r="BA189" s="5">
        <f t="shared" si="139"/>
        <v>0</v>
      </c>
      <c r="BB189" s="5">
        <f t="shared" si="139"/>
        <v>0</v>
      </c>
      <c r="BC189" s="5">
        <f t="shared" si="139"/>
        <v>0</v>
      </c>
      <c r="BD189" s="5">
        <f t="shared" si="139"/>
        <v>0</v>
      </c>
      <c r="BE189" s="5">
        <f t="shared" si="139"/>
        <v>0</v>
      </c>
      <c r="BF189" s="5">
        <f t="shared" si="139"/>
        <v>0</v>
      </c>
      <c r="BG189" s="5">
        <f t="shared" si="139"/>
        <v>0</v>
      </c>
      <c r="BH189" s="5">
        <f t="shared" si="139"/>
        <v>0</v>
      </c>
      <c r="BI189" s="5">
        <f t="shared" si="139"/>
        <v>0</v>
      </c>
      <c r="BJ189" s="5">
        <f t="shared" si="139"/>
        <v>0</v>
      </c>
      <c r="BK189" s="5">
        <f t="shared" si="139"/>
        <v>0</v>
      </c>
      <c r="BL189" s="5">
        <f t="shared" si="139"/>
        <v>0</v>
      </c>
      <c r="BM189" s="5">
        <f t="shared" si="139"/>
        <v>0</v>
      </c>
      <c r="BN189" s="5">
        <f t="shared" si="139"/>
        <v>0</v>
      </c>
      <c r="BO189" s="5">
        <f t="shared" si="139"/>
        <v>0</v>
      </c>
      <c r="BP189" s="5">
        <f t="shared" si="139"/>
        <v>0</v>
      </c>
      <c r="BQ189" s="5">
        <f t="shared" si="139"/>
        <v>0</v>
      </c>
      <c r="BR189" s="5">
        <f t="shared" si="139"/>
        <v>0</v>
      </c>
      <c r="BS189" s="5">
        <f t="shared" si="139"/>
        <v>0</v>
      </c>
      <c r="BT189" s="5">
        <f t="shared" si="139"/>
        <v>0</v>
      </c>
      <c r="BU189" s="5">
        <f t="shared" si="139"/>
        <v>0</v>
      </c>
      <c r="BV189" s="5">
        <f t="shared" si="139"/>
        <v>0</v>
      </c>
      <c r="BW189" s="5">
        <f t="shared" si="139"/>
        <v>0</v>
      </c>
      <c r="BX189" s="5">
        <f t="shared" si="139"/>
        <v>0</v>
      </c>
      <c r="BY189" s="5">
        <f t="shared" si="139"/>
        <v>0</v>
      </c>
      <c r="BZ189" s="5">
        <f t="shared" ref="BZ189:DL189" si="140">SUM(BZ186,BZ152,BZ70)</f>
        <v>0</v>
      </c>
      <c r="CA189" s="5">
        <f t="shared" si="140"/>
        <v>0</v>
      </c>
      <c r="CB189" s="5">
        <f t="shared" si="140"/>
        <v>0</v>
      </c>
      <c r="CC189" s="5">
        <f t="shared" si="140"/>
        <v>0</v>
      </c>
      <c r="CD189" s="5">
        <f t="shared" si="140"/>
        <v>0</v>
      </c>
      <c r="CE189" s="5">
        <f t="shared" si="140"/>
        <v>0</v>
      </c>
      <c r="CF189" s="5">
        <f t="shared" si="140"/>
        <v>0</v>
      </c>
      <c r="CG189" s="5">
        <f t="shared" si="140"/>
        <v>0</v>
      </c>
      <c r="CH189" s="5">
        <f t="shared" si="140"/>
        <v>0</v>
      </c>
      <c r="CI189" s="5">
        <f t="shared" si="140"/>
        <v>0</v>
      </c>
      <c r="CJ189" s="5">
        <f t="shared" si="140"/>
        <v>0</v>
      </c>
      <c r="CK189" s="5">
        <f t="shared" si="140"/>
        <v>0</v>
      </c>
      <c r="CL189" s="5">
        <f t="shared" si="140"/>
        <v>0</v>
      </c>
      <c r="CM189" s="5">
        <f t="shared" si="140"/>
        <v>0</v>
      </c>
      <c r="CN189" s="5">
        <f t="shared" si="140"/>
        <v>0</v>
      </c>
      <c r="CO189" s="5">
        <f t="shared" si="140"/>
        <v>0</v>
      </c>
      <c r="CP189" s="5">
        <f t="shared" si="140"/>
        <v>0</v>
      </c>
      <c r="CQ189" s="5">
        <f t="shared" si="140"/>
        <v>0</v>
      </c>
      <c r="CR189" s="5">
        <f t="shared" si="140"/>
        <v>0</v>
      </c>
      <c r="CS189" s="5">
        <f t="shared" si="140"/>
        <v>0</v>
      </c>
      <c r="CT189" s="5">
        <f t="shared" si="140"/>
        <v>0</v>
      </c>
      <c r="CU189" s="5">
        <f t="shared" si="140"/>
        <v>0</v>
      </c>
      <c r="CV189" s="5">
        <f t="shared" si="140"/>
        <v>0</v>
      </c>
      <c r="CW189" s="5">
        <f t="shared" si="140"/>
        <v>0</v>
      </c>
      <c r="CX189" s="5">
        <f t="shared" si="140"/>
        <v>0</v>
      </c>
      <c r="CY189" s="5">
        <f t="shared" si="140"/>
        <v>0</v>
      </c>
      <c r="CZ189" s="5">
        <f t="shared" si="140"/>
        <v>0</v>
      </c>
      <c r="DA189" s="5">
        <f t="shared" si="140"/>
        <v>0</v>
      </c>
      <c r="DB189" s="5">
        <f t="shared" si="140"/>
        <v>0</v>
      </c>
      <c r="DC189" s="5">
        <f t="shared" si="140"/>
        <v>0</v>
      </c>
      <c r="DD189" s="5">
        <f t="shared" si="140"/>
        <v>0</v>
      </c>
      <c r="DE189" s="5">
        <f t="shared" si="140"/>
        <v>0</v>
      </c>
      <c r="DF189" s="5">
        <f t="shared" si="140"/>
        <v>0</v>
      </c>
      <c r="DG189" s="5">
        <f t="shared" si="140"/>
        <v>0</v>
      </c>
      <c r="DH189" s="5">
        <f t="shared" si="140"/>
        <v>0</v>
      </c>
      <c r="DI189" s="5">
        <f t="shared" si="140"/>
        <v>0</v>
      </c>
      <c r="DJ189" s="5">
        <f t="shared" si="140"/>
        <v>0</v>
      </c>
      <c r="DK189" s="5">
        <f t="shared" si="140"/>
        <v>0</v>
      </c>
      <c r="DL189" s="6">
        <f t="shared" si="140"/>
        <v>0</v>
      </c>
    </row>
    <row r="190" spans="5:117" ht="15" thickBot="1" x14ac:dyDescent="0.4">
      <c r="J190" s="255" t="s">
        <v>273</v>
      </c>
      <c r="K190" s="256"/>
      <c r="L190" s="257"/>
      <c r="M190" s="54">
        <f>SUMPRODUCT(M156:M185,$I$156:$I$185)+SUMPRODUCT(M122:M151,$I$122:$I$151)+SUMPRODUCT(M20:M69,$I$20:$I$69)</f>
        <v>0</v>
      </c>
      <c r="N190" s="54">
        <f t="shared" ref="N190:BY190" si="141">SUMPRODUCT(N156:N185,$I$156:$I$185)+SUMPRODUCT(N122:N151,$I$122:$I$151)+SUMPRODUCT(N20:N69,$I$20:$I$69)</f>
        <v>0</v>
      </c>
      <c r="O190" s="54">
        <f t="shared" si="141"/>
        <v>0</v>
      </c>
      <c r="P190" s="54">
        <f t="shared" si="141"/>
        <v>0</v>
      </c>
      <c r="Q190" s="54">
        <f t="shared" si="141"/>
        <v>0</v>
      </c>
      <c r="R190" s="54">
        <f t="shared" si="141"/>
        <v>0</v>
      </c>
      <c r="S190" s="54">
        <f t="shared" si="141"/>
        <v>0</v>
      </c>
      <c r="T190" s="54">
        <f t="shared" si="141"/>
        <v>0</v>
      </c>
      <c r="U190" s="54">
        <f t="shared" si="141"/>
        <v>0</v>
      </c>
      <c r="V190" s="54">
        <f t="shared" si="141"/>
        <v>0</v>
      </c>
      <c r="W190" s="54">
        <f t="shared" si="141"/>
        <v>0</v>
      </c>
      <c r="X190" s="54">
        <f t="shared" si="141"/>
        <v>0</v>
      </c>
      <c r="Y190" s="54">
        <f t="shared" si="141"/>
        <v>0</v>
      </c>
      <c r="Z190" s="54">
        <f t="shared" si="141"/>
        <v>0</v>
      </c>
      <c r="AA190" s="54">
        <f t="shared" si="141"/>
        <v>0</v>
      </c>
      <c r="AB190" s="54">
        <f t="shared" si="141"/>
        <v>0</v>
      </c>
      <c r="AC190" s="54">
        <f t="shared" si="141"/>
        <v>0</v>
      </c>
      <c r="AD190" s="54">
        <f t="shared" si="141"/>
        <v>0</v>
      </c>
      <c r="AE190" s="54">
        <f t="shared" si="141"/>
        <v>0</v>
      </c>
      <c r="AF190" s="54">
        <f t="shared" si="141"/>
        <v>0</v>
      </c>
      <c r="AG190" s="54">
        <f t="shared" si="141"/>
        <v>0</v>
      </c>
      <c r="AH190" s="54">
        <f t="shared" si="141"/>
        <v>0</v>
      </c>
      <c r="AI190" s="54">
        <f t="shared" si="141"/>
        <v>0</v>
      </c>
      <c r="AJ190" s="54">
        <f t="shared" si="141"/>
        <v>0</v>
      </c>
      <c r="AK190" s="54">
        <f t="shared" si="141"/>
        <v>0</v>
      </c>
      <c r="AL190" s="54">
        <f t="shared" si="141"/>
        <v>0</v>
      </c>
      <c r="AM190" s="54">
        <f t="shared" si="141"/>
        <v>0</v>
      </c>
      <c r="AN190" s="54">
        <f t="shared" si="141"/>
        <v>0</v>
      </c>
      <c r="AO190" s="54">
        <f t="shared" si="141"/>
        <v>0</v>
      </c>
      <c r="AP190" s="54">
        <f t="shared" si="141"/>
        <v>0</v>
      </c>
      <c r="AQ190" s="54">
        <f t="shared" si="141"/>
        <v>0</v>
      </c>
      <c r="AR190" s="54">
        <f t="shared" si="141"/>
        <v>0</v>
      </c>
      <c r="AS190" s="54">
        <f t="shared" si="141"/>
        <v>0</v>
      </c>
      <c r="AT190" s="54">
        <f t="shared" si="141"/>
        <v>0</v>
      </c>
      <c r="AU190" s="54">
        <f t="shared" si="141"/>
        <v>0</v>
      </c>
      <c r="AV190" s="54">
        <f t="shared" si="141"/>
        <v>0</v>
      </c>
      <c r="AW190" s="54">
        <f t="shared" si="141"/>
        <v>0</v>
      </c>
      <c r="AX190" s="54">
        <f t="shared" si="141"/>
        <v>0</v>
      </c>
      <c r="AY190" s="54">
        <f t="shared" si="141"/>
        <v>0</v>
      </c>
      <c r="AZ190" s="54">
        <f t="shared" si="141"/>
        <v>0</v>
      </c>
      <c r="BA190" s="54">
        <f t="shared" si="141"/>
        <v>0</v>
      </c>
      <c r="BB190" s="54">
        <f t="shared" si="141"/>
        <v>0</v>
      </c>
      <c r="BC190" s="54">
        <f t="shared" si="141"/>
        <v>0</v>
      </c>
      <c r="BD190" s="54">
        <f t="shared" si="141"/>
        <v>0</v>
      </c>
      <c r="BE190" s="54">
        <f t="shared" si="141"/>
        <v>0</v>
      </c>
      <c r="BF190" s="54">
        <f t="shared" si="141"/>
        <v>0</v>
      </c>
      <c r="BG190" s="54">
        <f t="shared" si="141"/>
        <v>0</v>
      </c>
      <c r="BH190" s="54">
        <f t="shared" si="141"/>
        <v>0</v>
      </c>
      <c r="BI190" s="54">
        <f t="shared" si="141"/>
        <v>0</v>
      </c>
      <c r="BJ190" s="54">
        <f t="shared" si="141"/>
        <v>0</v>
      </c>
      <c r="BK190" s="54">
        <f t="shared" si="141"/>
        <v>0</v>
      </c>
      <c r="BL190" s="54">
        <f t="shared" si="141"/>
        <v>0</v>
      </c>
      <c r="BM190" s="54">
        <f t="shared" si="141"/>
        <v>0</v>
      </c>
      <c r="BN190" s="54">
        <f t="shared" si="141"/>
        <v>0</v>
      </c>
      <c r="BO190" s="54">
        <f t="shared" si="141"/>
        <v>0</v>
      </c>
      <c r="BP190" s="54">
        <f t="shared" si="141"/>
        <v>0</v>
      </c>
      <c r="BQ190" s="54">
        <f t="shared" si="141"/>
        <v>0</v>
      </c>
      <c r="BR190" s="54">
        <f t="shared" si="141"/>
        <v>0</v>
      </c>
      <c r="BS190" s="54">
        <f t="shared" si="141"/>
        <v>0</v>
      </c>
      <c r="BT190" s="54">
        <f t="shared" si="141"/>
        <v>0</v>
      </c>
      <c r="BU190" s="54">
        <f t="shared" si="141"/>
        <v>0</v>
      </c>
      <c r="BV190" s="54">
        <f t="shared" si="141"/>
        <v>0</v>
      </c>
      <c r="BW190" s="54">
        <f t="shared" si="141"/>
        <v>0</v>
      </c>
      <c r="BX190" s="54">
        <f t="shared" si="141"/>
        <v>0</v>
      </c>
      <c r="BY190" s="54">
        <f t="shared" si="141"/>
        <v>0</v>
      </c>
      <c r="BZ190" s="54">
        <f t="shared" ref="BZ190:DL190" si="142">SUMPRODUCT(BZ156:BZ185,$I$156:$I$185)+SUMPRODUCT(BZ122:BZ151,$I$122:$I$151)+SUMPRODUCT(BZ20:BZ69,$I$20:$I$69)</f>
        <v>0</v>
      </c>
      <c r="CA190" s="54">
        <f t="shared" si="142"/>
        <v>0</v>
      </c>
      <c r="CB190" s="54">
        <f t="shared" si="142"/>
        <v>0</v>
      </c>
      <c r="CC190" s="54">
        <f t="shared" si="142"/>
        <v>0</v>
      </c>
      <c r="CD190" s="54">
        <f t="shared" si="142"/>
        <v>0</v>
      </c>
      <c r="CE190" s="54">
        <f t="shared" si="142"/>
        <v>0</v>
      </c>
      <c r="CF190" s="54">
        <f t="shared" si="142"/>
        <v>0</v>
      </c>
      <c r="CG190" s="54">
        <f t="shared" si="142"/>
        <v>0</v>
      </c>
      <c r="CH190" s="54">
        <f t="shared" si="142"/>
        <v>0</v>
      </c>
      <c r="CI190" s="54">
        <f t="shared" si="142"/>
        <v>0</v>
      </c>
      <c r="CJ190" s="54">
        <f t="shared" si="142"/>
        <v>0</v>
      </c>
      <c r="CK190" s="54">
        <f t="shared" si="142"/>
        <v>0</v>
      </c>
      <c r="CL190" s="54">
        <f t="shared" si="142"/>
        <v>0</v>
      </c>
      <c r="CM190" s="54">
        <f t="shared" si="142"/>
        <v>0</v>
      </c>
      <c r="CN190" s="54">
        <f t="shared" si="142"/>
        <v>0</v>
      </c>
      <c r="CO190" s="54">
        <f t="shared" si="142"/>
        <v>0</v>
      </c>
      <c r="CP190" s="54">
        <f t="shared" si="142"/>
        <v>0</v>
      </c>
      <c r="CQ190" s="54">
        <f t="shared" si="142"/>
        <v>0</v>
      </c>
      <c r="CR190" s="54">
        <f t="shared" si="142"/>
        <v>0</v>
      </c>
      <c r="CS190" s="54">
        <f t="shared" si="142"/>
        <v>0</v>
      </c>
      <c r="CT190" s="54">
        <f t="shared" si="142"/>
        <v>0</v>
      </c>
      <c r="CU190" s="54">
        <f t="shared" si="142"/>
        <v>0</v>
      </c>
      <c r="CV190" s="54">
        <f t="shared" si="142"/>
        <v>0</v>
      </c>
      <c r="CW190" s="54">
        <f t="shared" si="142"/>
        <v>0</v>
      </c>
      <c r="CX190" s="54">
        <f t="shared" si="142"/>
        <v>0</v>
      </c>
      <c r="CY190" s="54">
        <f t="shared" si="142"/>
        <v>0</v>
      </c>
      <c r="CZ190" s="54">
        <f t="shared" si="142"/>
        <v>0</v>
      </c>
      <c r="DA190" s="54">
        <f t="shared" si="142"/>
        <v>0</v>
      </c>
      <c r="DB190" s="54">
        <f t="shared" si="142"/>
        <v>0</v>
      </c>
      <c r="DC190" s="54">
        <f t="shared" si="142"/>
        <v>0</v>
      </c>
      <c r="DD190" s="54">
        <f t="shared" si="142"/>
        <v>0</v>
      </c>
      <c r="DE190" s="54">
        <f t="shared" si="142"/>
        <v>0</v>
      </c>
      <c r="DF190" s="54">
        <f t="shared" si="142"/>
        <v>0</v>
      </c>
      <c r="DG190" s="54">
        <f t="shared" si="142"/>
        <v>0</v>
      </c>
      <c r="DH190" s="54">
        <f t="shared" si="142"/>
        <v>0</v>
      </c>
      <c r="DI190" s="54">
        <f t="shared" si="142"/>
        <v>0</v>
      </c>
      <c r="DJ190" s="54">
        <f t="shared" si="142"/>
        <v>0</v>
      </c>
      <c r="DK190" s="54">
        <f t="shared" si="142"/>
        <v>0</v>
      </c>
      <c r="DL190" s="21">
        <f t="shared" si="142"/>
        <v>0</v>
      </c>
    </row>
  </sheetData>
  <sheetProtection formatRows="0" sort="0" autoFilter="0" pivotTables="0"/>
  <mergeCells count="2">
    <mergeCell ref="J190:L190"/>
    <mergeCell ref="K8:N8"/>
  </mergeCells>
  <phoneticPr fontId="25" type="noConversion"/>
  <conditionalFormatting sqref="A3:B3">
    <cfRule type="cellIs" dxfId="9" priority="1" operator="lessThan">
      <formula>0.4</formula>
    </cfRule>
    <cfRule type="cellIs" dxfId="8" priority="2" operator="between">
      <formula>0.4</formula>
      <formula>0.45</formula>
    </cfRule>
    <cfRule type="cellIs" dxfId="7" priority="3" operator="between">
      <formula>0.451</formula>
      <formula>0.52</formula>
    </cfRule>
    <cfRule type="cellIs" dxfId="6" priority="4" operator="between">
      <formula>0.521</formula>
      <formula>0.6</formula>
    </cfRule>
    <cfRule type="cellIs" dxfId="5" priority="5" operator="greaterThan">
      <formula>0.6</formula>
    </cfRule>
  </conditionalFormatting>
  <dataValidations count="3">
    <dataValidation type="whole" allowBlank="1" showErrorMessage="1" error="Please enter a value between 0 and 40 hours." sqref="M20:DL69" xr:uid="{999D0149-1401-4512-A052-A82D7E2B7DAE}">
      <formula1>0</formula1>
      <formula2>40</formula2>
    </dataValidation>
    <dataValidation allowBlank="1" error="Please enter a value between 0 and 40 hours." sqref="M88:DL117 M122:DL151 M156:DL185" xr:uid="{568F1B74-085C-4975-9963-83FCD4C97058}"/>
    <dataValidation type="decimal" operator="greaterThan" allowBlank="1" showErrorMessage="1" error="Please enter a value greater than 0." sqref="M74:DL83" xr:uid="{35ECE0F6-EFE9-4DCF-9DEF-2878BEC56ADA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B0D057-3737-4964-99B8-403F7D3972DB}">
          <x14:formula1>
            <xm:f>'KL Resource List'!$B$3:$B$6</xm:f>
          </x14:formula1>
          <xm:sqref>G20:G69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D78D9-C430-4910-8A5C-F543F01AD6BD}">
  <sheetPr codeName="Sheet3"/>
  <dimension ref="A1:DN192"/>
  <sheetViews>
    <sheetView showGridLines="0" zoomScale="80" zoomScaleNormal="80" workbookViewId="0">
      <pane ySplit="16" topLeftCell="A17" activePane="bottomLeft" state="frozen"/>
      <selection pane="bottomLeft" activeCell="G8" sqref="G8"/>
    </sheetView>
  </sheetViews>
  <sheetFormatPr defaultRowHeight="14.5" x14ac:dyDescent="0.35"/>
  <cols>
    <col min="1" max="1" width="14.453125" hidden="1" customWidth="1"/>
    <col min="2" max="2" width="11.6328125" hidden="1" customWidth="1"/>
    <col min="3" max="3" width="7.453125" hidden="1" customWidth="1"/>
    <col min="4" max="4" width="55.54296875" hidden="1" customWidth="1"/>
    <col min="5" max="5" width="35.6328125" bestFit="1" customWidth="1"/>
    <col min="6" max="6" width="19.90625" bestFit="1" customWidth="1"/>
    <col min="7" max="7" width="21.36328125" bestFit="1" customWidth="1"/>
    <col min="8" max="8" width="19.08984375" bestFit="1" customWidth="1"/>
    <col min="9" max="9" width="17.08984375" bestFit="1" customWidth="1"/>
    <col min="10" max="10" width="17.08984375" customWidth="1"/>
    <col min="11" max="11" width="20.36328125" customWidth="1"/>
    <col min="12" max="12" width="20.6328125" bestFit="1" customWidth="1"/>
    <col min="13" max="13" width="14.54296875" bestFit="1" customWidth="1"/>
    <col min="14" max="117" width="14.36328125" customWidth="1"/>
    <col min="118" max="118" width="19.54296875" customWidth="1"/>
  </cols>
  <sheetData>
    <row r="1" spans="1:14" hidden="1" x14ac:dyDescent="0.35"/>
    <row r="2" spans="1:14" hidden="1" x14ac:dyDescent="0.35">
      <c r="A2" s="11" t="s">
        <v>302</v>
      </c>
      <c r="B2" s="55" t="s">
        <v>281</v>
      </c>
      <c r="C2" s="13" t="s">
        <v>18</v>
      </c>
      <c r="D2" s="14" t="s">
        <v>19</v>
      </c>
      <c r="G2" s="128"/>
    </row>
    <row r="3" spans="1:14" ht="15" hidden="1" thickBot="1" x14ac:dyDescent="0.4">
      <c r="A3" s="59">
        <f>IFERROR((L70-DN70)/L70,"-")</f>
        <v>0.65789061052271469</v>
      </c>
      <c r="B3" s="60" t="str">
        <f>IFERROR((F9-DN70-K120-K154-K188-F10-F11)/(F9-F10-F11),"-")</f>
        <v>-</v>
      </c>
      <c r="C3" s="17" t="s">
        <v>20</v>
      </c>
      <c r="D3" s="14" t="s">
        <v>21</v>
      </c>
    </row>
    <row r="4" spans="1:14" hidden="1" x14ac:dyDescent="0.35">
      <c r="C4" s="18" t="s">
        <v>22</v>
      </c>
      <c r="D4" s="19" t="s">
        <v>23</v>
      </c>
    </row>
    <row r="5" spans="1:14" hidden="1" x14ac:dyDescent="0.35">
      <c r="C5" s="22" t="s">
        <v>24</v>
      </c>
      <c r="D5" s="14" t="s">
        <v>25</v>
      </c>
    </row>
    <row r="6" spans="1:14" hidden="1" x14ac:dyDescent="0.35">
      <c r="C6" s="24" t="s">
        <v>27</v>
      </c>
      <c r="D6" s="19" t="s">
        <v>28</v>
      </c>
      <c r="G6" s="128"/>
    </row>
    <row r="7" spans="1:14" x14ac:dyDescent="0.35">
      <c r="G7" s="128" t="s">
        <v>324</v>
      </c>
    </row>
    <row r="8" spans="1:14" ht="15" thickBot="1" x14ac:dyDescent="0.4">
      <c r="E8" s="128"/>
      <c r="H8" s="62"/>
      <c r="I8" s="62"/>
      <c r="J8" s="48"/>
      <c r="K8" s="258" t="s">
        <v>141</v>
      </c>
      <c r="L8" s="258"/>
      <c r="M8" s="258"/>
      <c r="N8" s="258"/>
    </row>
    <row r="9" spans="1:14" x14ac:dyDescent="0.35">
      <c r="E9" s="9" t="s">
        <v>17</v>
      </c>
      <c r="F9" s="10">
        <f>SUM(L70,F11,F12,F13)</f>
        <v>701530</v>
      </c>
      <c r="H9" s="65" t="s">
        <v>278</v>
      </c>
      <c r="I9" s="34" t="s">
        <v>269</v>
      </c>
      <c r="J9" s="34" t="s">
        <v>309</v>
      </c>
      <c r="K9" s="11" t="s">
        <v>279</v>
      </c>
      <c r="L9" s="55" t="s">
        <v>280</v>
      </c>
      <c r="M9" s="132" t="s">
        <v>319</v>
      </c>
      <c r="N9" s="132" t="s">
        <v>318</v>
      </c>
    </row>
    <row r="10" spans="1:14" ht="15" thickBot="1" x14ac:dyDescent="0.4">
      <c r="E10" s="12" t="s">
        <v>287</v>
      </c>
      <c r="F10" s="100">
        <f>L84</f>
        <v>0</v>
      </c>
      <c r="H10" s="56">
        <f>IFERROR(L70/K70,"-")</f>
        <v>2.0158908045977011</v>
      </c>
      <c r="I10" s="57">
        <f>IFERROR(L191/M191,"-")</f>
        <v>2923.0416666666665</v>
      </c>
      <c r="J10" s="58" t="str">
        <f>K120</f>
        <v>-</v>
      </c>
      <c r="K10" s="58" t="str">
        <f>IFERROR((L154-K154)/L154,"-")</f>
        <v>-</v>
      </c>
      <c r="L10" s="87" t="str">
        <f>IFERROR((L188-K188)/L188,"-")</f>
        <v>-</v>
      </c>
      <c r="M10" s="87">
        <f>A3</f>
        <v>0.65789061052271469</v>
      </c>
      <c r="N10" s="87" t="str">
        <f>B3</f>
        <v>-</v>
      </c>
    </row>
    <row r="11" spans="1:14" x14ac:dyDescent="0.35">
      <c r="E11" s="15" t="s">
        <v>284</v>
      </c>
      <c r="F11" s="16">
        <f>L120</f>
        <v>0</v>
      </c>
    </row>
    <row r="12" spans="1:14" x14ac:dyDescent="0.35">
      <c r="E12" s="15" t="s">
        <v>285</v>
      </c>
      <c r="F12" s="16">
        <f>L154</f>
        <v>0</v>
      </c>
    </row>
    <row r="13" spans="1:14" ht="15" thickBot="1" x14ac:dyDescent="0.4">
      <c r="E13" s="20" t="s">
        <v>286</v>
      </c>
      <c r="F13" s="21">
        <f>L188</f>
        <v>0</v>
      </c>
    </row>
    <row r="14" spans="1:14" ht="15" thickBot="1" x14ac:dyDescent="0.4">
      <c r="E14" s="19"/>
      <c r="F14" s="23"/>
    </row>
    <row r="15" spans="1:14" x14ac:dyDescent="0.35">
      <c r="E15" s="9" t="s">
        <v>306</v>
      </c>
      <c r="F15" s="10">
        <f>F9-F10</f>
        <v>701530</v>
      </c>
    </row>
    <row r="16" spans="1:14" ht="15" thickBot="1" x14ac:dyDescent="0.4">
      <c r="E16" s="25" t="s">
        <v>311</v>
      </c>
      <c r="F16" s="64">
        <f>F15*'Data Validation'!D3</f>
        <v>9119.89</v>
      </c>
    </row>
    <row r="17" spans="5:118" ht="16" thickBot="1" x14ac:dyDescent="0.4">
      <c r="E17" s="26"/>
      <c r="F17" s="27"/>
    </row>
    <row r="18" spans="5:118" ht="15" thickBot="1" x14ac:dyDescent="0.4">
      <c r="E18" s="28" t="s">
        <v>151</v>
      </c>
      <c r="N18" s="29">
        <f>FrontPage!B9</f>
        <v>46020.229166666664</v>
      </c>
      <c r="O18" s="30">
        <f>N18+7</f>
        <v>46027.229166666664</v>
      </c>
      <c r="P18" s="30">
        <f t="shared" ref="P18:CA18" si="0">O18+7</f>
        <v>46034.229166666664</v>
      </c>
      <c r="Q18" s="30">
        <f t="shared" si="0"/>
        <v>46041.229166666664</v>
      </c>
      <c r="R18" s="30">
        <f t="shared" si="0"/>
        <v>46048.229166666664</v>
      </c>
      <c r="S18" s="30">
        <f t="shared" si="0"/>
        <v>46055.229166666664</v>
      </c>
      <c r="T18" s="30">
        <f t="shared" si="0"/>
        <v>46062.229166666664</v>
      </c>
      <c r="U18" s="30">
        <f t="shared" si="0"/>
        <v>46069.229166666664</v>
      </c>
      <c r="V18" s="30">
        <f t="shared" si="0"/>
        <v>46076.229166666664</v>
      </c>
      <c r="W18" s="30">
        <f t="shared" si="0"/>
        <v>46083.229166666664</v>
      </c>
      <c r="X18" s="30">
        <f t="shared" si="0"/>
        <v>46090.229166666664</v>
      </c>
      <c r="Y18" s="30">
        <f t="shared" si="0"/>
        <v>46097.229166666664</v>
      </c>
      <c r="Z18" s="30">
        <f t="shared" si="0"/>
        <v>46104.229166666664</v>
      </c>
      <c r="AA18" s="30">
        <f t="shared" si="0"/>
        <v>46111.229166666664</v>
      </c>
      <c r="AB18" s="30">
        <f t="shared" si="0"/>
        <v>46118.229166666664</v>
      </c>
      <c r="AC18" s="30">
        <f t="shared" si="0"/>
        <v>46125.229166666664</v>
      </c>
      <c r="AD18" s="30">
        <f t="shared" si="0"/>
        <v>46132.229166666664</v>
      </c>
      <c r="AE18" s="30">
        <f t="shared" si="0"/>
        <v>46139.229166666664</v>
      </c>
      <c r="AF18" s="30">
        <f t="shared" si="0"/>
        <v>46146.229166666664</v>
      </c>
      <c r="AG18" s="30">
        <f t="shared" si="0"/>
        <v>46153.229166666664</v>
      </c>
      <c r="AH18" s="30">
        <f t="shared" si="0"/>
        <v>46160.229166666664</v>
      </c>
      <c r="AI18" s="30">
        <f t="shared" si="0"/>
        <v>46167.229166666664</v>
      </c>
      <c r="AJ18" s="30">
        <f t="shared" si="0"/>
        <v>46174.229166666664</v>
      </c>
      <c r="AK18" s="30">
        <f t="shared" si="0"/>
        <v>46181.229166666664</v>
      </c>
      <c r="AL18" s="30">
        <f t="shared" si="0"/>
        <v>46188.229166666664</v>
      </c>
      <c r="AM18" s="30">
        <f t="shared" si="0"/>
        <v>46195.229166666664</v>
      </c>
      <c r="AN18" s="30">
        <f t="shared" si="0"/>
        <v>46202.229166666664</v>
      </c>
      <c r="AO18" s="30">
        <f t="shared" si="0"/>
        <v>46209.229166666664</v>
      </c>
      <c r="AP18" s="30">
        <f t="shared" si="0"/>
        <v>46216.229166666664</v>
      </c>
      <c r="AQ18" s="30">
        <f t="shared" si="0"/>
        <v>46223.229166666664</v>
      </c>
      <c r="AR18" s="30">
        <f t="shared" si="0"/>
        <v>46230.229166666664</v>
      </c>
      <c r="AS18" s="30">
        <f t="shared" si="0"/>
        <v>46237.229166666664</v>
      </c>
      <c r="AT18" s="30">
        <f t="shared" si="0"/>
        <v>46244.229166666664</v>
      </c>
      <c r="AU18" s="30">
        <f t="shared" si="0"/>
        <v>46251.229166666664</v>
      </c>
      <c r="AV18" s="30">
        <f t="shared" si="0"/>
        <v>46258.229166666664</v>
      </c>
      <c r="AW18" s="30">
        <f t="shared" si="0"/>
        <v>46265.229166666664</v>
      </c>
      <c r="AX18" s="30">
        <f t="shared" si="0"/>
        <v>46272.229166666664</v>
      </c>
      <c r="AY18" s="30">
        <f t="shared" si="0"/>
        <v>46279.229166666664</v>
      </c>
      <c r="AZ18" s="30">
        <f t="shared" si="0"/>
        <v>46286.229166666664</v>
      </c>
      <c r="BA18" s="30">
        <f t="shared" si="0"/>
        <v>46293.229166666664</v>
      </c>
      <c r="BB18" s="30">
        <f t="shared" si="0"/>
        <v>46300.229166666664</v>
      </c>
      <c r="BC18" s="30">
        <f t="shared" si="0"/>
        <v>46307.229166666664</v>
      </c>
      <c r="BD18" s="30">
        <f t="shared" si="0"/>
        <v>46314.229166666664</v>
      </c>
      <c r="BE18" s="30">
        <f t="shared" si="0"/>
        <v>46321.229166666664</v>
      </c>
      <c r="BF18" s="30">
        <f t="shared" si="0"/>
        <v>46328.229166666664</v>
      </c>
      <c r="BG18" s="30">
        <f t="shared" si="0"/>
        <v>46335.229166666664</v>
      </c>
      <c r="BH18" s="30">
        <f t="shared" si="0"/>
        <v>46342.229166666664</v>
      </c>
      <c r="BI18" s="30">
        <f t="shared" si="0"/>
        <v>46349.229166666664</v>
      </c>
      <c r="BJ18" s="30">
        <f t="shared" si="0"/>
        <v>46356.229166666664</v>
      </c>
      <c r="BK18" s="30">
        <f t="shared" si="0"/>
        <v>46363.229166666664</v>
      </c>
      <c r="BL18" s="30">
        <f t="shared" si="0"/>
        <v>46370.229166666664</v>
      </c>
      <c r="BM18" s="30">
        <f t="shared" si="0"/>
        <v>46377.229166666664</v>
      </c>
      <c r="BN18" s="30">
        <f t="shared" si="0"/>
        <v>46384.229166666664</v>
      </c>
      <c r="BO18" s="30">
        <f t="shared" si="0"/>
        <v>46391.229166666664</v>
      </c>
      <c r="BP18" s="30">
        <f t="shared" si="0"/>
        <v>46398.229166666664</v>
      </c>
      <c r="BQ18" s="30">
        <f t="shared" si="0"/>
        <v>46405.229166666664</v>
      </c>
      <c r="BR18" s="30">
        <f t="shared" si="0"/>
        <v>46412.229166666664</v>
      </c>
      <c r="BS18" s="30">
        <f t="shared" si="0"/>
        <v>46419.229166666664</v>
      </c>
      <c r="BT18" s="30">
        <f t="shared" si="0"/>
        <v>46426.229166666664</v>
      </c>
      <c r="BU18" s="30">
        <f t="shared" si="0"/>
        <v>46433.229166666664</v>
      </c>
      <c r="BV18" s="30">
        <f t="shared" si="0"/>
        <v>46440.229166666664</v>
      </c>
      <c r="BW18" s="30">
        <f t="shared" si="0"/>
        <v>46447.229166666664</v>
      </c>
      <c r="BX18" s="30">
        <f t="shared" si="0"/>
        <v>46454.229166666664</v>
      </c>
      <c r="BY18" s="30">
        <f t="shared" si="0"/>
        <v>46461.229166666664</v>
      </c>
      <c r="BZ18" s="30">
        <f t="shared" si="0"/>
        <v>46468.229166666664</v>
      </c>
      <c r="CA18" s="30">
        <f t="shared" si="0"/>
        <v>46475.229166666664</v>
      </c>
      <c r="CB18" s="30">
        <f t="shared" ref="CB18:DM18" si="1">CA18+7</f>
        <v>46482.229166666664</v>
      </c>
      <c r="CC18" s="30">
        <f t="shared" si="1"/>
        <v>46489.229166666664</v>
      </c>
      <c r="CD18" s="30">
        <f t="shared" si="1"/>
        <v>46496.229166666664</v>
      </c>
      <c r="CE18" s="30">
        <f t="shared" si="1"/>
        <v>46503.229166666664</v>
      </c>
      <c r="CF18" s="30">
        <f t="shared" si="1"/>
        <v>46510.229166666664</v>
      </c>
      <c r="CG18" s="30">
        <f t="shared" si="1"/>
        <v>46517.229166666664</v>
      </c>
      <c r="CH18" s="30">
        <f t="shared" si="1"/>
        <v>46524.229166666664</v>
      </c>
      <c r="CI18" s="30">
        <f t="shared" si="1"/>
        <v>46531.229166666664</v>
      </c>
      <c r="CJ18" s="30">
        <f t="shared" si="1"/>
        <v>46538.229166666664</v>
      </c>
      <c r="CK18" s="30">
        <f t="shared" si="1"/>
        <v>46545.229166666664</v>
      </c>
      <c r="CL18" s="30">
        <f t="shared" si="1"/>
        <v>46552.229166666664</v>
      </c>
      <c r="CM18" s="30">
        <f t="shared" si="1"/>
        <v>46559.229166666664</v>
      </c>
      <c r="CN18" s="30">
        <f t="shared" si="1"/>
        <v>46566.229166666664</v>
      </c>
      <c r="CO18" s="30">
        <f t="shared" si="1"/>
        <v>46573.229166666664</v>
      </c>
      <c r="CP18" s="30">
        <f t="shared" si="1"/>
        <v>46580.229166666664</v>
      </c>
      <c r="CQ18" s="30">
        <f t="shared" si="1"/>
        <v>46587.229166666664</v>
      </c>
      <c r="CR18" s="30">
        <f t="shared" si="1"/>
        <v>46594.229166666664</v>
      </c>
      <c r="CS18" s="30">
        <f t="shared" si="1"/>
        <v>46601.229166666664</v>
      </c>
      <c r="CT18" s="30">
        <f t="shared" si="1"/>
        <v>46608.229166666664</v>
      </c>
      <c r="CU18" s="30">
        <f t="shared" si="1"/>
        <v>46615.229166666664</v>
      </c>
      <c r="CV18" s="30">
        <f t="shared" si="1"/>
        <v>46622.229166666664</v>
      </c>
      <c r="CW18" s="30">
        <f t="shared" si="1"/>
        <v>46629.229166666664</v>
      </c>
      <c r="CX18" s="30">
        <f t="shared" si="1"/>
        <v>46636.229166666664</v>
      </c>
      <c r="CY18" s="30">
        <f t="shared" si="1"/>
        <v>46643.229166666664</v>
      </c>
      <c r="CZ18" s="30">
        <f t="shared" si="1"/>
        <v>46650.229166666664</v>
      </c>
      <c r="DA18" s="30">
        <f t="shared" si="1"/>
        <v>46657.229166666664</v>
      </c>
      <c r="DB18" s="30">
        <f t="shared" si="1"/>
        <v>46664.229166666664</v>
      </c>
      <c r="DC18" s="30">
        <f t="shared" si="1"/>
        <v>46671.229166666664</v>
      </c>
      <c r="DD18" s="30">
        <f t="shared" si="1"/>
        <v>46678.229166666664</v>
      </c>
      <c r="DE18" s="30">
        <f t="shared" si="1"/>
        <v>46685.229166666664</v>
      </c>
      <c r="DF18" s="30">
        <f t="shared" si="1"/>
        <v>46692.229166666664</v>
      </c>
      <c r="DG18" s="30">
        <f t="shared" si="1"/>
        <v>46699.229166666664</v>
      </c>
      <c r="DH18" s="30">
        <f t="shared" si="1"/>
        <v>46706.229166666664</v>
      </c>
      <c r="DI18" s="30">
        <f t="shared" si="1"/>
        <v>46713.229166666664</v>
      </c>
      <c r="DJ18" s="30">
        <f t="shared" si="1"/>
        <v>46720.229166666664</v>
      </c>
      <c r="DK18" s="30">
        <f t="shared" si="1"/>
        <v>46727.229166666664</v>
      </c>
      <c r="DL18" s="30">
        <f t="shared" si="1"/>
        <v>46734.229166666664</v>
      </c>
      <c r="DM18" s="30">
        <f t="shared" si="1"/>
        <v>46741.229166666664</v>
      </c>
      <c r="DN18" s="31"/>
    </row>
    <row r="19" spans="5:118" s="19" customFormat="1" ht="30" customHeight="1" x14ac:dyDescent="0.3">
      <c r="E19" s="28" t="s">
        <v>29</v>
      </c>
      <c r="F19" s="32" t="s">
        <v>145</v>
      </c>
      <c r="G19" s="32" t="s">
        <v>146</v>
      </c>
      <c r="H19" s="33" t="s">
        <v>30</v>
      </c>
      <c r="I19" s="33" t="s">
        <v>264</v>
      </c>
      <c r="J19" s="33" t="s">
        <v>140</v>
      </c>
      <c r="K19" s="33" t="s">
        <v>32</v>
      </c>
      <c r="L19" s="33" t="s">
        <v>283</v>
      </c>
      <c r="M19" s="33" t="s">
        <v>34</v>
      </c>
      <c r="N19" s="34" t="s">
        <v>35</v>
      </c>
      <c r="O19" s="33" t="s">
        <v>36</v>
      </c>
      <c r="P19" s="33" t="s">
        <v>37</v>
      </c>
      <c r="Q19" s="33" t="s">
        <v>38</v>
      </c>
      <c r="R19" s="33" t="s">
        <v>39</v>
      </c>
      <c r="S19" s="33" t="s">
        <v>40</v>
      </c>
      <c r="T19" s="33" t="s">
        <v>41</v>
      </c>
      <c r="U19" s="33" t="s">
        <v>42</v>
      </c>
      <c r="V19" s="33" t="s">
        <v>43</v>
      </c>
      <c r="W19" s="33" t="s">
        <v>44</v>
      </c>
      <c r="X19" s="33" t="s">
        <v>45</v>
      </c>
      <c r="Y19" s="33" t="s">
        <v>46</v>
      </c>
      <c r="Z19" s="33" t="s">
        <v>47</v>
      </c>
      <c r="AA19" s="33" t="s">
        <v>48</v>
      </c>
      <c r="AB19" s="33" t="s">
        <v>49</v>
      </c>
      <c r="AC19" s="33" t="s">
        <v>50</v>
      </c>
      <c r="AD19" s="33" t="s">
        <v>51</v>
      </c>
      <c r="AE19" s="33" t="s">
        <v>52</v>
      </c>
      <c r="AF19" s="33" t="s">
        <v>53</v>
      </c>
      <c r="AG19" s="33" t="s">
        <v>54</v>
      </c>
      <c r="AH19" s="33" t="s">
        <v>55</v>
      </c>
      <c r="AI19" s="33" t="s">
        <v>56</v>
      </c>
      <c r="AJ19" s="33" t="s">
        <v>57</v>
      </c>
      <c r="AK19" s="33" t="s">
        <v>58</v>
      </c>
      <c r="AL19" s="33" t="s">
        <v>59</v>
      </c>
      <c r="AM19" s="33" t="s">
        <v>60</v>
      </c>
      <c r="AN19" s="33" t="s">
        <v>61</v>
      </c>
      <c r="AO19" s="33" t="s">
        <v>62</v>
      </c>
      <c r="AP19" s="33" t="s">
        <v>63</v>
      </c>
      <c r="AQ19" s="33" t="s">
        <v>64</v>
      </c>
      <c r="AR19" s="33" t="s">
        <v>65</v>
      </c>
      <c r="AS19" s="33" t="s">
        <v>66</v>
      </c>
      <c r="AT19" s="33" t="s">
        <v>67</v>
      </c>
      <c r="AU19" s="33" t="s">
        <v>68</v>
      </c>
      <c r="AV19" s="33" t="s">
        <v>69</v>
      </c>
      <c r="AW19" s="33" t="s">
        <v>70</v>
      </c>
      <c r="AX19" s="33" t="s">
        <v>71</v>
      </c>
      <c r="AY19" s="33" t="s">
        <v>72</v>
      </c>
      <c r="AZ19" s="33" t="s">
        <v>73</v>
      </c>
      <c r="BA19" s="33" t="s">
        <v>74</v>
      </c>
      <c r="BB19" s="33" t="s">
        <v>75</v>
      </c>
      <c r="BC19" s="33" t="s">
        <v>76</v>
      </c>
      <c r="BD19" s="33" t="s">
        <v>77</v>
      </c>
      <c r="BE19" s="33" t="s">
        <v>78</v>
      </c>
      <c r="BF19" s="33" t="s">
        <v>79</v>
      </c>
      <c r="BG19" s="33" t="s">
        <v>80</v>
      </c>
      <c r="BH19" s="33" t="s">
        <v>81</v>
      </c>
      <c r="BI19" s="33" t="s">
        <v>82</v>
      </c>
      <c r="BJ19" s="33" t="s">
        <v>83</v>
      </c>
      <c r="BK19" s="33" t="s">
        <v>84</v>
      </c>
      <c r="BL19" s="33" t="s">
        <v>85</v>
      </c>
      <c r="BM19" s="33" t="s">
        <v>86</v>
      </c>
      <c r="BN19" s="33" t="s">
        <v>87</v>
      </c>
      <c r="BO19" s="33" t="s">
        <v>88</v>
      </c>
      <c r="BP19" s="33" t="s">
        <v>89</v>
      </c>
      <c r="BQ19" s="33" t="s">
        <v>90</v>
      </c>
      <c r="BR19" s="33" t="s">
        <v>91</v>
      </c>
      <c r="BS19" s="33" t="s">
        <v>92</v>
      </c>
      <c r="BT19" s="33" t="s">
        <v>93</v>
      </c>
      <c r="BU19" s="33" t="s">
        <v>94</v>
      </c>
      <c r="BV19" s="33" t="s">
        <v>95</v>
      </c>
      <c r="BW19" s="33" t="s">
        <v>96</v>
      </c>
      <c r="BX19" s="33" t="s">
        <v>97</v>
      </c>
      <c r="BY19" s="33" t="s">
        <v>98</v>
      </c>
      <c r="BZ19" s="33" t="s">
        <v>99</v>
      </c>
      <c r="CA19" s="33" t="s">
        <v>100</v>
      </c>
      <c r="CB19" s="33" t="s">
        <v>101</v>
      </c>
      <c r="CC19" s="33" t="s">
        <v>102</v>
      </c>
      <c r="CD19" s="33" t="s">
        <v>103</v>
      </c>
      <c r="CE19" s="33" t="s">
        <v>104</v>
      </c>
      <c r="CF19" s="33" t="s">
        <v>105</v>
      </c>
      <c r="CG19" s="33" t="s">
        <v>106</v>
      </c>
      <c r="CH19" s="33" t="s">
        <v>107</v>
      </c>
      <c r="CI19" s="33" t="s">
        <v>108</v>
      </c>
      <c r="CJ19" s="33" t="s">
        <v>109</v>
      </c>
      <c r="CK19" s="33" t="s">
        <v>110</v>
      </c>
      <c r="CL19" s="33" t="s">
        <v>111</v>
      </c>
      <c r="CM19" s="33" t="s">
        <v>112</v>
      </c>
      <c r="CN19" s="33" t="s">
        <v>113</v>
      </c>
      <c r="CO19" s="33" t="s">
        <v>114</v>
      </c>
      <c r="CP19" s="33" t="s">
        <v>115</v>
      </c>
      <c r="CQ19" s="33" t="s">
        <v>116</v>
      </c>
      <c r="CR19" s="33" t="s">
        <v>117</v>
      </c>
      <c r="CS19" s="33" t="s">
        <v>118</v>
      </c>
      <c r="CT19" s="33" t="s">
        <v>119</v>
      </c>
      <c r="CU19" s="33" t="s">
        <v>120</v>
      </c>
      <c r="CV19" s="33" t="s">
        <v>121</v>
      </c>
      <c r="CW19" s="33" t="s">
        <v>122</v>
      </c>
      <c r="CX19" s="33" t="s">
        <v>123</v>
      </c>
      <c r="CY19" s="33" t="s">
        <v>124</v>
      </c>
      <c r="CZ19" s="33" t="s">
        <v>125</v>
      </c>
      <c r="DA19" s="33" t="s">
        <v>126</v>
      </c>
      <c r="DB19" s="33" t="s">
        <v>127</v>
      </c>
      <c r="DC19" s="33" t="s">
        <v>128</v>
      </c>
      <c r="DD19" s="33" t="s">
        <v>129</v>
      </c>
      <c r="DE19" s="33" t="s">
        <v>130</v>
      </c>
      <c r="DF19" s="33" t="s">
        <v>131</v>
      </c>
      <c r="DG19" s="33" t="s">
        <v>132</v>
      </c>
      <c r="DH19" s="33" t="s">
        <v>133</v>
      </c>
      <c r="DI19" s="33" t="s">
        <v>134</v>
      </c>
      <c r="DJ19" s="33" t="s">
        <v>135</v>
      </c>
      <c r="DK19" s="33" t="s">
        <v>136</v>
      </c>
      <c r="DL19" s="33" t="s">
        <v>137</v>
      </c>
      <c r="DM19" s="33" t="s">
        <v>138</v>
      </c>
      <c r="DN19" s="35" t="s">
        <v>139</v>
      </c>
    </row>
    <row r="20" spans="5:118" x14ac:dyDescent="0.35">
      <c r="E20" s="111"/>
      <c r="F20" s="112" t="s">
        <v>329</v>
      </c>
      <c r="G20" s="112" t="s">
        <v>320</v>
      </c>
      <c r="H20" s="38">
        <f t="shared" ref="H20:H51" si="2">IFERROR(VLOOKUP(G20,Resource_List,2,FALSE),0)</f>
        <v>1450</v>
      </c>
      <c r="I20" s="116">
        <f>22769/8</f>
        <v>2846.125</v>
      </c>
      <c r="J20" s="38">
        <f>IF(I20="",H20,I20)</f>
        <v>2846.125</v>
      </c>
      <c r="K20" s="38">
        <f t="shared" ref="K20:K51" si="3">H20*M20</f>
        <v>232000</v>
      </c>
      <c r="L20" s="38">
        <f>J20*M20</f>
        <v>455380</v>
      </c>
      <c r="M20" s="39">
        <f>SUM(N20:DM20)</f>
        <v>160</v>
      </c>
      <c r="N20" s="113">
        <v>8</v>
      </c>
      <c r="O20" s="113">
        <v>40</v>
      </c>
      <c r="P20" s="113">
        <v>40</v>
      </c>
      <c r="Q20" s="113">
        <v>40</v>
      </c>
      <c r="R20" s="113">
        <v>32</v>
      </c>
      <c r="S20" s="113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  <c r="AW20" s="113"/>
      <c r="AX20" s="113"/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13"/>
      <c r="BK20" s="113"/>
      <c r="BL20" s="113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  <c r="BY20" s="113"/>
      <c r="BZ20" s="113"/>
      <c r="CA20" s="113"/>
      <c r="CB20" s="113"/>
      <c r="CC20" s="113"/>
      <c r="CD20" s="113"/>
      <c r="CE20" s="113"/>
      <c r="CF20" s="113"/>
      <c r="CG20" s="113"/>
      <c r="CH20" s="113"/>
      <c r="CI20" s="113"/>
      <c r="CJ20" s="113"/>
      <c r="CK20" s="113"/>
      <c r="CL20" s="113"/>
      <c r="CM20" s="113"/>
      <c r="CN20" s="113"/>
      <c r="CO20" s="113"/>
      <c r="CP20" s="113"/>
      <c r="CQ20" s="113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3"/>
      <c r="DE20" s="113"/>
      <c r="DF20" s="113"/>
      <c r="DG20" s="113"/>
      <c r="DH20" s="113"/>
      <c r="DI20" s="113"/>
      <c r="DJ20" s="113"/>
      <c r="DK20" s="113"/>
      <c r="DL20" s="113"/>
      <c r="DM20" s="113"/>
      <c r="DN20" s="16">
        <f t="shared" ref="DN20:DN51" si="4">IFERROR((M20*VLOOKUP(G20,Resource_List,3,FALSE)),0)</f>
        <v>160000</v>
      </c>
    </row>
    <row r="21" spans="5:118" x14ac:dyDescent="0.35">
      <c r="E21" s="111"/>
      <c r="F21" s="112" t="s">
        <v>330</v>
      </c>
      <c r="G21" s="112" t="s">
        <v>320</v>
      </c>
      <c r="H21" s="38">
        <f t="shared" si="2"/>
        <v>1450</v>
      </c>
      <c r="I21" s="116">
        <f>24615/8</f>
        <v>3076.875</v>
      </c>
      <c r="J21" s="38">
        <f t="shared" ref="J21:J69" si="5">IF(I21="",H21,I21)</f>
        <v>3076.875</v>
      </c>
      <c r="K21" s="38">
        <f t="shared" si="3"/>
        <v>116000</v>
      </c>
      <c r="L21" s="38">
        <f t="shared" ref="L21:L69" si="6">J21*M21</f>
        <v>246150</v>
      </c>
      <c r="M21" s="39">
        <f t="shared" ref="M21:M69" si="7">SUM(N21:DM21)</f>
        <v>80</v>
      </c>
      <c r="N21" s="113"/>
      <c r="O21" s="113"/>
      <c r="P21" s="113">
        <v>8</v>
      </c>
      <c r="Q21" s="113">
        <v>40</v>
      </c>
      <c r="R21" s="113">
        <v>32</v>
      </c>
      <c r="S21" s="113"/>
      <c r="T21" s="113"/>
      <c r="U21" s="113"/>
      <c r="V21" s="113"/>
      <c r="W21" s="113"/>
      <c r="X21" s="113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  <c r="AU21" s="113"/>
      <c r="AV21" s="113"/>
      <c r="AW21" s="113"/>
      <c r="AX21" s="113"/>
      <c r="AY21" s="113"/>
      <c r="AZ21" s="113"/>
      <c r="BA21" s="113"/>
      <c r="BB21" s="113"/>
      <c r="BC21" s="113"/>
      <c r="BD21" s="113"/>
      <c r="BE21" s="113"/>
      <c r="BF21" s="113"/>
      <c r="BG21" s="113"/>
      <c r="BH21" s="113"/>
      <c r="BI21" s="113"/>
      <c r="BJ21" s="113"/>
      <c r="BK21" s="113"/>
      <c r="BL21" s="113"/>
      <c r="BM21" s="113"/>
      <c r="BN21" s="113"/>
      <c r="BO21" s="113"/>
      <c r="BP21" s="113"/>
      <c r="BQ21" s="113"/>
      <c r="BR21" s="113"/>
      <c r="BS21" s="113"/>
      <c r="BT21" s="113"/>
      <c r="BU21" s="113"/>
      <c r="BV21" s="113"/>
      <c r="BW21" s="113"/>
      <c r="BX21" s="113"/>
      <c r="BY21" s="113"/>
      <c r="BZ21" s="113"/>
      <c r="CA21" s="113"/>
      <c r="CB21" s="113"/>
      <c r="CC21" s="113"/>
      <c r="CD21" s="113"/>
      <c r="CE21" s="113"/>
      <c r="CF21" s="113"/>
      <c r="CG21" s="113"/>
      <c r="CH21" s="113"/>
      <c r="CI21" s="113"/>
      <c r="CJ21" s="113"/>
      <c r="CK21" s="113"/>
      <c r="CL21" s="113"/>
      <c r="CM21" s="113"/>
      <c r="CN21" s="113"/>
      <c r="CO21" s="113"/>
      <c r="CP21" s="113"/>
      <c r="CQ21" s="113"/>
      <c r="CR21" s="113"/>
      <c r="CS21" s="113"/>
      <c r="CT21" s="113"/>
      <c r="CU21" s="113"/>
      <c r="CV21" s="113"/>
      <c r="CW21" s="113"/>
      <c r="CX21" s="113"/>
      <c r="CY21" s="113"/>
      <c r="CZ21" s="113"/>
      <c r="DA21" s="113"/>
      <c r="DB21" s="113"/>
      <c r="DC21" s="113"/>
      <c r="DD21" s="113"/>
      <c r="DE21" s="113"/>
      <c r="DF21" s="113"/>
      <c r="DG21" s="113"/>
      <c r="DH21" s="113"/>
      <c r="DI21" s="113"/>
      <c r="DJ21" s="113"/>
      <c r="DK21" s="113"/>
      <c r="DL21" s="113"/>
      <c r="DM21" s="113"/>
      <c r="DN21" s="16">
        <f t="shared" si="4"/>
        <v>80000</v>
      </c>
    </row>
    <row r="22" spans="5:118" x14ac:dyDescent="0.35">
      <c r="E22" s="111"/>
      <c r="F22" s="112"/>
      <c r="G22" s="112"/>
      <c r="H22" s="38">
        <f t="shared" si="2"/>
        <v>0</v>
      </c>
      <c r="I22" s="116"/>
      <c r="J22" s="38">
        <f t="shared" si="5"/>
        <v>0</v>
      </c>
      <c r="K22" s="38">
        <f t="shared" si="3"/>
        <v>0</v>
      </c>
      <c r="L22" s="38">
        <f t="shared" si="6"/>
        <v>0</v>
      </c>
      <c r="M22" s="39">
        <f t="shared" si="7"/>
        <v>0</v>
      </c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  <c r="AW22" s="113"/>
      <c r="AX22" s="113"/>
      <c r="AY22" s="113"/>
      <c r="AZ22" s="113"/>
      <c r="BA22" s="113"/>
      <c r="BB22" s="113"/>
      <c r="BC22" s="113"/>
      <c r="BD22" s="113"/>
      <c r="BE22" s="113"/>
      <c r="BF22" s="113"/>
      <c r="BG22" s="113"/>
      <c r="BH22" s="113"/>
      <c r="BI22" s="113"/>
      <c r="BJ22" s="113"/>
      <c r="BK22" s="113"/>
      <c r="BL22" s="113"/>
      <c r="BM22" s="113"/>
      <c r="BN22" s="113"/>
      <c r="BO22" s="113"/>
      <c r="BP22" s="113"/>
      <c r="BQ22" s="113"/>
      <c r="BR22" s="113"/>
      <c r="BS22" s="113"/>
      <c r="BT22" s="113"/>
      <c r="BU22" s="113"/>
      <c r="BV22" s="113"/>
      <c r="BW22" s="113"/>
      <c r="BX22" s="113"/>
      <c r="BY22" s="113"/>
      <c r="BZ22" s="113"/>
      <c r="CA22" s="113"/>
      <c r="CB22" s="113"/>
      <c r="CC22" s="113"/>
      <c r="CD22" s="113"/>
      <c r="CE22" s="113"/>
      <c r="CF22" s="113"/>
      <c r="CG22" s="113"/>
      <c r="CH22" s="113"/>
      <c r="CI22" s="113"/>
      <c r="CJ22" s="113"/>
      <c r="CK22" s="113"/>
      <c r="CL22" s="113"/>
      <c r="CM22" s="113"/>
      <c r="CN22" s="113"/>
      <c r="CO22" s="113"/>
      <c r="CP22" s="113"/>
      <c r="CQ22" s="113"/>
      <c r="CR22" s="113"/>
      <c r="CS22" s="113"/>
      <c r="CT22" s="113"/>
      <c r="CU22" s="113"/>
      <c r="CV22" s="113"/>
      <c r="CW22" s="113"/>
      <c r="CX22" s="113"/>
      <c r="CY22" s="113"/>
      <c r="CZ22" s="113"/>
      <c r="DA22" s="113"/>
      <c r="DB22" s="113"/>
      <c r="DC22" s="113"/>
      <c r="DD22" s="113"/>
      <c r="DE22" s="113"/>
      <c r="DF22" s="113"/>
      <c r="DG22" s="113"/>
      <c r="DH22" s="113"/>
      <c r="DI22" s="113"/>
      <c r="DJ22" s="113"/>
      <c r="DK22" s="113"/>
      <c r="DL22" s="113"/>
      <c r="DM22" s="113"/>
      <c r="DN22" s="16">
        <f t="shared" si="4"/>
        <v>0</v>
      </c>
    </row>
    <row r="23" spans="5:118" x14ac:dyDescent="0.35">
      <c r="E23" s="111"/>
      <c r="F23" s="112"/>
      <c r="G23" s="112"/>
      <c r="H23" s="38">
        <f t="shared" si="2"/>
        <v>0</v>
      </c>
      <c r="I23" s="116"/>
      <c r="J23" s="38">
        <f t="shared" si="5"/>
        <v>0</v>
      </c>
      <c r="K23" s="38">
        <f t="shared" si="3"/>
        <v>0</v>
      </c>
      <c r="L23" s="38">
        <f t="shared" si="6"/>
        <v>0</v>
      </c>
      <c r="M23" s="39">
        <f t="shared" si="7"/>
        <v>0</v>
      </c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  <c r="AC23" s="113"/>
      <c r="AD23" s="11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  <c r="AU23" s="113"/>
      <c r="AV23" s="113"/>
      <c r="AW23" s="113"/>
      <c r="AX23" s="113"/>
      <c r="AY23" s="113"/>
      <c r="AZ23" s="113"/>
      <c r="BA23" s="113"/>
      <c r="BB23" s="113"/>
      <c r="BC23" s="113"/>
      <c r="BD23" s="113"/>
      <c r="BE23" s="113"/>
      <c r="BF23" s="113"/>
      <c r="BG23" s="113"/>
      <c r="BH23" s="113"/>
      <c r="BI23" s="113"/>
      <c r="BJ23" s="113"/>
      <c r="BK23" s="113"/>
      <c r="BL23" s="113"/>
      <c r="BM23" s="113"/>
      <c r="BN23" s="113"/>
      <c r="BO23" s="113"/>
      <c r="BP23" s="113"/>
      <c r="BQ23" s="113"/>
      <c r="BR23" s="113"/>
      <c r="BS23" s="113"/>
      <c r="BT23" s="113"/>
      <c r="BU23" s="113"/>
      <c r="BV23" s="113"/>
      <c r="BW23" s="113"/>
      <c r="BX23" s="113"/>
      <c r="BY23" s="113"/>
      <c r="BZ23" s="113"/>
      <c r="CA23" s="113"/>
      <c r="CB23" s="113"/>
      <c r="CC23" s="113"/>
      <c r="CD23" s="113"/>
      <c r="CE23" s="113"/>
      <c r="CF23" s="113"/>
      <c r="CG23" s="113"/>
      <c r="CH23" s="113"/>
      <c r="CI23" s="113"/>
      <c r="CJ23" s="113"/>
      <c r="CK23" s="113"/>
      <c r="CL23" s="113"/>
      <c r="CM23" s="113"/>
      <c r="CN23" s="113"/>
      <c r="CO23" s="113"/>
      <c r="CP23" s="113"/>
      <c r="CQ23" s="113"/>
      <c r="CR23" s="113"/>
      <c r="CS23" s="113"/>
      <c r="CT23" s="113"/>
      <c r="CU23" s="113"/>
      <c r="CV23" s="113"/>
      <c r="CW23" s="113"/>
      <c r="CX23" s="113"/>
      <c r="CY23" s="113"/>
      <c r="CZ23" s="113"/>
      <c r="DA23" s="113"/>
      <c r="DB23" s="113"/>
      <c r="DC23" s="113"/>
      <c r="DD23" s="113"/>
      <c r="DE23" s="113"/>
      <c r="DF23" s="113"/>
      <c r="DG23" s="113"/>
      <c r="DH23" s="113"/>
      <c r="DI23" s="113"/>
      <c r="DJ23" s="113"/>
      <c r="DK23" s="113"/>
      <c r="DL23" s="113"/>
      <c r="DM23" s="113"/>
      <c r="DN23" s="16">
        <f t="shared" si="4"/>
        <v>0</v>
      </c>
    </row>
    <row r="24" spans="5:118" x14ac:dyDescent="0.35">
      <c r="E24" s="111"/>
      <c r="F24" s="112"/>
      <c r="G24" s="112"/>
      <c r="H24" s="38">
        <f t="shared" si="2"/>
        <v>0</v>
      </c>
      <c r="I24" s="116"/>
      <c r="J24" s="38">
        <f t="shared" si="5"/>
        <v>0</v>
      </c>
      <c r="K24" s="38">
        <f t="shared" si="3"/>
        <v>0</v>
      </c>
      <c r="L24" s="38">
        <f t="shared" si="6"/>
        <v>0</v>
      </c>
      <c r="M24" s="39">
        <f t="shared" si="7"/>
        <v>0</v>
      </c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  <c r="AC24" s="113"/>
      <c r="AD24" s="11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  <c r="AU24" s="113"/>
      <c r="AV24" s="113"/>
      <c r="AW24" s="113"/>
      <c r="AX24" s="113"/>
      <c r="AY24" s="113"/>
      <c r="AZ24" s="113"/>
      <c r="BA24" s="113"/>
      <c r="BB24" s="113"/>
      <c r="BC24" s="113"/>
      <c r="BD24" s="113"/>
      <c r="BE24" s="113"/>
      <c r="BF24" s="113"/>
      <c r="BG24" s="113"/>
      <c r="BH24" s="113"/>
      <c r="BI24" s="113"/>
      <c r="BJ24" s="113"/>
      <c r="BK24" s="113"/>
      <c r="BL24" s="113"/>
      <c r="BM24" s="113"/>
      <c r="BN24" s="113"/>
      <c r="BO24" s="113"/>
      <c r="BP24" s="113"/>
      <c r="BQ24" s="113"/>
      <c r="BR24" s="113"/>
      <c r="BS24" s="113"/>
      <c r="BT24" s="113"/>
      <c r="BU24" s="113"/>
      <c r="BV24" s="113"/>
      <c r="BW24" s="113"/>
      <c r="BX24" s="113"/>
      <c r="BY24" s="113"/>
      <c r="BZ24" s="113"/>
      <c r="CA24" s="113"/>
      <c r="CB24" s="113"/>
      <c r="CC24" s="113"/>
      <c r="CD24" s="113"/>
      <c r="CE24" s="113"/>
      <c r="CF24" s="113"/>
      <c r="CG24" s="113"/>
      <c r="CH24" s="113"/>
      <c r="CI24" s="113"/>
      <c r="CJ24" s="113"/>
      <c r="CK24" s="113"/>
      <c r="CL24" s="113"/>
      <c r="CM24" s="113"/>
      <c r="CN24" s="113"/>
      <c r="CO24" s="113"/>
      <c r="CP24" s="113"/>
      <c r="CQ24" s="113"/>
      <c r="CR24" s="113"/>
      <c r="CS24" s="113"/>
      <c r="CT24" s="113"/>
      <c r="CU24" s="113"/>
      <c r="CV24" s="113"/>
      <c r="CW24" s="113"/>
      <c r="CX24" s="113"/>
      <c r="CY24" s="113"/>
      <c r="CZ24" s="113"/>
      <c r="DA24" s="113"/>
      <c r="DB24" s="113"/>
      <c r="DC24" s="113"/>
      <c r="DD24" s="113"/>
      <c r="DE24" s="113"/>
      <c r="DF24" s="113"/>
      <c r="DG24" s="113"/>
      <c r="DH24" s="113"/>
      <c r="DI24" s="113"/>
      <c r="DJ24" s="113"/>
      <c r="DK24" s="113"/>
      <c r="DL24" s="113"/>
      <c r="DM24" s="113"/>
      <c r="DN24" s="16">
        <f t="shared" si="4"/>
        <v>0</v>
      </c>
    </row>
    <row r="25" spans="5:118" x14ac:dyDescent="0.35">
      <c r="E25" s="111"/>
      <c r="F25" s="112"/>
      <c r="G25" s="112"/>
      <c r="H25" s="38">
        <f t="shared" si="2"/>
        <v>0</v>
      </c>
      <c r="I25" s="116"/>
      <c r="J25" s="38">
        <f t="shared" si="5"/>
        <v>0</v>
      </c>
      <c r="K25" s="38">
        <f t="shared" si="3"/>
        <v>0</v>
      </c>
      <c r="L25" s="38">
        <f t="shared" si="6"/>
        <v>0</v>
      </c>
      <c r="M25" s="39">
        <f t="shared" si="7"/>
        <v>0</v>
      </c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11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  <c r="AW25" s="113"/>
      <c r="AX25" s="113"/>
      <c r="AY25" s="113"/>
      <c r="AZ25" s="113"/>
      <c r="BA25" s="113"/>
      <c r="BB25" s="113"/>
      <c r="BC25" s="113"/>
      <c r="BD25" s="113"/>
      <c r="BE25" s="113"/>
      <c r="BF25" s="113"/>
      <c r="BG25" s="113"/>
      <c r="BH25" s="113"/>
      <c r="BI25" s="113"/>
      <c r="BJ25" s="113"/>
      <c r="BK25" s="113"/>
      <c r="BL25" s="113"/>
      <c r="BM25" s="113"/>
      <c r="BN25" s="113"/>
      <c r="BO25" s="113"/>
      <c r="BP25" s="113"/>
      <c r="BQ25" s="113"/>
      <c r="BR25" s="113"/>
      <c r="BS25" s="113"/>
      <c r="BT25" s="113"/>
      <c r="BU25" s="113"/>
      <c r="BV25" s="113"/>
      <c r="BW25" s="113"/>
      <c r="BX25" s="113"/>
      <c r="BY25" s="113"/>
      <c r="BZ25" s="113"/>
      <c r="CA25" s="113"/>
      <c r="CB25" s="113"/>
      <c r="CC25" s="113"/>
      <c r="CD25" s="113"/>
      <c r="CE25" s="113"/>
      <c r="CF25" s="113"/>
      <c r="CG25" s="113"/>
      <c r="CH25" s="113"/>
      <c r="CI25" s="113"/>
      <c r="CJ25" s="113"/>
      <c r="CK25" s="113"/>
      <c r="CL25" s="113"/>
      <c r="CM25" s="113"/>
      <c r="CN25" s="113"/>
      <c r="CO25" s="113"/>
      <c r="CP25" s="113"/>
      <c r="CQ25" s="113"/>
      <c r="CR25" s="113"/>
      <c r="CS25" s="113"/>
      <c r="CT25" s="113"/>
      <c r="CU25" s="113"/>
      <c r="CV25" s="113"/>
      <c r="CW25" s="113"/>
      <c r="CX25" s="113"/>
      <c r="CY25" s="113"/>
      <c r="CZ25" s="113"/>
      <c r="DA25" s="113"/>
      <c r="DB25" s="113"/>
      <c r="DC25" s="113"/>
      <c r="DD25" s="113"/>
      <c r="DE25" s="113"/>
      <c r="DF25" s="113"/>
      <c r="DG25" s="113"/>
      <c r="DH25" s="113"/>
      <c r="DI25" s="113"/>
      <c r="DJ25" s="113"/>
      <c r="DK25" s="113"/>
      <c r="DL25" s="113"/>
      <c r="DM25" s="113"/>
      <c r="DN25" s="16">
        <f t="shared" si="4"/>
        <v>0</v>
      </c>
    </row>
    <row r="26" spans="5:118" x14ac:dyDescent="0.35">
      <c r="E26" s="111"/>
      <c r="F26" s="112"/>
      <c r="G26" s="112"/>
      <c r="H26" s="38">
        <f t="shared" si="2"/>
        <v>0</v>
      </c>
      <c r="I26" s="116"/>
      <c r="J26" s="38">
        <f t="shared" si="5"/>
        <v>0</v>
      </c>
      <c r="K26" s="38">
        <f t="shared" si="3"/>
        <v>0</v>
      </c>
      <c r="L26" s="38">
        <f t="shared" si="6"/>
        <v>0</v>
      </c>
      <c r="M26" s="39">
        <f t="shared" si="7"/>
        <v>0</v>
      </c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13"/>
      <c r="AW26" s="113"/>
      <c r="AX26" s="113"/>
      <c r="AY26" s="113"/>
      <c r="AZ26" s="113"/>
      <c r="BA26" s="113"/>
      <c r="BB26" s="113"/>
      <c r="BC26" s="113"/>
      <c r="BD26" s="113"/>
      <c r="BE26" s="113"/>
      <c r="BF26" s="113"/>
      <c r="BG26" s="113"/>
      <c r="BH26" s="113"/>
      <c r="BI26" s="113"/>
      <c r="BJ26" s="113"/>
      <c r="BK26" s="113"/>
      <c r="BL26" s="113"/>
      <c r="BM26" s="113"/>
      <c r="BN26" s="113"/>
      <c r="BO26" s="113"/>
      <c r="BP26" s="113"/>
      <c r="BQ26" s="113"/>
      <c r="BR26" s="113"/>
      <c r="BS26" s="113"/>
      <c r="BT26" s="113"/>
      <c r="BU26" s="113"/>
      <c r="BV26" s="113"/>
      <c r="BW26" s="113"/>
      <c r="BX26" s="113"/>
      <c r="BY26" s="113"/>
      <c r="BZ26" s="113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  <c r="CN26" s="113"/>
      <c r="CO26" s="113"/>
      <c r="CP26" s="113"/>
      <c r="CQ26" s="113"/>
      <c r="CR26" s="113"/>
      <c r="CS26" s="113"/>
      <c r="CT26" s="113"/>
      <c r="CU26" s="113"/>
      <c r="CV26" s="113"/>
      <c r="CW26" s="113"/>
      <c r="CX26" s="113"/>
      <c r="CY26" s="113"/>
      <c r="CZ26" s="113"/>
      <c r="DA26" s="113"/>
      <c r="DB26" s="113"/>
      <c r="DC26" s="113"/>
      <c r="DD26" s="113"/>
      <c r="DE26" s="113"/>
      <c r="DF26" s="113"/>
      <c r="DG26" s="113"/>
      <c r="DH26" s="113"/>
      <c r="DI26" s="113"/>
      <c r="DJ26" s="113"/>
      <c r="DK26" s="113"/>
      <c r="DL26" s="113"/>
      <c r="DM26" s="113"/>
      <c r="DN26" s="16">
        <f t="shared" si="4"/>
        <v>0</v>
      </c>
    </row>
    <row r="27" spans="5:118" x14ac:dyDescent="0.35">
      <c r="E27" s="111"/>
      <c r="F27" s="112"/>
      <c r="G27" s="112"/>
      <c r="H27" s="38">
        <f t="shared" si="2"/>
        <v>0</v>
      </c>
      <c r="I27" s="116"/>
      <c r="J27" s="38">
        <f t="shared" si="5"/>
        <v>0</v>
      </c>
      <c r="K27" s="38">
        <f t="shared" si="3"/>
        <v>0</v>
      </c>
      <c r="L27" s="38">
        <f t="shared" si="6"/>
        <v>0</v>
      </c>
      <c r="M27" s="39">
        <f t="shared" si="7"/>
        <v>0</v>
      </c>
      <c r="N27" s="113"/>
      <c r="O27" s="113"/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113"/>
      <c r="AA27" s="113"/>
      <c r="AB27" s="113"/>
      <c r="AC27" s="113"/>
      <c r="AD27" s="11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  <c r="AW27" s="113"/>
      <c r="AX27" s="113"/>
      <c r="AY27" s="113"/>
      <c r="AZ27" s="113"/>
      <c r="BA27" s="113"/>
      <c r="BB27" s="113"/>
      <c r="BC27" s="113"/>
      <c r="BD27" s="113"/>
      <c r="BE27" s="113"/>
      <c r="BF27" s="113"/>
      <c r="BG27" s="113"/>
      <c r="BH27" s="113"/>
      <c r="BI27" s="113"/>
      <c r="BJ27" s="113"/>
      <c r="BK27" s="113"/>
      <c r="BL27" s="113"/>
      <c r="BM27" s="113"/>
      <c r="BN27" s="113"/>
      <c r="BO27" s="113"/>
      <c r="BP27" s="113"/>
      <c r="BQ27" s="113"/>
      <c r="BR27" s="113"/>
      <c r="BS27" s="113"/>
      <c r="BT27" s="113"/>
      <c r="BU27" s="113"/>
      <c r="BV27" s="113"/>
      <c r="BW27" s="113"/>
      <c r="BX27" s="113"/>
      <c r="BY27" s="113"/>
      <c r="BZ27" s="113"/>
      <c r="CA27" s="113"/>
      <c r="CB27" s="113"/>
      <c r="CC27" s="113"/>
      <c r="CD27" s="113"/>
      <c r="CE27" s="113"/>
      <c r="CF27" s="113"/>
      <c r="CG27" s="113"/>
      <c r="CH27" s="113"/>
      <c r="CI27" s="113"/>
      <c r="CJ27" s="113"/>
      <c r="CK27" s="113"/>
      <c r="CL27" s="113"/>
      <c r="CM27" s="113"/>
      <c r="CN27" s="113"/>
      <c r="CO27" s="113"/>
      <c r="CP27" s="113"/>
      <c r="CQ27" s="113"/>
      <c r="CR27" s="113"/>
      <c r="CS27" s="113"/>
      <c r="CT27" s="113"/>
      <c r="CU27" s="113"/>
      <c r="CV27" s="113"/>
      <c r="CW27" s="113"/>
      <c r="CX27" s="113"/>
      <c r="CY27" s="113"/>
      <c r="CZ27" s="113"/>
      <c r="DA27" s="113"/>
      <c r="DB27" s="113"/>
      <c r="DC27" s="113"/>
      <c r="DD27" s="113"/>
      <c r="DE27" s="113"/>
      <c r="DF27" s="113"/>
      <c r="DG27" s="113"/>
      <c r="DH27" s="113"/>
      <c r="DI27" s="113"/>
      <c r="DJ27" s="113"/>
      <c r="DK27" s="113"/>
      <c r="DL27" s="113"/>
      <c r="DM27" s="113"/>
      <c r="DN27" s="16">
        <f t="shared" si="4"/>
        <v>0</v>
      </c>
    </row>
    <row r="28" spans="5:118" x14ac:dyDescent="0.35">
      <c r="E28" s="111"/>
      <c r="F28" s="112"/>
      <c r="G28" s="112"/>
      <c r="H28" s="38">
        <f t="shared" si="2"/>
        <v>0</v>
      </c>
      <c r="I28" s="116"/>
      <c r="J28" s="38">
        <f t="shared" si="5"/>
        <v>0</v>
      </c>
      <c r="K28" s="38">
        <f t="shared" si="3"/>
        <v>0</v>
      </c>
      <c r="L28" s="38">
        <f t="shared" si="6"/>
        <v>0</v>
      </c>
      <c r="M28" s="39">
        <f t="shared" si="7"/>
        <v>0</v>
      </c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  <c r="AW28" s="113"/>
      <c r="AX28" s="113"/>
      <c r="AY28" s="113"/>
      <c r="AZ28" s="113"/>
      <c r="BA28" s="113"/>
      <c r="BB28" s="113"/>
      <c r="BC28" s="113"/>
      <c r="BD28" s="113"/>
      <c r="BE28" s="113"/>
      <c r="BF28" s="113"/>
      <c r="BG28" s="113"/>
      <c r="BH28" s="113"/>
      <c r="BI28" s="113"/>
      <c r="BJ28" s="113"/>
      <c r="BK28" s="113"/>
      <c r="BL28" s="113"/>
      <c r="BM28" s="113"/>
      <c r="BN28" s="113"/>
      <c r="BO28" s="113"/>
      <c r="BP28" s="113"/>
      <c r="BQ28" s="113"/>
      <c r="BR28" s="113"/>
      <c r="BS28" s="113"/>
      <c r="BT28" s="113"/>
      <c r="BU28" s="113"/>
      <c r="BV28" s="113"/>
      <c r="BW28" s="113"/>
      <c r="BX28" s="113"/>
      <c r="BY28" s="113"/>
      <c r="BZ28" s="113"/>
      <c r="CA28" s="113"/>
      <c r="CB28" s="113"/>
      <c r="CC28" s="113"/>
      <c r="CD28" s="113"/>
      <c r="CE28" s="113"/>
      <c r="CF28" s="113"/>
      <c r="CG28" s="113"/>
      <c r="CH28" s="113"/>
      <c r="CI28" s="113"/>
      <c r="CJ28" s="113"/>
      <c r="CK28" s="113"/>
      <c r="CL28" s="113"/>
      <c r="CM28" s="113"/>
      <c r="CN28" s="113"/>
      <c r="CO28" s="113"/>
      <c r="CP28" s="113"/>
      <c r="CQ28" s="113"/>
      <c r="CR28" s="113"/>
      <c r="CS28" s="113"/>
      <c r="CT28" s="113"/>
      <c r="CU28" s="113"/>
      <c r="CV28" s="113"/>
      <c r="CW28" s="113"/>
      <c r="CX28" s="113"/>
      <c r="CY28" s="113"/>
      <c r="CZ28" s="113"/>
      <c r="DA28" s="113"/>
      <c r="DB28" s="113"/>
      <c r="DC28" s="113"/>
      <c r="DD28" s="113"/>
      <c r="DE28" s="113"/>
      <c r="DF28" s="113"/>
      <c r="DG28" s="113"/>
      <c r="DH28" s="113"/>
      <c r="DI28" s="113"/>
      <c r="DJ28" s="113"/>
      <c r="DK28" s="113"/>
      <c r="DL28" s="113"/>
      <c r="DM28" s="113"/>
      <c r="DN28" s="16">
        <f t="shared" si="4"/>
        <v>0</v>
      </c>
    </row>
    <row r="29" spans="5:118" x14ac:dyDescent="0.35">
      <c r="E29" s="111"/>
      <c r="F29" s="112"/>
      <c r="G29" s="112"/>
      <c r="H29" s="38">
        <f t="shared" si="2"/>
        <v>0</v>
      </c>
      <c r="I29" s="116"/>
      <c r="J29" s="38">
        <f t="shared" si="5"/>
        <v>0</v>
      </c>
      <c r="K29" s="38">
        <f t="shared" si="3"/>
        <v>0</v>
      </c>
      <c r="L29" s="38">
        <f t="shared" si="6"/>
        <v>0</v>
      </c>
      <c r="M29" s="39">
        <f t="shared" si="7"/>
        <v>0</v>
      </c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113"/>
      <c r="AA29" s="113"/>
      <c r="AB29" s="113"/>
      <c r="AC29" s="113"/>
      <c r="AD29" s="11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  <c r="AW29" s="113"/>
      <c r="AX29" s="113"/>
      <c r="AY29" s="113"/>
      <c r="AZ29" s="113"/>
      <c r="BA29" s="113"/>
      <c r="BB29" s="113"/>
      <c r="BC29" s="113"/>
      <c r="BD29" s="113"/>
      <c r="BE29" s="113"/>
      <c r="BF29" s="113"/>
      <c r="BG29" s="113"/>
      <c r="BH29" s="113"/>
      <c r="BI29" s="113"/>
      <c r="BJ29" s="113"/>
      <c r="BK29" s="113"/>
      <c r="BL29" s="113"/>
      <c r="BM29" s="113"/>
      <c r="BN29" s="113"/>
      <c r="BO29" s="113"/>
      <c r="BP29" s="113"/>
      <c r="BQ29" s="113"/>
      <c r="BR29" s="113"/>
      <c r="BS29" s="113"/>
      <c r="BT29" s="113"/>
      <c r="BU29" s="113"/>
      <c r="BV29" s="113"/>
      <c r="BW29" s="113"/>
      <c r="BX29" s="113"/>
      <c r="BY29" s="113"/>
      <c r="BZ29" s="113"/>
      <c r="CA29" s="113"/>
      <c r="CB29" s="113"/>
      <c r="CC29" s="113"/>
      <c r="CD29" s="113"/>
      <c r="CE29" s="113"/>
      <c r="CF29" s="113"/>
      <c r="CG29" s="113"/>
      <c r="CH29" s="113"/>
      <c r="CI29" s="113"/>
      <c r="CJ29" s="113"/>
      <c r="CK29" s="113"/>
      <c r="CL29" s="113"/>
      <c r="CM29" s="113"/>
      <c r="CN29" s="113"/>
      <c r="CO29" s="113"/>
      <c r="CP29" s="113"/>
      <c r="CQ29" s="113"/>
      <c r="CR29" s="113"/>
      <c r="CS29" s="113"/>
      <c r="CT29" s="113"/>
      <c r="CU29" s="113"/>
      <c r="CV29" s="113"/>
      <c r="CW29" s="113"/>
      <c r="CX29" s="113"/>
      <c r="CY29" s="113"/>
      <c r="CZ29" s="113"/>
      <c r="DA29" s="113"/>
      <c r="DB29" s="113"/>
      <c r="DC29" s="113"/>
      <c r="DD29" s="113"/>
      <c r="DE29" s="113"/>
      <c r="DF29" s="113"/>
      <c r="DG29" s="113"/>
      <c r="DH29" s="113"/>
      <c r="DI29" s="113"/>
      <c r="DJ29" s="113"/>
      <c r="DK29" s="113"/>
      <c r="DL29" s="113"/>
      <c r="DM29" s="113"/>
      <c r="DN29" s="16">
        <f t="shared" si="4"/>
        <v>0</v>
      </c>
    </row>
    <row r="30" spans="5:118" x14ac:dyDescent="0.35">
      <c r="E30" s="111"/>
      <c r="F30" s="112"/>
      <c r="G30" s="112"/>
      <c r="H30" s="38">
        <f t="shared" si="2"/>
        <v>0</v>
      </c>
      <c r="I30" s="116"/>
      <c r="J30" s="38">
        <f t="shared" si="5"/>
        <v>0</v>
      </c>
      <c r="K30" s="38">
        <f t="shared" si="3"/>
        <v>0</v>
      </c>
      <c r="L30" s="38">
        <f t="shared" si="6"/>
        <v>0</v>
      </c>
      <c r="M30" s="39">
        <f t="shared" si="7"/>
        <v>0</v>
      </c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  <c r="AU30" s="113"/>
      <c r="AV30" s="113"/>
      <c r="AW30" s="113"/>
      <c r="AX30" s="113"/>
      <c r="AY30" s="113"/>
      <c r="AZ30" s="113"/>
      <c r="BA30" s="113"/>
      <c r="BB30" s="113"/>
      <c r="BC30" s="113"/>
      <c r="BD30" s="113"/>
      <c r="BE30" s="113"/>
      <c r="BF30" s="113"/>
      <c r="BG30" s="113"/>
      <c r="BH30" s="113"/>
      <c r="BI30" s="113"/>
      <c r="BJ30" s="113"/>
      <c r="BK30" s="113"/>
      <c r="BL30" s="113"/>
      <c r="BM30" s="113"/>
      <c r="BN30" s="113"/>
      <c r="BO30" s="113"/>
      <c r="BP30" s="113"/>
      <c r="BQ30" s="113"/>
      <c r="BR30" s="113"/>
      <c r="BS30" s="113"/>
      <c r="BT30" s="113"/>
      <c r="BU30" s="113"/>
      <c r="BV30" s="113"/>
      <c r="BW30" s="113"/>
      <c r="BX30" s="113"/>
      <c r="BY30" s="113"/>
      <c r="BZ30" s="113"/>
      <c r="CA30" s="113"/>
      <c r="CB30" s="113"/>
      <c r="CC30" s="113"/>
      <c r="CD30" s="113"/>
      <c r="CE30" s="113"/>
      <c r="CF30" s="113"/>
      <c r="CG30" s="113"/>
      <c r="CH30" s="113"/>
      <c r="CI30" s="113"/>
      <c r="CJ30" s="113"/>
      <c r="CK30" s="113"/>
      <c r="CL30" s="113"/>
      <c r="CM30" s="113"/>
      <c r="CN30" s="113"/>
      <c r="CO30" s="113"/>
      <c r="CP30" s="113"/>
      <c r="CQ30" s="113"/>
      <c r="CR30" s="113"/>
      <c r="CS30" s="113"/>
      <c r="CT30" s="113"/>
      <c r="CU30" s="113"/>
      <c r="CV30" s="113"/>
      <c r="CW30" s="113"/>
      <c r="CX30" s="113"/>
      <c r="CY30" s="113"/>
      <c r="CZ30" s="113"/>
      <c r="DA30" s="113"/>
      <c r="DB30" s="113"/>
      <c r="DC30" s="113"/>
      <c r="DD30" s="113"/>
      <c r="DE30" s="113"/>
      <c r="DF30" s="113"/>
      <c r="DG30" s="113"/>
      <c r="DH30" s="113"/>
      <c r="DI30" s="113"/>
      <c r="DJ30" s="113"/>
      <c r="DK30" s="113"/>
      <c r="DL30" s="113"/>
      <c r="DM30" s="113"/>
      <c r="DN30" s="16">
        <f t="shared" si="4"/>
        <v>0</v>
      </c>
    </row>
    <row r="31" spans="5:118" x14ac:dyDescent="0.35">
      <c r="E31" s="111"/>
      <c r="F31" s="112"/>
      <c r="G31" s="112"/>
      <c r="H31" s="38">
        <f t="shared" si="2"/>
        <v>0</v>
      </c>
      <c r="I31" s="116"/>
      <c r="J31" s="38">
        <f t="shared" si="5"/>
        <v>0</v>
      </c>
      <c r="K31" s="38">
        <f t="shared" si="3"/>
        <v>0</v>
      </c>
      <c r="L31" s="38">
        <f t="shared" si="6"/>
        <v>0</v>
      </c>
      <c r="M31" s="39">
        <f t="shared" si="7"/>
        <v>0</v>
      </c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11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  <c r="AU31" s="113"/>
      <c r="AV31" s="113"/>
      <c r="AW31" s="113"/>
      <c r="AX31" s="113"/>
      <c r="AY31" s="113"/>
      <c r="AZ31" s="113"/>
      <c r="BA31" s="113"/>
      <c r="BB31" s="113"/>
      <c r="BC31" s="113"/>
      <c r="BD31" s="113"/>
      <c r="BE31" s="113"/>
      <c r="BF31" s="113"/>
      <c r="BG31" s="113"/>
      <c r="BH31" s="113"/>
      <c r="BI31" s="113"/>
      <c r="BJ31" s="113"/>
      <c r="BK31" s="113"/>
      <c r="BL31" s="113"/>
      <c r="BM31" s="113"/>
      <c r="BN31" s="113"/>
      <c r="BO31" s="113"/>
      <c r="BP31" s="113"/>
      <c r="BQ31" s="113"/>
      <c r="BR31" s="113"/>
      <c r="BS31" s="113"/>
      <c r="BT31" s="113"/>
      <c r="BU31" s="113"/>
      <c r="BV31" s="113"/>
      <c r="BW31" s="113"/>
      <c r="BX31" s="113"/>
      <c r="BY31" s="113"/>
      <c r="BZ31" s="113"/>
      <c r="CA31" s="113"/>
      <c r="CB31" s="113"/>
      <c r="CC31" s="113"/>
      <c r="CD31" s="113"/>
      <c r="CE31" s="113"/>
      <c r="CF31" s="113"/>
      <c r="CG31" s="113"/>
      <c r="CH31" s="113"/>
      <c r="CI31" s="113"/>
      <c r="CJ31" s="113"/>
      <c r="CK31" s="113"/>
      <c r="CL31" s="113"/>
      <c r="CM31" s="113"/>
      <c r="CN31" s="113"/>
      <c r="CO31" s="113"/>
      <c r="CP31" s="113"/>
      <c r="CQ31" s="113"/>
      <c r="CR31" s="113"/>
      <c r="CS31" s="113"/>
      <c r="CT31" s="113"/>
      <c r="CU31" s="113"/>
      <c r="CV31" s="113"/>
      <c r="CW31" s="113"/>
      <c r="CX31" s="113"/>
      <c r="CY31" s="113"/>
      <c r="CZ31" s="113"/>
      <c r="DA31" s="113"/>
      <c r="DB31" s="113"/>
      <c r="DC31" s="113"/>
      <c r="DD31" s="113"/>
      <c r="DE31" s="113"/>
      <c r="DF31" s="113"/>
      <c r="DG31" s="113"/>
      <c r="DH31" s="113"/>
      <c r="DI31" s="113"/>
      <c r="DJ31" s="113"/>
      <c r="DK31" s="113"/>
      <c r="DL31" s="113"/>
      <c r="DM31" s="113"/>
      <c r="DN31" s="16">
        <f t="shared" si="4"/>
        <v>0</v>
      </c>
    </row>
    <row r="32" spans="5:118" hidden="1" x14ac:dyDescent="0.35">
      <c r="E32" s="111"/>
      <c r="F32" s="112"/>
      <c r="G32" s="112"/>
      <c r="H32" s="38">
        <f t="shared" si="2"/>
        <v>0</v>
      </c>
      <c r="I32" s="116"/>
      <c r="J32" s="38">
        <f t="shared" si="5"/>
        <v>0</v>
      </c>
      <c r="K32" s="38">
        <f t="shared" si="3"/>
        <v>0</v>
      </c>
      <c r="L32" s="38">
        <f t="shared" si="6"/>
        <v>0</v>
      </c>
      <c r="M32" s="39">
        <f t="shared" si="7"/>
        <v>0</v>
      </c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13"/>
      <c r="AP32" s="113"/>
      <c r="AQ32" s="113"/>
      <c r="AR32" s="113"/>
      <c r="AS32" s="113"/>
      <c r="AT32" s="113"/>
      <c r="AU32" s="113"/>
      <c r="AV32" s="113"/>
      <c r="AW32" s="113"/>
      <c r="AX32" s="113"/>
      <c r="AY32" s="113"/>
      <c r="AZ32" s="113"/>
      <c r="BA32" s="113"/>
      <c r="BB32" s="113"/>
      <c r="BC32" s="113"/>
      <c r="BD32" s="113"/>
      <c r="BE32" s="113"/>
      <c r="BF32" s="113"/>
      <c r="BG32" s="113"/>
      <c r="BH32" s="113"/>
      <c r="BI32" s="113"/>
      <c r="BJ32" s="113"/>
      <c r="BK32" s="113"/>
      <c r="BL32" s="113"/>
      <c r="BM32" s="113"/>
      <c r="BN32" s="113"/>
      <c r="BO32" s="113"/>
      <c r="BP32" s="113"/>
      <c r="BQ32" s="113"/>
      <c r="BR32" s="113"/>
      <c r="BS32" s="113"/>
      <c r="BT32" s="113"/>
      <c r="BU32" s="113"/>
      <c r="BV32" s="113"/>
      <c r="BW32" s="113"/>
      <c r="BX32" s="113"/>
      <c r="BY32" s="113"/>
      <c r="BZ32" s="113"/>
      <c r="CA32" s="113"/>
      <c r="CB32" s="113"/>
      <c r="CC32" s="113"/>
      <c r="CD32" s="113"/>
      <c r="CE32" s="113"/>
      <c r="CF32" s="113"/>
      <c r="CG32" s="113"/>
      <c r="CH32" s="113"/>
      <c r="CI32" s="113"/>
      <c r="CJ32" s="113"/>
      <c r="CK32" s="113"/>
      <c r="CL32" s="113"/>
      <c r="CM32" s="113"/>
      <c r="CN32" s="113"/>
      <c r="CO32" s="113"/>
      <c r="CP32" s="113"/>
      <c r="CQ32" s="113"/>
      <c r="CR32" s="113"/>
      <c r="CS32" s="113"/>
      <c r="CT32" s="113"/>
      <c r="CU32" s="113"/>
      <c r="CV32" s="113"/>
      <c r="CW32" s="113"/>
      <c r="CX32" s="113"/>
      <c r="CY32" s="113"/>
      <c r="CZ32" s="113"/>
      <c r="DA32" s="113"/>
      <c r="DB32" s="113"/>
      <c r="DC32" s="113"/>
      <c r="DD32" s="113"/>
      <c r="DE32" s="113"/>
      <c r="DF32" s="113"/>
      <c r="DG32" s="113"/>
      <c r="DH32" s="113"/>
      <c r="DI32" s="113"/>
      <c r="DJ32" s="113"/>
      <c r="DK32" s="113"/>
      <c r="DL32" s="113"/>
      <c r="DM32" s="113"/>
      <c r="DN32" s="16">
        <f t="shared" si="4"/>
        <v>0</v>
      </c>
    </row>
    <row r="33" spans="5:118" hidden="1" x14ac:dyDescent="0.35">
      <c r="E33" s="111"/>
      <c r="F33" s="112"/>
      <c r="G33" s="112"/>
      <c r="H33" s="38">
        <f t="shared" si="2"/>
        <v>0</v>
      </c>
      <c r="I33" s="116"/>
      <c r="J33" s="38">
        <f t="shared" si="5"/>
        <v>0</v>
      </c>
      <c r="K33" s="38">
        <f t="shared" si="3"/>
        <v>0</v>
      </c>
      <c r="L33" s="38">
        <f t="shared" si="6"/>
        <v>0</v>
      </c>
      <c r="M33" s="39">
        <f t="shared" si="7"/>
        <v>0</v>
      </c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11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13"/>
      <c r="AP33" s="113"/>
      <c r="AQ33" s="113"/>
      <c r="AR33" s="113"/>
      <c r="AS33" s="113"/>
      <c r="AT33" s="113"/>
      <c r="AU33" s="113"/>
      <c r="AV33" s="113"/>
      <c r="AW33" s="113"/>
      <c r="AX33" s="113"/>
      <c r="AY33" s="113"/>
      <c r="AZ33" s="113"/>
      <c r="BA33" s="113"/>
      <c r="BB33" s="113"/>
      <c r="BC33" s="113"/>
      <c r="BD33" s="113"/>
      <c r="BE33" s="113"/>
      <c r="BF33" s="113"/>
      <c r="BG33" s="113"/>
      <c r="BH33" s="113"/>
      <c r="BI33" s="113"/>
      <c r="BJ33" s="113"/>
      <c r="BK33" s="113"/>
      <c r="BL33" s="113"/>
      <c r="BM33" s="113"/>
      <c r="BN33" s="113"/>
      <c r="BO33" s="113"/>
      <c r="BP33" s="113"/>
      <c r="BQ33" s="113"/>
      <c r="BR33" s="113"/>
      <c r="BS33" s="113"/>
      <c r="BT33" s="113"/>
      <c r="BU33" s="113"/>
      <c r="BV33" s="113"/>
      <c r="BW33" s="113"/>
      <c r="BX33" s="113"/>
      <c r="BY33" s="113"/>
      <c r="BZ33" s="113"/>
      <c r="CA33" s="113"/>
      <c r="CB33" s="113"/>
      <c r="CC33" s="113"/>
      <c r="CD33" s="113"/>
      <c r="CE33" s="113"/>
      <c r="CF33" s="113"/>
      <c r="CG33" s="113"/>
      <c r="CH33" s="113"/>
      <c r="CI33" s="113"/>
      <c r="CJ33" s="113"/>
      <c r="CK33" s="113"/>
      <c r="CL33" s="113"/>
      <c r="CM33" s="113"/>
      <c r="CN33" s="113"/>
      <c r="CO33" s="113"/>
      <c r="CP33" s="113"/>
      <c r="CQ33" s="113"/>
      <c r="CR33" s="113"/>
      <c r="CS33" s="113"/>
      <c r="CT33" s="113"/>
      <c r="CU33" s="113"/>
      <c r="CV33" s="113"/>
      <c r="CW33" s="113"/>
      <c r="CX33" s="113"/>
      <c r="CY33" s="113"/>
      <c r="CZ33" s="113"/>
      <c r="DA33" s="113"/>
      <c r="DB33" s="113"/>
      <c r="DC33" s="113"/>
      <c r="DD33" s="113"/>
      <c r="DE33" s="113"/>
      <c r="DF33" s="113"/>
      <c r="DG33" s="113"/>
      <c r="DH33" s="113"/>
      <c r="DI33" s="113"/>
      <c r="DJ33" s="113"/>
      <c r="DK33" s="113"/>
      <c r="DL33" s="113"/>
      <c r="DM33" s="113"/>
      <c r="DN33" s="16">
        <f t="shared" si="4"/>
        <v>0</v>
      </c>
    </row>
    <row r="34" spans="5:118" hidden="1" x14ac:dyDescent="0.35">
      <c r="E34" s="111"/>
      <c r="F34" s="112"/>
      <c r="G34" s="112"/>
      <c r="H34" s="38">
        <f t="shared" si="2"/>
        <v>0</v>
      </c>
      <c r="I34" s="116"/>
      <c r="J34" s="38">
        <f t="shared" si="5"/>
        <v>0</v>
      </c>
      <c r="K34" s="38">
        <f t="shared" si="3"/>
        <v>0</v>
      </c>
      <c r="L34" s="38">
        <f t="shared" si="6"/>
        <v>0</v>
      </c>
      <c r="M34" s="39">
        <f t="shared" si="7"/>
        <v>0</v>
      </c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11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13"/>
      <c r="AP34" s="113"/>
      <c r="AQ34" s="113"/>
      <c r="AR34" s="113"/>
      <c r="AS34" s="113"/>
      <c r="AT34" s="113"/>
      <c r="AU34" s="113"/>
      <c r="AV34" s="113"/>
      <c r="AW34" s="113"/>
      <c r="AX34" s="113"/>
      <c r="AY34" s="113"/>
      <c r="AZ34" s="113"/>
      <c r="BA34" s="113"/>
      <c r="BB34" s="113"/>
      <c r="BC34" s="113"/>
      <c r="BD34" s="113"/>
      <c r="BE34" s="113"/>
      <c r="BF34" s="113"/>
      <c r="BG34" s="113"/>
      <c r="BH34" s="113"/>
      <c r="BI34" s="113"/>
      <c r="BJ34" s="113"/>
      <c r="BK34" s="113"/>
      <c r="BL34" s="113"/>
      <c r="BM34" s="113"/>
      <c r="BN34" s="113"/>
      <c r="BO34" s="113"/>
      <c r="BP34" s="113"/>
      <c r="BQ34" s="113"/>
      <c r="BR34" s="113"/>
      <c r="BS34" s="113"/>
      <c r="BT34" s="113"/>
      <c r="BU34" s="113"/>
      <c r="BV34" s="113"/>
      <c r="BW34" s="113"/>
      <c r="BX34" s="113"/>
      <c r="BY34" s="113"/>
      <c r="BZ34" s="113"/>
      <c r="CA34" s="113"/>
      <c r="CB34" s="113"/>
      <c r="CC34" s="113"/>
      <c r="CD34" s="113"/>
      <c r="CE34" s="113"/>
      <c r="CF34" s="113"/>
      <c r="CG34" s="113"/>
      <c r="CH34" s="113"/>
      <c r="CI34" s="113"/>
      <c r="CJ34" s="113"/>
      <c r="CK34" s="113"/>
      <c r="CL34" s="113"/>
      <c r="CM34" s="113"/>
      <c r="CN34" s="113"/>
      <c r="CO34" s="113"/>
      <c r="CP34" s="113"/>
      <c r="CQ34" s="113"/>
      <c r="CR34" s="113"/>
      <c r="CS34" s="113"/>
      <c r="CT34" s="113"/>
      <c r="CU34" s="113"/>
      <c r="CV34" s="113"/>
      <c r="CW34" s="113"/>
      <c r="CX34" s="113"/>
      <c r="CY34" s="113"/>
      <c r="CZ34" s="113"/>
      <c r="DA34" s="113"/>
      <c r="DB34" s="113"/>
      <c r="DC34" s="113"/>
      <c r="DD34" s="113"/>
      <c r="DE34" s="113"/>
      <c r="DF34" s="113"/>
      <c r="DG34" s="113"/>
      <c r="DH34" s="113"/>
      <c r="DI34" s="113"/>
      <c r="DJ34" s="113"/>
      <c r="DK34" s="113"/>
      <c r="DL34" s="113"/>
      <c r="DM34" s="113"/>
      <c r="DN34" s="16">
        <f t="shared" si="4"/>
        <v>0</v>
      </c>
    </row>
    <row r="35" spans="5:118" hidden="1" x14ac:dyDescent="0.35">
      <c r="E35" s="111"/>
      <c r="F35" s="112"/>
      <c r="G35" s="112"/>
      <c r="H35" s="38">
        <f t="shared" si="2"/>
        <v>0</v>
      </c>
      <c r="I35" s="116"/>
      <c r="J35" s="38">
        <f t="shared" si="5"/>
        <v>0</v>
      </c>
      <c r="K35" s="38">
        <f t="shared" si="3"/>
        <v>0</v>
      </c>
      <c r="L35" s="38">
        <f t="shared" si="6"/>
        <v>0</v>
      </c>
      <c r="M35" s="39">
        <f t="shared" si="7"/>
        <v>0</v>
      </c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11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  <c r="AU35" s="113"/>
      <c r="AV35" s="113"/>
      <c r="AW35" s="113"/>
      <c r="AX35" s="113"/>
      <c r="AY35" s="113"/>
      <c r="AZ35" s="113"/>
      <c r="BA35" s="113"/>
      <c r="BB35" s="113"/>
      <c r="BC35" s="113"/>
      <c r="BD35" s="113"/>
      <c r="BE35" s="113"/>
      <c r="BF35" s="113"/>
      <c r="BG35" s="113"/>
      <c r="BH35" s="113"/>
      <c r="BI35" s="113"/>
      <c r="BJ35" s="113"/>
      <c r="BK35" s="113"/>
      <c r="BL35" s="113"/>
      <c r="BM35" s="113"/>
      <c r="BN35" s="113"/>
      <c r="BO35" s="113"/>
      <c r="BP35" s="113"/>
      <c r="BQ35" s="113"/>
      <c r="BR35" s="113"/>
      <c r="BS35" s="113"/>
      <c r="BT35" s="113"/>
      <c r="BU35" s="113"/>
      <c r="BV35" s="113"/>
      <c r="BW35" s="113"/>
      <c r="BX35" s="113"/>
      <c r="BY35" s="113"/>
      <c r="BZ35" s="113"/>
      <c r="CA35" s="113"/>
      <c r="CB35" s="113"/>
      <c r="CC35" s="113"/>
      <c r="CD35" s="113"/>
      <c r="CE35" s="113"/>
      <c r="CF35" s="113"/>
      <c r="CG35" s="113"/>
      <c r="CH35" s="113"/>
      <c r="CI35" s="113"/>
      <c r="CJ35" s="113"/>
      <c r="CK35" s="113"/>
      <c r="CL35" s="113"/>
      <c r="CM35" s="113"/>
      <c r="CN35" s="113"/>
      <c r="CO35" s="113"/>
      <c r="CP35" s="113"/>
      <c r="CQ35" s="113"/>
      <c r="CR35" s="113"/>
      <c r="CS35" s="113"/>
      <c r="CT35" s="113"/>
      <c r="CU35" s="113"/>
      <c r="CV35" s="113"/>
      <c r="CW35" s="113"/>
      <c r="CX35" s="113"/>
      <c r="CY35" s="113"/>
      <c r="CZ35" s="113"/>
      <c r="DA35" s="113"/>
      <c r="DB35" s="113"/>
      <c r="DC35" s="113"/>
      <c r="DD35" s="113"/>
      <c r="DE35" s="113"/>
      <c r="DF35" s="113"/>
      <c r="DG35" s="113"/>
      <c r="DH35" s="113"/>
      <c r="DI35" s="113"/>
      <c r="DJ35" s="113"/>
      <c r="DK35" s="113"/>
      <c r="DL35" s="113"/>
      <c r="DM35" s="113"/>
      <c r="DN35" s="16">
        <f t="shared" si="4"/>
        <v>0</v>
      </c>
    </row>
    <row r="36" spans="5:118" hidden="1" x14ac:dyDescent="0.35">
      <c r="E36" s="111"/>
      <c r="F36" s="112"/>
      <c r="G36" s="112"/>
      <c r="H36" s="38">
        <f t="shared" si="2"/>
        <v>0</v>
      </c>
      <c r="I36" s="116"/>
      <c r="J36" s="38">
        <f t="shared" si="5"/>
        <v>0</v>
      </c>
      <c r="K36" s="38">
        <f t="shared" si="3"/>
        <v>0</v>
      </c>
      <c r="L36" s="38">
        <f t="shared" si="6"/>
        <v>0</v>
      </c>
      <c r="M36" s="39">
        <f t="shared" si="7"/>
        <v>0</v>
      </c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11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13"/>
      <c r="AP36" s="113"/>
      <c r="AQ36" s="113"/>
      <c r="AR36" s="113"/>
      <c r="AS36" s="113"/>
      <c r="AT36" s="113"/>
      <c r="AU36" s="113"/>
      <c r="AV36" s="113"/>
      <c r="AW36" s="113"/>
      <c r="AX36" s="113"/>
      <c r="AY36" s="113"/>
      <c r="AZ36" s="113"/>
      <c r="BA36" s="113"/>
      <c r="BB36" s="113"/>
      <c r="BC36" s="113"/>
      <c r="BD36" s="113"/>
      <c r="BE36" s="113"/>
      <c r="BF36" s="113"/>
      <c r="BG36" s="113"/>
      <c r="BH36" s="113"/>
      <c r="BI36" s="113"/>
      <c r="BJ36" s="113"/>
      <c r="BK36" s="113"/>
      <c r="BL36" s="113"/>
      <c r="BM36" s="113"/>
      <c r="BN36" s="113"/>
      <c r="BO36" s="113"/>
      <c r="BP36" s="113"/>
      <c r="BQ36" s="113"/>
      <c r="BR36" s="113"/>
      <c r="BS36" s="113"/>
      <c r="BT36" s="113"/>
      <c r="BU36" s="113"/>
      <c r="BV36" s="113"/>
      <c r="BW36" s="113"/>
      <c r="BX36" s="113"/>
      <c r="BY36" s="113"/>
      <c r="BZ36" s="113"/>
      <c r="CA36" s="113"/>
      <c r="CB36" s="113"/>
      <c r="CC36" s="113"/>
      <c r="CD36" s="113"/>
      <c r="CE36" s="113"/>
      <c r="CF36" s="113"/>
      <c r="CG36" s="113"/>
      <c r="CH36" s="113"/>
      <c r="CI36" s="113"/>
      <c r="CJ36" s="113"/>
      <c r="CK36" s="113"/>
      <c r="CL36" s="113"/>
      <c r="CM36" s="113"/>
      <c r="CN36" s="113"/>
      <c r="CO36" s="113"/>
      <c r="CP36" s="113"/>
      <c r="CQ36" s="113"/>
      <c r="CR36" s="113"/>
      <c r="CS36" s="113"/>
      <c r="CT36" s="113"/>
      <c r="CU36" s="113"/>
      <c r="CV36" s="113"/>
      <c r="CW36" s="113"/>
      <c r="CX36" s="113"/>
      <c r="CY36" s="113"/>
      <c r="CZ36" s="113"/>
      <c r="DA36" s="113"/>
      <c r="DB36" s="113"/>
      <c r="DC36" s="113"/>
      <c r="DD36" s="113"/>
      <c r="DE36" s="113"/>
      <c r="DF36" s="113"/>
      <c r="DG36" s="113"/>
      <c r="DH36" s="113"/>
      <c r="DI36" s="113"/>
      <c r="DJ36" s="113"/>
      <c r="DK36" s="113"/>
      <c r="DL36" s="113"/>
      <c r="DM36" s="113"/>
      <c r="DN36" s="16">
        <f t="shared" si="4"/>
        <v>0</v>
      </c>
    </row>
    <row r="37" spans="5:118" hidden="1" x14ac:dyDescent="0.35">
      <c r="E37" s="111"/>
      <c r="F37" s="112"/>
      <c r="G37" s="112"/>
      <c r="H37" s="38">
        <f t="shared" si="2"/>
        <v>0</v>
      </c>
      <c r="I37" s="116"/>
      <c r="J37" s="38">
        <f t="shared" si="5"/>
        <v>0</v>
      </c>
      <c r="K37" s="38">
        <f t="shared" si="3"/>
        <v>0</v>
      </c>
      <c r="L37" s="38">
        <f t="shared" si="6"/>
        <v>0</v>
      </c>
      <c r="M37" s="39">
        <f t="shared" si="7"/>
        <v>0</v>
      </c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113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  <c r="AW37" s="113"/>
      <c r="AX37" s="113"/>
      <c r="AY37" s="113"/>
      <c r="AZ37" s="113"/>
      <c r="BA37" s="113"/>
      <c r="BB37" s="113"/>
      <c r="BC37" s="113"/>
      <c r="BD37" s="113"/>
      <c r="BE37" s="113"/>
      <c r="BF37" s="113"/>
      <c r="BG37" s="113"/>
      <c r="BH37" s="113"/>
      <c r="BI37" s="113"/>
      <c r="BJ37" s="113"/>
      <c r="BK37" s="113"/>
      <c r="BL37" s="113"/>
      <c r="BM37" s="113"/>
      <c r="BN37" s="113"/>
      <c r="BO37" s="113"/>
      <c r="BP37" s="113"/>
      <c r="BQ37" s="113"/>
      <c r="BR37" s="113"/>
      <c r="BS37" s="113"/>
      <c r="BT37" s="113"/>
      <c r="BU37" s="113"/>
      <c r="BV37" s="113"/>
      <c r="BW37" s="113"/>
      <c r="BX37" s="113"/>
      <c r="BY37" s="113"/>
      <c r="BZ37" s="113"/>
      <c r="CA37" s="113"/>
      <c r="CB37" s="113"/>
      <c r="CC37" s="113"/>
      <c r="CD37" s="113"/>
      <c r="CE37" s="113"/>
      <c r="CF37" s="113"/>
      <c r="CG37" s="113"/>
      <c r="CH37" s="113"/>
      <c r="CI37" s="113"/>
      <c r="CJ37" s="113"/>
      <c r="CK37" s="113"/>
      <c r="CL37" s="113"/>
      <c r="CM37" s="113"/>
      <c r="CN37" s="113"/>
      <c r="CO37" s="113"/>
      <c r="CP37" s="113"/>
      <c r="CQ37" s="113"/>
      <c r="CR37" s="113"/>
      <c r="CS37" s="113"/>
      <c r="CT37" s="113"/>
      <c r="CU37" s="113"/>
      <c r="CV37" s="113"/>
      <c r="CW37" s="113"/>
      <c r="CX37" s="113"/>
      <c r="CY37" s="113"/>
      <c r="CZ37" s="113"/>
      <c r="DA37" s="113"/>
      <c r="DB37" s="113"/>
      <c r="DC37" s="113"/>
      <c r="DD37" s="113"/>
      <c r="DE37" s="113"/>
      <c r="DF37" s="113"/>
      <c r="DG37" s="113"/>
      <c r="DH37" s="113"/>
      <c r="DI37" s="113"/>
      <c r="DJ37" s="113"/>
      <c r="DK37" s="113"/>
      <c r="DL37" s="113"/>
      <c r="DM37" s="113"/>
      <c r="DN37" s="16">
        <f t="shared" si="4"/>
        <v>0</v>
      </c>
    </row>
    <row r="38" spans="5:118" hidden="1" x14ac:dyDescent="0.35">
      <c r="E38" s="111"/>
      <c r="F38" s="112"/>
      <c r="G38" s="112"/>
      <c r="H38" s="38">
        <f t="shared" si="2"/>
        <v>0</v>
      </c>
      <c r="I38" s="116"/>
      <c r="J38" s="38">
        <f t="shared" si="5"/>
        <v>0</v>
      </c>
      <c r="K38" s="38">
        <f t="shared" si="3"/>
        <v>0</v>
      </c>
      <c r="L38" s="38">
        <f t="shared" si="6"/>
        <v>0</v>
      </c>
      <c r="M38" s="39">
        <f t="shared" si="7"/>
        <v>0</v>
      </c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13"/>
      <c r="AP38" s="113"/>
      <c r="AQ38" s="113"/>
      <c r="AR38" s="113"/>
      <c r="AS38" s="113"/>
      <c r="AT38" s="113"/>
      <c r="AU38" s="113"/>
      <c r="AV38" s="113"/>
      <c r="AW38" s="113"/>
      <c r="AX38" s="113"/>
      <c r="AY38" s="113"/>
      <c r="AZ38" s="113"/>
      <c r="BA38" s="113"/>
      <c r="BB38" s="113"/>
      <c r="BC38" s="113"/>
      <c r="BD38" s="113"/>
      <c r="BE38" s="113"/>
      <c r="BF38" s="113"/>
      <c r="BG38" s="113"/>
      <c r="BH38" s="113"/>
      <c r="BI38" s="113"/>
      <c r="BJ38" s="113"/>
      <c r="BK38" s="113"/>
      <c r="BL38" s="113"/>
      <c r="BM38" s="113"/>
      <c r="BN38" s="113"/>
      <c r="BO38" s="113"/>
      <c r="BP38" s="113"/>
      <c r="BQ38" s="113"/>
      <c r="BR38" s="113"/>
      <c r="BS38" s="113"/>
      <c r="BT38" s="113"/>
      <c r="BU38" s="113"/>
      <c r="BV38" s="113"/>
      <c r="BW38" s="113"/>
      <c r="BX38" s="113"/>
      <c r="BY38" s="113"/>
      <c r="BZ38" s="113"/>
      <c r="CA38" s="113"/>
      <c r="CB38" s="113"/>
      <c r="CC38" s="113"/>
      <c r="CD38" s="113"/>
      <c r="CE38" s="113"/>
      <c r="CF38" s="113"/>
      <c r="CG38" s="113"/>
      <c r="CH38" s="113"/>
      <c r="CI38" s="113"/>
      <c r="CJ38" s="113"/>
      <c r="CK38" s="113"/>
      <c r="CL38" s="113"/>
      <c r="CM38" s="113"/>
      <c r="CN38" s="113"/>
      <c r="CO38" s="113"/>
      <c r="CP38" s="113"/>
      <c r="CQ38" s="113"/>
      <c r="CR38" s="113"/>
      <c r="CS38" s="113"/>
      <c r="CT38" s="113"/>
      <c r="CU38" s="113"/>
      <c r="CV38" s="113"/>
      <c r="CW38" s="113"/>
      <c r="CX38" s="113"/>
      <c r="CY38" s="113"/>
      <c r="CZ38" s="113"/>
      <c r="DA38" s="113"/>
      <c r="DB38" s="113"/>
      <c r="DC38" s="113"/>
      <c r="DD38" s="113"/>
      <c r="DE38" s="113"/>
      <c r="DF38" s="113"/>
      <c r="DG38" s="113"/>
      <c r="DH38" s="113"/>
      <c r="DI38" s="113"/>
      <c r="DJ38" s="113"/>
      <c r="DK38" s="113"/>
      <c r="DL38" s="113"/>
      <c r="DM38" s="113"/>
      <c r="DN38" s="16">
        <f t="shared" si="4"/>
        <v>0</v>
      </c>
    </row>
    <row r="39" spans="5:118" hidden="1" x14ac:dyDescent="0.35">
      <c r="E39" s="111"/>
      <c r="F39" s="112"/>
      <c r="G39" s="112"/>
      <c r="H39" s="38">
        <f t="shared" si="2"/>
        <v>0</v>
      </c>
      <c r="I39" s="116"/>
      <c r="J39" s="38">
        <f t="shared" si="5"/>
        <v>0</v>
      </c>
      <c r="K39" s="38">
        <f t="shared" si="3"/>
        <v>0</v>
      </c>
      <c r="L39" s="38">
        <f t="shared" si="6"/>
        <v>0</v>
      </c>
      <c r="M39" s="39">
        <f t="shared" si="7"/>
        <v>0</v>
      </c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113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13"/>
      <c r="AP39" s="113"/>
      <c r="AQ39" s="113"/>
      <c r="AR39" s="113"/>
      <c r="AS39" s="113"/>
      <c r="AT39" s="113"/>
      <c r="AU39" s="113"/>
      <c r="AV39" s="113"/>
      <c r="AW39" s="113"/>
      <c r="AX39" s="113"/>
      <c r="AY39" s="113"/>
      <c r="AZ39" s="113"/>
      <c r="BA39" s="113"/>
      <c r="BB39" s="113"/>
      <c r="BC39" s="113"/>
      <c r="BD39" s="113"/>
      <c r="BE39" s="113"/>
      <c r="BF39" s="113"/>
      <c r="BG39" s="113"/>
      <c r="BH39" s="113"/>
      <c r="BI39" s="113"/>
      <c r="BJ39" s="113"/>
      <c r="BK39" s="113"/>
      <c r="BL39" s="113"/>
      <c r="BM39" s="113"/>
      <c r="BN39" s="113"/>
      <c r="BO39" s="113"/>
      <c r="BP39" s="113"/>
      <c r="BQ39" s="113"/>
      <c r="BR39" s="113"/>
      <c r="BS39" s="113"/>
      <c r="BT39" s="113"/>
      <c r="BU39" s="113"/>
      <c r="BV39" s="113"/>
      <c r="BW39" s="113"/>
      <c r="BX39" s="113"/>
      <c r="BY39" s="113"/>
      <c r="BZ39" s="113"/>
      <c r="CA39" s="113"/>
      <c r="CB39" s="113"/>
      <c r="CC39" s="113"/>
      <c r="CD39" s="113"/>
      <c r="CE39" s="113"/>
      <c r="CF39" s="113"/>
      <c r="CG39" s="113"/>
      <c r="CH39" s="113"/>
      <c r="CI39" s="113"/>
      <c r="CJ39" s="113"/>
      <c r="CK39" s="113"/>
      <c r="CL39" s="113"/>
      <c r="CM39" s="113"/>
      <c r="CN39" s="113"/>
      <c r="CO39" s="113"/>
      <c r="CP39" s="113"/>
      <c r="CQ39" s="113"/>
      <c r="CR39" s="113"/>
      <c r="CS39" s="113"/>
      <c r="CT39" s="113"/>
      <c r="CU39" s="113"/>
      <c r="CV39" s="113"/>
      <c r="CW39" s="113"/>
      <c r="CX39" s="113"/>
      <c r="CY39" s="113"/>
      <c r="CZ39" s="113"/>
      <c r="DA39" s="113"/>
      <c r="DB39" s="113"/>
      <c r="DC39" s="113"/>
      <c r="DD39" s="113"/>
      <c r="DE39" s="113"/>
      <c r="DF39" s="113"/>
      <c r="DG39" s="113"/>
      <c r="DH39" s="113"/>
      <c r="DI39" s="113"/>
      <c r="DJ39" s="113"/>
      <c r="DK39" s="113"/>
      <c r="DL39" s="113"/>
      <c r="DM39" s="113"/>
      <c r="DN39" s="16">
        <f t="shared" si="4"/>
        <v>0</v>
      </c>
    </row>
    <row r="40" spans="5:118" hidden="1" x14ac:dyDescent="0.35">
      <c r="E40" s="111"/>
      <c r="F40" s="112"/>
      <c r="G40" s="112"/>
      <c r="H40" s="38">
        <f t="shared" si="2"/>
        <v>0</v>
      </c>
      <c r="I40" s="116"/>
      <c r="J40" s="38">
        <f t="shared" si="5"/>
        <v>0</v>
      </c>
      <c r="K40" s="38">
        <f t="shared" si="3"/>
        <v>0</v>
      </c>
      <c r="L40" s="38">
        <f t="shared" si="6"/>
        <v>0</v>
      </c>
      <c r="M40" s="39">
        <f t="shared" si="7"/>
        <v>0</v>
      </c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  <c r="AV40" s="113"/>
      <c r="AW40" s="113"/>
      <c r="AX40" s="113"/>
      <c r="AY40" s="113"/>
      <c r="AZ40" s="113"/>
      <c r="BA40" s="113"/>
      <c r="BB40" s="113"/>
      <c r="BC40" s="113"/>
      <c r="BD40" s="113"/>
      <c r="BE40" s="113"/>
      <c r="BF40" s="113"/>
      <c r="BG40" s="113"/>
      <c r="BH40" s="113"/>
      <c r="BI40" s="113"/>
      <c r="BJ40" s="113"/>
      <c r="BK40" s="113"/>
      <c r="BL40" s="113"/>
      <c r="BM40" s="113"/>
      <c r="BN40" s="113"/>
      <c r="BO40" s="113"/>
      <c r="BP40" s="113"/>
      <c r="BQ40" s="113"/>
      <c r="BR40" s="113"/>
      <c r="BS40" s="113"/>
      <c r="BT40" s="113"/>
      <c r="BU40" s="113"/>
      <c r="BV40" s="113"/>
      <c r="BW40" s="113"/>
      <c r="BX40" s="113"/>
      <c r="BY40" s="113"/>
      <c r="BZ40" s="113"/>
      <c r="CA40" s="113"/>
      <c r="CB40" s="113"/>
      <c r="CC40" s="113"/>
      <c r="CD40" s="113"/>
      <c r="CE40" s="113"/>
      <c r="CF40" s="113"/>
      <c r="CG40" s="113"/>
      <c r="CH40" s="113"/>
      <c r="CI40" s="113"/>
      <c r="CJ40" s="113"/>
      <c r="CK40" s="113"/>
      <c r="CL40" s="113"/>
      <c r="CM40" s="113"/>
      <c r="CN40" s="113"/>
      <c r="CO40" s="113"/>
      <c r="CP40" s="113"/>
      <c r="CQ40" s="113"/>
      <c r="CR40" s="113"/>
      <c r="CS40" s="113"/>
      <c r="CT40" s="113"/>
      <c r="CU40" s="113"/>
      <c r="CV40" s="113"/>
      <c r="CW40" s="113"/>
      <c r="CX40" s="113"/>
      <c r="CY40" s="113"/>
      <c r="CZ40" s="113"/>
      <c r="DA40" s="113"/>
      <c r="DB40" s="113"/>
      <c r="DC40" s="113"/>
      <c r="DD40" s="113"/>
      <c r="DE40" s="113"/>
      <c r="DF40" s="113"/>
      <c r="DG40" s="113"/>
      <c r="DH40" s="113"/>
      <c r="DI40" s="113"/>
      <c r="DJ40" s="113"/>
      <c r="DK40" s="113"/>
      <c r="DL40" s="113"/>
      <c r="DM40" s="113"/>
      <c r="DN40" s="16">
        <f t="shared" si="4"/>
        <v>0</v>
      </c>
    </row>
    <row r="41" spans="5:118" hidden="1" x14ac:dyDescent="0.35">
      <c r="E41" s="111"/>
      <c r="F41" s="112"/>
      <c r="G41" s="112"/>
      <c r="H41" s="38">
        <f t="shared" si="2"/>
        <v>0</v>
      </c>
      <c r="I41" s="116"/>
      <c r="J41" s="38">
        <f t="shared" si="5"/>
        <v>0</v>
      </c>
      <c r="K41" s="38">
        <f t="shared" si="3"/>
        <v>0</v>
      </c>
      <c r="L41" s="38">
        <f t="shared" si="6"/>
        <v>0</v>
      </c>
      <c r="M41" s="39">
        <f t="shared" si="7"/>
        <v>0</v>
      </c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113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  <c r="AU41" s="113"/>
      <c r="AV41" s="113"/>
      <c r="AW41" s="113"/>
      <c r="AX41" s="113"/>
      <c r="AY41" s="113"/>
      <c r="AZ41" s="113"/>
      <c r="BA41" s="113"/>
      <c r="BB41" s="113"/>
      <c r="BC41" s="113"/>
      <c r="BD41" s="113"/>
      <c r="BE41" s="113"/>
      <c r="BF41" s="113"/>
      <c r="BG41" s="113"/>
      <c r="BH41" s="113"/>
      <c r="BI41" s="113"/>
      <c r="BJ41" s="113"/>
      <c r="BK41" s="113"/>
      <c r="BL41" s="113"/>
      <c r="BM41" s="113"/>
      <c r="BN41" s="113"/>
      <c r="BO41" s="113"/>
      <c r="BP41" s="113"/>
      <c r="BQ41" s="113"/>
      <c r="BR41" s="113"/>
      <c r="BS41" s="113"/>
      <c r="BT41" s="113"/>
      <c r="BU41" s="113"/>
      <c r="BV41" s="113"/>
      <c r="BW41" s="113"/>
      <c r="BX41" s="113"/>
      <c r="BY41" s="113"/>
      <c r="BZ41" s="113"/>
      <c r="CA41" s="113"/>
      <c r="CB41" s="113"/>
      <c r="CC41" s="113"/>
      <c r="CD41" s="113"/>
      <c r="CE41" s="113"/>
      <c r="CF41" s="113"/>
      <c r="CG41" s="113"/>
      <c r="CH41" s="113"/>
      <c r="CI41" s="113"/>
      <c r="CJ41" s="113"/>
      <c r="CK41" s="113"/>
      <c r="CL41" s="113"/>
      <c r="CM41" s="113"/>
      <c r="CN41" s="113"/>
      <c r="CO41" s="113"/>
      <c r="CP41" s="113"/>
      <c r="CQ41" s="113"/>
      <c r="CR41" s="113"/>
      <c r="CS41" s="113"/>
      <c r="CT41" s="113"/>
      <c r="CU41" s="113"/>
      <c r="CV41" s="113"/>
      <c r="CW41" s="113"/>
      <c r="CX41" s="113"/>
      <c r="CY41" s="113"/>
      <c r="CZ41" s="113"/>
      <c r="DA41" s="113"/>
      <c r="DB41" s="113"/>
      <c r="DC41" s="113"/>
      <c r="DD41" s="113"/>
      <c r="DE41" s="113"/>
      <c r="DF41" s="113"/>
      <c r="DG41" s="113"/>
      <c r="DH41" s="113"/>
      <c r="DI41" s="113"/>
      <c r="DJ41" s="113"/>
      <c r="DK41" s="113"/>
      <c r="DL41" s="113"/>
      <c r="DM41" s="113"/>
      <c r="DN41" s="16">
        <f t="shared" si="4"/>
        <v>0</v>
      </c>
    </row>
    <row r="42" spans="5:118" hidden="1" x14ac:dyDescent="0.35">
      <c r="E42" s="111"/>
      <c r="F42" s="112"/>
      <c r="G42" s="112"/>
      <c r="H42" s="38">
        <f t="shared" si="2"/>
        <v>0</v>
      </c>
      <c r="I42" s="116"/>
      <c r="J42" s="38">
        <f t="shared" si="5"/>
        <v>0</v>
      </c>
      <c r="K42" s="38">
        <f t="shared" si="3"/>
        <v>0</v>
      </c>
      <c r="L42" s="38">
        <f t="shared" si="6"/>
        <v>0</v>
      </c>
      <c r="M42" s="39">
        <f t="shared" si="7"/>
        <v>0</v>
      </c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  <c r="AU42" s="113"/>
      <c r="AV42" s="113"/>
      <c r="AW42" s="113"/>
      <c r="AX42" s="113"/>
      <c r="AY42" s="11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  <c r="BM42" s="113"/>
      <c r="BN42" s="113"/>
      <c r="BO42" s="113"/>
      <c r="BP42" s="113"/>
      <c r="BQ42" s="113"/>
      <c r="BR42" s="113"/>
      <c r="BS42" s="113"/>
      <c r="BT42" s="113"/>
      <c r="BU42" s="113"/>
      <c r="BV42" s="113"/>
      <c r="BW42" s="113"/>
      <c r="BX42" s="113"/>
      <c r="BY42" s="113"/>
      <c r="BZ42" s="113"/>
      <c r="CA42" s="113"/>
      <c r="CB42" s="113"/>
      <c r="CC42" s="113"/>
      <c r="CD42" s="113"/>
      <c r="CE42" s="113"/>
      <c r="CF42" s="113"/>
      <c r="CG42" s="113"/>
      <c r="CH42" s="113"/>
      <c r="CI42" s="113"/>
      <c r="CJ42" s="113"/>
      <c r="CK42" s="113"/>
      <c r="CL42" s="113"/>
      <c r="CM42" s="113"/>
      <c r="CN42" s="113"/>
      <c r="CO42" s="113"/>
      <c r="CP42" s="113"/>
      <c r="CQ42" s="113"/>
      <c r="CR42" s="113"/>
      <c r="CS42" s="113"/>
      <c r="CT42" s="113"/>
      <c r="CU42" s="113"/>
      <c r="CV42" s="113"/>
      <c r="CW42" s="113"/>
      <c r="CX42" s="113"/>
      <c r="CY42" s="113"/>
      <c r="CZ42" s="113"/>
      <c r="DA42" s="113"/>
      <c r="DB42" s="113"/>
      <c r="DC42" s="113"/>
      <c r="DD42" s="113"/>
      <c r="DE42" s="113"/>
      <c r="DF42" s="113"/>
      <c r="DG42" s="113"/>
      <c r="DH42" s="113"/>
      <c r="DI42" s="113"/>
      <c r="DJ42" s="113"/>
      <c r="DK42" s="113"/>
      <c r="DL42" s="113"/>
      <c r="DM42" s="113"/>
      <c r="DN42" s="16">
        <f t="shared" si="4"/>
        <v>0</v>
      </c>
    </row>
    <row r="43" spans="5:118" hidden="1" x14ac:dyDescent="0.35">
      <c r="E43" s="111"/>
      <c r="F43" s="112"/>
      <c r="G43" s="112"/>
      <c r="H43" s="38">
        <f t="shared" si="2"/>
        <v>0</v>
      </c>
      <c r="I43" s="116"/>
      <c r="J43" s="38">
        <f t="shared" si="5"/>
        <v>0</v>
      </c>
      <c r="K43" s="38">
        <f t="shared" si="3"/>
        <v>0</v>
      </c>
      <c r="L43" s="38">
        <f t="shared" si="6"/>
        <v>0</v>
      </c>
      <c r="M43" s="39">
        <f t="shared" si="7"/>
        <v>0</v>
      </c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113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  <c r="AU43" s="113"/>
      <c r="AV43" s="113"/>
      <c r="AW43" s="113"/>
      <c r="AX43" s="113"/>
      <c r="AY43" s="113"/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  <c r="BM43" s="113"/>
      <c r="BN43" s="113"/>
      <c r="BO43" s="113"/>
      <c r="BP43" s="113"/>
      <c r="BQ43" s="113"/>
      <c r="BR43" s="113"/>
      <c r="BS43" s="113"/>
      <c r="BT43" s="113"/>
      <c r="BU43" s="113"/>
      <c r="BV43" s="113"/>
      <c r="BW43" s="113"/>
      <c r="BX43" s="113"/>
      <c r="BY43" s="113"/>
      <c r="BZ43" s="113"/>
      <c r="CA43" s="113"/>
      <c r="CB43" s="113"/>
      <c r="CC43" s="113"/>
      <c r="CD43" s="113"/>
      <c r="CE43" s="113"/>
      <c r="CF43" s="113"/>
      <c r="CG43" s="113"/>
      <c r="CH43" s="113"/>
      <c r="CI43" s="113"/>
      <c r="CJ43" s="113"/>
      <c r="CK43" s="113"/>
      <c r="CL43" s="113"/>
      <c r="CM43" s="113"/>
      <c r="CN43" s="113"/>
      <c r="CO43" s="113"/>
      <c r="CP43" s="113"/>
      <c r="CQ43" s="113"/>
      <c r="CR43" s="113"/>
      <c r="CS43" s="113"/>
      <c r="CT43" s="113"/>
      <c r="CU43" s="113"/>
      <c r="CV43" s="113"/>
      <c r="CW43" s="113"/>
      <c r="CX43" s="113"/>
      <c r="CY43" s="113"/>
      <c r="CZ43" s="113"/>
      <c r="DA43" s="113"/>
      <c r="DB43" s="113"/>
      <c r="DC43" s="113"/>
      <c r="DD43" s="113"/>
      <c r="DE43" s="113"/>
      <c r="DF43" s="113"/>
      <c r="DG43" s="113"/>
      <c r="DH43" s="113"/>
      <c r="DI43" s="113"/>
      <c r="DJ43" s="113"/>
      <c r="DK43" s="113"/>
      <c r="DL43" s="113"/>
      <c r="DM43" s="113"/>
      <c r="DN43" s="16">
        <f t="shared" si="4"/>
        <v>0</v>
      </c>
    </row>
    <row r="44" spans="5:118" hidden="1" x14ac:dyDescent="0.35">
      <c r="E44" s="111"/>
      <c r="F44" s="112"/>
      <c r="G44" s="112"/>
      <c r="H44" s="38">
        <f t="shared" si="2"/>
        <v>0</v>
      </c>
      <c r="I44" s="116"/>
      <c r="J44" s="38">
        <f t="shared" si="5"/>
        <v>0</v>
      </c>
      <c r="K44" s="38">
        <f t="shared" si="3"/>
        <v>0</v>
      </c>
      <c r="L44" s="38">
        <f t="shared" si="6"/>
        <v>0</v>
      </c>
      <c r="M44" s="39">
        <f t="shared" si="7"/>
        <v>0</v>
      </c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113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  <c r="AU44" s="113"/>
      <c r="AV44" s="113"/>
      <c r="AW44" s="113"/>
      <c r="AX44" s="113"/>
      <c r="AY44" s="11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  <c r="BM44" s="113"/>
      <c r="BN44" s="113"/>
      <c r="BO44" s="113"/>
      <c r="BP44" s="113"/>
      <c r="BQ44" s="113"/>
      <c r="BR44" s="113"/>
      <c r="BS44" s="113"/>
      <c r="BT44" s="113"/>
      <c r="BU44" s="113"/>
      <c r="BV44" s="113"/>
      <c r="BW44" s="113"/>
      <c r="BX44" s="113"/>
      <c r="BY44" s="113"/>
      <c r="BZ44" s="113"/>
      <c r="CA44" s="113"/>
      <c r="CB44" s="113"/>
      <c r="CC44" s="113"/>
      <c r="CD44" s="113"/>
      <c r="CE44" s="113"/>
      <c r="CF44" s="113"/>
      <c r="CG44" s="113"/>
      <c r="CH44" s="113"/>
      <c r="CI44" s="113"/>
      <c r="CJ44" s="113"/>
      <c r="CK44" s="113"/>
      <c r="CL44" s="113"/>
      <c r="CM44" s="113"/>
      <c r="CN44" s="113"/>
      <c r="CO44" s="113"/>
      <c r="CP44" s="113"/>
      <c r="CQ44" s="113"/>
      <c r="CR44" s="113"/>
      <c r="CS44" s="113"/>
      <c r="CT44" s="113"/>
      <c r="CU44" s="113"/>
      <c r="CV44" s="113"/>
      <c r="CW44" s="113"/>
      <c r="CX44" s="113"/>
      <c r="CY44" s="113"/>
      <c r="CZ44" s="113"/>
      <c r="DA44" s="113"/>
      <c r="DB44" s="113"/>
      <c r="DC44" s="113"/>
      <c r="DD44" s="113"/>
      <c r="DE44" s="113"/>
      <c r="DF44" s="113"/>
      <c r="DG44" s="113"/>
      <c r="DH44" s="113"/>
      <c r="DI44" s="113"/>
      <c r="DJ44" s="113"/>
      <c r="DK44" s="113"/>
      <c r="DL44" s="113"/>
      <c r="DM44" s="113"/>
      <c r="DN44" s="16">
        <f t="shared" si="4"/>
        <v>0</v>
      </c>
    </row>
    <row r="45" spans="5:118" hidden="1" x14ac:dyDescent="0.35">
      <c r="E45" s="111"/>
      <c r="F45" s="112"/>
      <c r="G45" s="112"/>
      <c r="H45" s="38">
        <f t="shared" si="2"/>
        <v>0</v>
      </c>
      <c r="I45" s="116"/>
      <c r="J45" s="38">
        <f t="shared" si="5"/>
        <v>0</v>
      </c>
      <c r="K45" s="38">
        <f t="shared" si="3"/>
        <v>0</v>
      </c>
      <c r="L45" s="38">
        <f t="shared" si="6"/>
        <v>0</v>
      </c>
      <c r="M45" s="39">
        <f t="shared" si="7"/>
        <v>0</v>
      </c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  <c r="AW45" s="113"/>
      <c r="AX45" s="113"/>
      <c r="AY45" s="11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  <c r="BM45" s="113"/>
      <c r="BN45" s="113"/>
      <c r="BO45" s="113"/>
      <c r="BP45" s="113"/>
      <c r="BQ45" s="113"/>
      <c r="BR45" s="113"/>
      <c r="BS45" s="113"/>
      <c r="BT45" s="113"/>
      <c r="BU45" s="113"/>
      <c r="BV45" s="113"/>
      <c r="BW45" s="113"/>
      <c r="BX45" s="113"/>
      <c r="BY45" s="113"/>
      <c r="BZ45" s="113"/>
      <c r="CA45" s="113"/>
      <c r="CB45" s="113"/>
      <c r="CC45" s="113"/>
      <c r="CD45" s="113"/>
      <c r="CE45" s="113"/>
      <c r="CF45" s="113"/>
      <c r="CG45" s="113"/>
      <c r="CH45" s="113"/>
      <c r="CI45" s="113"/>
      <c r="CJ45" s="113"/>
      <c r="CK45" s="113"/>
      <c r="CL45" s="113"/>
      <c r="CM45" s="113"/>
      <c r="CN45" s="113"/>
      <c r="CO45" s="113"/>
      <c r="CP45" s="113"/>
      <c r="CQ45" s="113"/>
      <c r="CR45" s="113"/>
      <c r="CS45" s="113"/>
      <c r="CT45" s="113"/>
      <c r="CU45" s="113"/>
      <c r="CV45" s="113"/>
      <c r="CW45" s="113"/>
      <c r="CX45" s="113"/>
      <c r="CY45" s="113"/>
      <c r="CZ45" s="113"/>
      <c r="DA45" s="113"/>
      <c r="DB45" s="113"/>
      <c r="DC45" s="113"/>
      <c r="DD45" s="113"/>
      <c r="DE45" s="113"/>
      <c r="DF45" s="113"/>
      <c r="DG45" s="113"/>
      <c r="DH45" s="113"/>
      <c r="DI45" s="113"/>
      <c r="DJ45" s="113"/>
      <c r="DK45" s="113"/>
      <c r="DL45" s="113"/>
      <c r="DM45" s="113"/>
      <c r="DN45" s="16">
        <f t="shared" si="4"/>
        <v>0</v>
      </c>
    </row>
    <row r="46" spans="5:118" hidden="1" x14ac:dyDescent="0.35">
      <c r="E46" s="111"/>
      <c r="F46" s="112"/>
      <c r="G46" s="112"/>
      <c r="H46" s="38">
        <f t="shared" si="2"/>
        <v>0</v>
      </c>
      <c r="I46" s="116"/>
      <c r="J46" s="38">
        <f t="shared" si="5"/>
        <v>0</v>
      </c>
      <c r="K46" s="38">
        <f t="shared" si="3"/>
        <v>0</v>
      </c>
      <c r="L46" s="38">
        <f t="shared" si="6"/>
        <v>0</v>
      </c>
      <c r="M46" s="39">
        <f t="shared" si="7"/>
        <v>0</v>
      </c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113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  <c r="AV46" s="113"/>
      <c r="AW46" s="113"/>
      <c r="AX46" s="113"/>
      <c r="AY46" s="11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  <c r="BM46" s="113"/>
      <c r="BN46" s="113"/>
      <c r="BO46" s="113"/>
      <c r="BP46" s="113"/>
      <c r="BQ46" s="113"/>
      <c r="BR46" s="113"/>
      <c r="BS46" s="113"/>
      <c r="BT46" s="113"/>
      <c r="BU46" s="113"/>
      <c r="BV46" s="113"/>
      <c r="BW46" s="113"/>
      <c r="BX46" s="113"/>
      <c r="BY46" s="113"/>
      <c r="BZ46" s="113"/>
      <c r="CA46" s="113"/>
      <c r="CB46" s="113"/>
      <c r="CC46" s="113"/>
      <c r="CD46" s="113"/>
      <c r="CE46" s="113"/>
      <c r="CF46" s="113"/>
      <c r="CG46" s="113"/>
      <c r="CH46" s="113"/>
      <c r="CI46" s="113"/>
      <c r="CJ46" s="113"/>
      <c r="CK46" s="113"/>
      <c r="CL46" s="113"/>
      <c r="CM46" s="113"/>
      <c r="CN46" s="113"/>
      <c r="CO46" s="113"/>
      <c r="CP46" s="113"/>
      <c r="CQ46" s="113"/>
      <c r="CR46" s="113"/>
      <c r="CS46" s="113"/>
      <c r="CT46" s="113"/>
      <c r="CU46" s="113"/>
      <c r="CV46" s="113"/>
      <c r="CW46" s="113"/>
      <c r="CX46" s="113"/>
      <c r="CY46" s="113"/>
      <c r="CZ46" s="113"/>
      <c r="DA46" s="113"/>
      <c r="DB46" s="113"/>
      <c r="DC46" s="113"/>
      <c r="DD46" s="113"/>
      <c r="DE46" s="113"/>
      <c r="DF46" s="113"/>
      <c r="DG46" s="113"/>
      <c r="DH46" s="113"/>
      <c r="DI46" s="113"/>
      <c r="DJ46" s="113"/>
      <c r="DK46" s="113"/>
      <c r="DL46" s="113"/>
      <c r="DM46" s="113"/>
      <c r="DN46" s="16">
        <f t="shared" si="4"/>
        <v>0</v>
      </c>
    </row>
    <row r="47" spans="5:118" hidden="1" x14ac:dyDescent="0.35">
      <c r="E47" s="111"/>
      <c r="F47" s="112"/>
      <c r="G47" s="112"/>
      <c r="H47" s="38">
        <f t="shared" si="2"/>
        <v>0</v>
      </c>
      <c r="I47" s="116"/>
      <c r="J47" s="38">
        <f t="shared" si="5"/>
        <v>0</v>
      </c>
      <c r="K47" s="38">
        <f t="shared" si="3"/>
        <v>0</v>
      </c>
      <c r="L47" s="38">
        <f t="shared" si="6"/>
        <v>0</v>
      </c>
      <c r="M47" s="39">
        <f t="shared" si="7"/>
        <v>0</v>
      </c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113"/>
      <c r="AE47" s="113"/>
      <c r="AF47" s="113"/>
      <c r="AG47" s="113"/>
      <c r="AH47" s="113"/>
      <c r="AI47" s="113"/>
      <c r="AJ47" s="113"/>
      <c r="AK47" s="113"/>
      <c r="AL47" s="113"/>
      <c r="AM47" s="113"/>
      <c r="AN47" s="113"/>
      <c r="AO47" s="113"/>
      <c r="AP47" s="113"/>
      <c r="AQ47" s="113"/>
      <c r="AR47" s="113"/>
      <c r="AS47" s="113"/>
      <c r="AT47" s="113"/>
      <c r="AU47" s="113"/>
      <c r="AV47" s="113"/>
      <c r="AW47" s="113"/>
      <c r="AX47" s="113"/>
      <c r="AY47" s="113"/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  <c r="BM47" s="113"/>
      <c r="BN47" s="113"/>
      <c r="BO47" s="113"/>
      <c r="BP47" s="113"/>
      <c r="BQ47" s="113"/>
      <c r="BR47" s="113"/>
      <c r="BS47" s="113"/>
      <c r="BT47" s="113"/>
      <c r="BU47" s="113"/>
      <c r="BV47" s="113"/>
      <c r="BW47" s="113"/>
      <c r="BX47" s="113"/>
      <c r="BY47" s="113"/>
      <c r="BZ47" s="113"/>
      <c r="CA47" s="113"/>
      <c r="CB47" s="113"/>
      <c r="CC47" s="113"/>
      <c r="CD47" s="113"/>
      <c r="CE47" s="113"/>
      <c r="CF47" s="113"/>
      <c r="CG47" s="113"/>
      <c r="CH47" s="113"/>
      <c r="CI47" s="113"/>
      <c r="CJ47" s="113"/>
      <c r="CK47" s="113"/>
      <c r="CL47" s="113"/>
      <c r="CM47" s="113"/>
      <c r="CN47" s="113"/>
      <c r="CO47" s="113"/>
      <c r="CP47" s="113"/>
      <c r="CQ47" s="113"/>
      <c r="CR47" s="113"/>
      <c r="CS47" s="113"/>
      <c r="CT47" s="113"/>
      <c r="CU47" s="113"/>
      <c r="CV47" s="113"/>
      <c r="CW47" s="113"/>
      <c r="CX47" s="113"/>
      <c r="CY47" s="113"/>
      <c r="CZ47" s="113"/>
      <c r="DA47" s="113"/>
      <c r="DB47" s="113"/>
      <c r="DC47" s="113"/>
      <c r="DD47" s="113"/>
      <c r="DE47" s="113"/>
      <c r="DF47" s="113"/>
      <c r="DG47" s="113"/>
      <c r="DH47" s="113"/>
      <c r="DI47" s="113"/>
      <c r="DJ47" s="113"/>
      <c r="DK47" s="113"/>
      <c r="DL47" s="113"/>
      <c r="DM47" s="113"/>
      <c r="DN47" s="16">
        <f t="shared" si="4"/>
        <v>0</v>
      </c>
    </row>
    <row r="48" spans="5:118" hidden="1" x14ac:dyDescent="0.35">
      <c r="E48" s="111"/>
      <c r="F48" s="112"/>
      <c r="G48" s="112"/>
      <c r="H48" s="38">
        <f t="shared" si="2"/>
        <v>0</v>
      </c>
      <c r="I48" s="116"/>
      <c r="J48" s="38">
        <f t="shared" si="5"/>
        <v>0</v>
      </c>
      <c r="K48" s="38">
        <f t="shared" si="3"/>
        <v>0</v>
      </c>
      <c r="L48" s="38">
        <f t="shared" si="6"/>
        <v>0</v>
      </c>
      <c r="M48" s="39">
        <f t="shared" si="7"/>
        <v>0</v>
      </c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113"/>
      <c r="AE48" s="113"/>
      <c r="AF48" s="113"/>
      <c r="AG48" s="113"/>
      <c r="AH48" s="113"/>
      <c r="AI48" s="113"/>
      <c r="AJ48" s="113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  <c r="AU48" s="113"/>
      <c r="AV48" s="113"/>
      <c r="AW48" s="113"/>
      <c r="AX48" s="113"/>
      <c r="AY48" s="113"/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  <c r="BM48" s="113"/>
      <c r="BN48" s="113"/>
      <c r="BO48" s="113"/>
      <c r="BP48" s="113"/>
      <c r="BQ48" s="113"/>
      <c r="BR48" s="113"/>
      <c r="BS48" s="113"/>
      <c r="BT48" s="113"/>
      <c r="BU48" s="113"/>
      <c r="BV48" s="113"/>
      <c r="BW48" s="113"/>
      <c r="BX48" s="113"/>
      <c r="BY48" s="113"/>
      <c r="BZ48" s="113"/>
      <c r="CA48" s="113"/>
      <c r="CB48" s="113"/>
      <c r="CC48" s="113"/>
      <c r="CD48" s="113"/>
      <c r="CE48" s="113"/>
      <c r="CF48" s="113"/>
      <c r="CG48" s="113"/>
      <c r="CH48" s="113"/>
      <c r="CI48" s="113"/>
      <c r="CJ48" s="113"/>
      <c r="CK48" s="113"/>
      <c r="CL48" s="113"/>
      <c r="CM48" s="113"/>
      <c r="CN48" s="113"/>
      <c r="CO48" s="113"/>
      <c r="CP48" s="113"/>
      <c r="CQ48" s="113"/>
      <c r="CR48" s="113"/>
      <c r="CS48" s="113"/>
      <c r="CT48" s="113"/>
      <c r="CU48" s="113"/>
      <c r="CV48" s="113"/>
      <c r="CW48" s="113"/>
      <c r="CX48" s="113"/>
      <c r="CY48" s="113"/>
      <c r="CZ48" s="113"/>
      <c r="DA48" s="113"/>
      <c r="DB48" s="113"/>
      <c r="DC48" s="113"/>
      <c r="DD48" s="113"/>
      <c r="DE48" s="113"/>
      <c r="DF48" s="113"/>
      <c r="DG48" s="113"/>
      <c r="DH48" s="113"/>
      <c r="DI48" s="113"/>
      <c r="DJ48" s="113"/>
      <c r="DK48" s="113"/>
      <c r="DL48" s="113"/>
      <c r="DM48" s="113"/>
      <c r="DN48" s="16">
        <f t="shared" si="4"/>
        <v>0</v>
      </c>
    </row>
    <row r="49" spans="5:118" hidden="1" x14ac:dyDescent="0.35">
      <c r="E49" s="111"/>
      <c r="F49" s="112"/>
      <c r="G49" s="112"/>
      <c r="H49" s="38">
        <f t="shared" si="2"/>
        <v>0</v>
      </c>
      <c r="I49" s="116"/>
      <c r="J49" s="38">
        <f t="shared" si="5"/>
        <v>0</v>
      </c>
      <c r="K49" s="38">
        <f t="shared" si="3"/>
        <v>0</v>
      </c>
      <c r="L49" s="38">
        <f t="shared" si="6"/>
        <v>0</v>
      </c>
      <c r="M49" s="39">
        <f t="shared" si="7"/>
        <v>0</v>
      </c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113"/>
      <c r="AE49" s="113"/>
      <c r="AF49" s="113"/>
      <c r="AG49" s="113"/>
      <c r="AH49" s="113"/>
      <c r="AI49" s="113"/>
      <c r="AJ49" s="113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  <c r="AU49" s="113"/>
      <c r="AV49" s="113"/>
      <c r="AW49" s="113"/>
      <c r="AX49" s="113"/>
      <c r="AY49" s="113"/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  <c r="BM49" s="113"/>
      <c r="BN49" s="113"/>
      <c r="BO49" s="113"/>
      <c r="BP49" s="113"/>
      <c r="BQ49" s="113"/>
      <c r="BR49" s="113"/>
      <c r="BS49" s="113"/>
      <c r="BT49" s="113"/>
      <c r="BU49" s="113"/>
      <c r="BV49" s="113"/>
      <c r="BW49" s="113"/>
      <c r="BX49" s="113"/>
      <c r="BY49" s="113"/>
      <c r="BZ49" s="113"/>
      <c r="CA49" s="113"/>
      <c r="CB49" s="113"/>
      <c r="CC49" s="113"/>
      <c r="CD49" s="113"/>
      <c r="CE49" s="113"/>
      <c r="CF49" s="113"/>
      <c r="CG49" s="113"/>
      <c r="CH49" s="113"/>
      <c r="CI49" s="113"/>
      <c r="CJ49" s="113"/>
      <c r="CK49" s="113"/>
      <c r="CL49" s="113"/>
      <c r="CM49" s="113"/>
      <c r="CN49" s="113"/>
      <c r="CO49" s="113"/>
      <c r="CP49" s="113"/>
      <c r="CQ49" s="113"/>
      <c r="CR49" s="113"/>
      <c r="CS49" s="113"/>
      <c r="CT49" s="113"/>
      <c r="CU49" s="113"/>
      <c r="CV49" s="113"/>
      <c r="CW49" s="113"/>
      <c r="CX49" s="113"/>
      <c r="CY49" s="113"/>
      <c r="CZ49" s="113"/>
      <c r="DA49" s="113"/>
      <c r="DB49" s="113"/>
      <c r="DC49" s="113"/>
      <c r="DD49" s="113"/>
      <c r="DE49" s="113"/>
      <c r="DF49" s="113"/>
      <c r="DG49" s="113"/>
      <c r="DH49" s="113"/>
      <c r="DI49" s="113"/>
      <c r="DJ49" s="113"/>
      <c r="DK49" s="113"/>
      <c r="DL49" s="113"/>
      <c r="DM49" s="113"/>
      <c r="DN49" s="16">
        <f t="shared" si="4"/>
        <v>0</v>
      </c>
    </row>
    <row r="50" spans="5:118" hidden="1" x14ac:dyDescent="0.35">
      <c r="E50" s="111"/>
      <c r="F50" s="112"/>
      <c r="G50" s="112"/>
      <c r="H50" s="38">
        <f t="shared" si="2"/>
        <v>0</v>
      </c>
      <c r="I50" s="116"/>
      <c r="J50" s="38">
        <f t="shared" si="5"/>
        <v>0</v>
      </c>
      <c r="K50" s="38">
        <f t="shared" si="3"/>
        <v>0</v>
      </c>
      <c r="L50" s="38">
        <f t="shared" si="6"/>
        <v>0</v>
      </c>
      <c r="M50" s="39">
        <f t="shared" si="7"/>
        <v>0</v>
      </c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  <c r="AH50" s="113"/>
      <c r="AI50" s="113"/>
      <c r="AJ50" s="113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  <c r="AU50" s="113"/>
      <c r="AV50" s="113"/>
      <c r="AW50" s="113"/>
      <c r="AX50" s="113"/>
      <c r="AY50" s="113"/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  <c r="BM50" s="113"/>
      <c r="BN50" s="113"/>
      <c r="BO50" s="113"/>
      <c r="BP50" s="113"/>
      <c r="BQ50" s="113"/>
      <c r="BR50" s="113"/>
      <c r="BS50" s="113"/>
      <c r="BT50" s="113"/>
      <c r="BU50" s="113"/>
      <c r="BV50" s="113"/>
      <c r="BW50" s="113"/>
      <c r="BX50" s="113"/>
      <c r="BY50" s="113"/>
      <c r="BZ50" s="113"/>
      <c r="CA50" s="113"/>
      <c r="CB50" s="113"/>
      <c r="CC50" s="113"/>
      <c r="CD50" s="113"/>
      <c r="CE50" s="113"/>
      <c r="CF50" s="113"/>
      <c r="CG50" s="113"/>
      <c r="CH50" s="113"/>
      <c r="CI50" s="113"/>
      <c r="CJ50" s="113"/>
      <c r="CK50" s="113"/>
      <c r="CL50" s="113"/>
      <c r="CM50" s="113"/>
      <c r="CN50" s="113"/>
      <c r="CO50" s="113"/>
      <c r="CP50" s="113"/>
      <c r="CQ50" s="113"/>
      <c r="CR50" s="113"/>
      <c r="CS50" s="113"/>
      <c r="CT50" s="113"/>
      <c r="CU50" s="113"/>
      <c r="CV50" s="113"/>
      <c r="CW50" s="113"/>
      <c r="CX50" s="113"/>
      <c r="CY50" s="113"/>
      <c r="CZ50" s="113"/>
      <c r="DA50" s="113"/>
      <c r="DB50" s="113"/>
      <c r="DC50" s="113"/>
      <c r="DD50" s="113"/>
      <c r="DE50" s="113"/>
      <c r="DF50" s="113"/>
      <c r="DG50" s="113"/>
      <c r="DH50" s="113"/>
      <c r="DI50" s="113"/>
      <c r="DJ50" s="113"/>
      <c r="DK50" s="113"/>
      <c r="DL50" s="113"/>
      <c r="DM50" s="113"/>
      <c r="DN50" s="16">
        <f t="shared" si="4"/>
        <v>0</v>
      </c>
    </row>
    <row r="51" spans="5:118" hidden="1" x14ac:dyDescent="0.35">
      <c r="E51" s="111"/>
      <c r="F51" s="112"/>
      <c r="G51" s="112"/>
      <c r="H51" s="38">
        <f t="shared" si="2"/>
        <v>0</v>
      </c>
      <c r="I51" s="116"/>
      <c r="J51" s="38">
        <f t="shared" si="5"/>
        <v>0</v>
      </c>
      <c r="K51" s="38">
        <f t="shared" si="3"/>
        <v>0</v>
      </c>
      <c r="L51" s="38">
        <f t="shared" si="6"/>
        <v>0</v>
      </c>
      <c r="M51" s="39">
        <f t="shared" si="7"/>
        <v>0</v>
      </c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113"/>
      <c r="AE51" s="113"/>
      <c r="AF51" s="113"/>
      <c r="AG51" s="113"/>
      <c r="AH51" s="113"/>
      <c r="AI51" s="113"/>
      <c r="AJ51" s="113"/>
      <c r="AK51" s="113"/>
      <c r="AL51" s="113"/>
      <c r="AM51" s="113"/>
      <c r="AN51" s="113"/>
      <c r="AO51" s="113"/>
      <c r="AP51" s="113"/>
      <c r="AQ51" s="113"/>
      <c r="AR51" s="113"/>
      <c r="AS51" s="113"/>
      <c r="AT51" s="113"/>
      <c r="AU51" s="113"/>
      <c r="AV51" s="113"/>
      <c r="AW51" s="113"/>
      <c r="AX51" s="113"/>
      <c r="AY51" s="113"/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  <c r="BM51" s="113"/>
      <c r="BN51" s="113"/>
      <c r="BO51" s="113"/>
      <c r="BP51" s="113"/>
      <c r="BQ51" s="113"/>
      <c r="BR51" s="113"/>
      <c r="BS51" s="113"/>
      <c r="BT51" s="113"/>
      <c r="BU51" s="113"/>
      <c r="BV51" s="113"/>
      <c r="BW51" s="113"/>
      <c r="BX51" s="113"/>
      <c r="BY51" s="113"/>
      <c r="BZ51" s="113"/>
      <c r="CA51" s="113"/>
      <c r="CB51" s="113"/>
      <c r="CC51" s="113"/>
      <c r="CD51" s="113"/>
      <c r="CE51" s="113"/>
      <c r="CF51" s="113"/>
      <c r="CG51" s="113"/>
      <c r="CH51" s="113"/>
      <c r="CI51" s="113"/>
      <c r="CJ51" s="113"/>
      <c r="CK51" s="113"/>
      <c r="CL51" s="113"/>
      <c r="CM51" s="113"/>
      <c r="CN51" s="113"/>
      <c r="CO51" s="113"/>
      <c r="CP51" s="113"/>
      <c r="CQ51" s="113"/>
      <c r="CR51" s="113"/>
      <c r="CS51" s="113"/>
      <c r="CT51" s="113"/>
      <c r="CU51" s="113"/>
      <c r="CV51" s="113"/>
      <c r="CW51" s="113"/>
      <c r="CX51" s="113"/>
      <c r="CY51" s="113"/>
      <c r="CZ51" s="113"/>
      <c r="DA51" s="113"/>
      <c r="DB51" s="113"/>
      <c r="DC51" s="113"/>
      <c r="DD51" s="113"/>
      <c r="DE51" s="113"/>
      <c r="DF51" s="113"/>
      <c r="DG51" s="113"/>
      <c r="DH51" s="113"/>
      <c r="DI51" s="113"/>
      <c r="DJ51" s="113"/>
      <c r="DK51" s="113"/>
      <c r="DL51" s="113"/>
      <c r="DM51" s="113"/>
      <c r="DN51" s="16">
        <f t="shared" si="4"/>
        <v>0</v>
      </c>
    </row>
    <row r="52" spans="5:118" hidden="1" x14ac:dyDescent="0.35">
      <c r="E52" s="111"/>
      <c r="F52" s="112"/>
      <c r="G52" s="112"/>
      <c r="H52" s="38">
        <f t="shared" ref="H52:H69" si="8">IFERROR(VLOOKUP(G52,Resource_List,2,FALSE),0)</f>
        <v>0</v>
      </c>
      <c r="I52" s="116"/>
      <c r="J52" s="38">
        <f t="shared" si="5"/>
        <v>0</v>
      </c>
      <c r="K52" s="38">
        <f t="shared" ref="K52:K69" si="9">H52*M52</f>
        <v>0</v>
      </c>
      <c r="L52" s="38">
        <f t="shared" si="6"/>
        <v>0</v>
      </c>
      <c r="M52" s="39">
        <f t="shared" si="7"/>
        <v>0</v>
      </c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113"/>
      <c r="AE52" s="113"/>
      <c r="AF52" s="113"/>
      <c r="AG52" s="113"/>
      <c r="AH52" s="113"/>
      <c r="AI52" s="113"/>
      <c r="AJ52" s="113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  <c r="AU52" s="113"/>
      <c r="AV52" s="113"/>
      <c r="AW52" s="113"/>
      <c r="AX52" s="113"/>
      <c r="AY52" s="113"/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  <c r="BM52" s="113"/>
      <c r="BN52" s="113"/>
      <c r="BO52" s="113"/>
      <c r="BP52" s="113"/>
      <c r="BQ52" s="113"/>
      <c r="BR52" s="113"/>
      <c r="BS52" s="113"/>
      <c r="BT52" s="113"/>
      <c r="BU52" s="113"/>
      <c r="BV52" s="113"/>
      <c r="BW52" s="113"/>
      <c r="BX52" s="113"/>
      <c r="BY52" s="113"/>
      <c r="BZ52" s="113"/>
      <c r="CA52" s="113"/>
      <c r="CB52" s="113"/>
      <c r="CC52" s="113"/>
      <c r="CD52" s="113"/>
      <c r="CE52" s="113"/>
      <c r="CF52" s="113"/>
      <c r="CG52" s="113"/>
      <c r="CH52" s="113"/>
      <c r="CI52" s="113"/>
      <c r="CJ52" s="113"/>
      <c r="CK52" s="113"/>
      <c r="CL52" s="113"/>
      <c r="CM52" s="113"/>
      <c r="CN52" s="113"/>
      <c r="CO52" s="113"/>
      <c r="CP52" s="113"/>
      <c r="CQ52" s="113"/>
      <c r="CR52" s="113"/>
      <c r="CS52" s="113"/>
      <c r="CT52" s="113"/>
      <c r="CU52" s="113"/>
      <c r="CV52" s="113"/>
      <c r="CW52" s="113"/>
      <c r="CX52" s="113"/>
      <c r="CY52" s="113"/>
      <c r="CZ52" s="113"/>
      <c r="DA52" s="113"/>
      <c r="DB52" s="113"/>
      <c r="DC52" s="113"/>
      <c r="DD52" s="113"/>
      <c r="DE52" s="113"/>
      <c r="DF52" s="113"/>
      <c r="DG52" s="113"/>
      <c r="DH52" s="113"/>
      <c r="DI52" s="113"/>
      <c r="DJ52" s="113"/>
      <c r="DK52" s="113"/>
      <c r="DL52" s="113"/>
      <c r="DM52" s="113"/>
      <c r="DN52" s="16">
        <f t="shared" ref="DN52:DN69" si="10">IFERROR((M52*VLOOKUP(G52,Resource_List,3,FALSE)),0)</f>
        <v>0</v>
      </c>
    </row>
    <row r="53" spans="5:118" hidden="1" x14ac:dyDescent="0.35">
      <c r="E53" s="111"/>
      <c r="F53" s="112"/>
      <c r="G53" s="112"/>
      <c r="H53" s="38">
        <f t="shared" si="8"/>
        <v>0</v>
      </c>
      <c r="I53" s="116"/>
      <c r="J53" s="38">
        <f t="shared" si="5"/>
        <v>0</v>
      </c>
      <c r="K53" s="38">
        <f t="shared" si="9"/>
        <v>0</v>
      </c>
      <c r="L53" s="38">
        <f t="shared" si="6"/>
        <v>0</v>
      </c>
      <c r="M53" s="39">
        <f t="shared" si="7"/>
        <v>0</v>
      </c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113"/>
      <c r="AE53" s="113"/>
      <c r="AF53" s="113"/>
      <c r="AG53" s="113"/>
      <c r="AH53" s="113"/>
      <c r="AI53" s="113"/>
      <c r="AJ53" s="113"/>
      <c r="AK53" s="113"/>
      <c r="AL53" s="113"/>
      <c r="AM53" s="113"/>
      <c r="AN53" s="113"/>
      <c r="AO53" s="113"/>
      <c r="AP53" s="113"/>
      <c r="AQ53" s="113"/>
      <c r="AR53" s="113"/>
      <c r="AS53" s="113"/>
      <c r="AT53" s="113"/>
      <c r="AU53" s="113"/>
      <c r="AV53" s="113"/>
      <c r="AW53" s="113"/>
      <c r="AX53" s="113"/>
      <c r="AY53" s="113"/>
      <c r="AZ53" s="113"/>
      <c r="BA53" s="113"/>
      <c r="BB53" s="113"/>
      <c r="BC53" s="113"/>
      <c r="BD53" s="113"/>
      <c r="BE53" s="113"/>
      <c r="BF53" s="113"/>
      <c r="BG53" s="113"/>
      <c r="BH53" s="113"/>
      <c r="BI53" s="113"/>
      <c r="BJ53" s="113"/>
      <c r="BK53" s="113"/>
      <c r="BL53" s="113"/>
      <c r="BM53" s="113"/>
      <c r="BN53" s="113"/>
      <c r="BO53" s="113"/>
      <c r="BP53" s="113"/>
      <c r="BQ53" s="113"/>
      <c r="BR53" s="113"/>
      <c r="BS53" s="113"/>
      <c r="BT53" s="113"/>
      <c r="BU53" s="113"/>
      <c r="BV53" s="113"/>
      <c r="BW53" s="113"/>
      <c r="BX53" s="113"/>
      <c r="BY53" s="113"/>
      <c r="BZ53" s="113"/>
      <c r="CA53" s="113"/>
      <c r="CB53" s="113"/>
      <c r="CC53" s="113"/>
      <c r="CD53" s="113"/>
      <c r="CE53" s="113"/>
      <c r="CF53" s="113"/>
      <c r="CG53" s="113"/>
      <c r="CH53" s="113"/>
      <c r="CI53" s="113"/>
      <c r="CJ53" s="113"/>
      <c r="CK53" s="113"/>
      <c r="CL53" s="113"/>
      <c r="CM53" s="113"/>
      <c r="CN53" s="113"/>
      <c r="CO53" s="113"/>
      <c r="CP53" s="113"/>
      <c r="CQ53" s="113"/>
      <c r="CR53" s="113"/>
      <c r="CS53" s="113"/>
      <c r="CT53" s="113"/>
      <c r="CU53" s="113"/>
      <c r="CV53" s="113"/>
      <c r="CW53" s="113"/>
      <c r="CX53" s="113"/>
      <c r="CY53" s="113"/>
      <c r="CZ53" s="113"/>
      <c r="DA53" s="113"/>
      <c r="DB53" s="113"/>
      <c r="DC53" s="113"/>
      <c r="DD53" s="113"/>
      <c r="DE53" s="113"/>
      <c r="DF53" s="113"/>
      <c r="DG53" s="113"/>
      <c r="DH53" s="113"/>
      <c r="DI53" s="113"/>
      <c r="DJ53" s="113"/>
      <c r="DK53" s="113"/>
      <c r="DL53" s="113"/>
      <c r="DM53" s="113"/>
      <c r="DN53" s="16">
        <f t="shared" si="10"/>
        <v>0</v>
      </c>
    </row>
    <row r="54" spans="5:118" hidden="1" x14ac:dyDescent="0.35">
      <c r="E54" s="111"/>
      <c r="F54" s="112"/>
      <c r="G54" s="112"/>
      <c r="H54" s="38">
        <f t="shared" si="8"/>
        <v>0</v>
      </c>
      <c r="I54" s="116"/>
      <c r="J54" s="38">
        <f t="shared" si="5"/>
        <v>0</v>
      </c>
      <c r="K54" s="38">
        <f t="shared" si="9"/>
        <v>0</v>
      </c>
      <c r="L54" s="38">
        <f t="shared" si="6"/>
        <v>0</v>
      </c>
      <c r="M54" s="39">
        <f t="shared" si="7"/>
        <v>0</v>
      </c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113"/>
      <c r="AE54" s="113"/>
      <c r="AF54" s="113"/>
      <c r="AG54" s="113"/>
      <c r="AH54" s="113"/>
      <c r="AI54" s="113"/>
      <c r="AJ54" s="113"/>
      <c r="AK54" s="113"/>
      <c r="AL54" s="113"/>
      <c r="AM54" s="113"/>
      <c r="AN54" s="113"/>
      <c r="AO54" s="113"/>
      <c r="AP54" s="113"/>
      <c r="AQ54" s="113"/>
      <c r="AR54" s="113"/>
      <c r="AS54" s="113"/>
      <c r="AT54" s="113"/>
      <c r="AU54" s="113"/>
      <c r="AV54" s="113"/>
      <c r="AW54" s="113"/>
      <c r="AX54" s="113"/>
      <c r="AY54" s="113"/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  <c r="BN54" s="113"/>
      <c r="BO54" s="113"/>
      <c r="BP54" s="113"/>
      <c r="BQ54" s="113"/>
      <c r="BR54" s="113"/>
      <c r="BS54" s="113"/>
      <c r="BT54" s="113"/>
      <c r="BU54" s="113"/>
      <c r="BV54" s="113"/>
      <c r="BW54" s="113"/>
      <c r="BX54" s="113"/>
      <c r="BY54" s="113"/>
      <c r="BZ54" s="113"/>
      <c r="CA54" s="113"/>
      <c r="CB54" s="113"/>
      <c r="CC54" s="113"/>
      <c r="CD54" s="113"/>
      <c r="CE54" s="113"/>
      <c r="CF54" s="113"/>
      <c r="CG54" s="113"/>
      <c r="CH54" s="113"/>
      <c r="CI54" s="113"/>
      <c r="CJ54" s="113"/>
      <c r="CK54" s="113"/>
      <c r="CL54" s="113"/>
      <c r="CM54" s="113"/>
      <c r="CN54" s="113"/>
      <c r="CO54" s="113"/>
      <c r="CP54" s="113"/>
      <c r="CQ54" s="113"/>
      <c r="CR54" s="113"/>
      <c r="CS54" s="113"/>
      <c r="CT54" s="113"/>
      <c r="CU54" s="113"/>
      <c r="CV54" s="113"/>
      <c r="CW54" s="113"/>
      <c r="CX54" s="113"/>
      <c r="CY54" s="113"/>
      <c r="CZ54" s="113"/>
      <c r="DA54" s="113"/>
      <c r="DB54" s="113"/>
      <c r="DC54" s="113"/>
      <c r="DD54" s="113"/>
      <c r="DE54" s="113"/>
      <c r="DF54" s="113"/>
      <c r="DG54" s="113"/>
      <c r="DH54" s="113"/>
      <c r="DI54" s="113"/>
      <c r="DJ54" s="113"/>
      <c r="DK54" s="113"/>
      <c r="DL54" s="113"/>
      <c r="DM54" s="113"/>
      <c r="DN54" s="16">
        <f t="shared" si="10"/>
        <v>0</v>
      </c>
    </row>
    <row r="55" spans="5:118" hidden="1" x14ac:dyDescent="0.35">
      <c r="E55" s="111"/>
      <c r="F55" s="112"/>
      <c r="G55" s="112"/>
      <c r="H55" s="38">
        <f t="shared" si="8"/>
        <v>0</v>
      </c>
      <c r="I55" s="116"/>
      <c r="J55" s="38">
        <f t="shared" si="5"/>
        <v>0</v>
      </c>
      <c r="K55" s="38">
        <f t="shared" si="9"/>
        <v>0</v>
      </c>
      <c r="L55" s="38">
        <f t="shared" si="6"/>
        <v>0</v>
      </c>
      <c r="M55" s="39">
        <f t="shared" si="7"/>
        <v>0</v>
      </c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113"/>
      <c r="AE55" s="113"/>
      <c r="AF55" s="113"/>
      <c r="AG55" s="113"/>
      <c r="AH55" s="113"/>
      <c r="AI55" s="113"/>
      <c r="AJ55" s="113"/>
      <c r="AK55" s="113"/>
      <c r="AL55" s="113"/>
      <c r="AM55" s="113"/>
      <c r="AN55" s="113"/>
      <c r="AO55" s="113"/>
      <c r="AP55" s="113"/>
      <c r="AQ55" s="113"/>
      <c r="AR55" s="113"/>
      <c r="AS55" s="113"/>
      <c r="AT55" s="113"/>
      <c r="AU55" s="113"/>
      <c r="AV55" s="113"/>
      <c r="AW55" s="113"/>
      <c r="AX55" s="113"/>
      <c r="AY55" s="113"/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  <c r="BN55" s="113"/>
      <c r="BO55" s="113"/>
      <c r="BP55" s="113"/>
      <c r="BQ55" s="113"/>
      <c r="BR55" s="113"/>
      <c r="BS55" s="113"/>
      <c r="BT55" s="113"/>
      <c r="BU55" s="113"/>
      <c r="BV55" s="113"/>
      <c r="BW55" s="113"/>
      <c r="BX55" s="113"/>
      <c r="BY55" s="113"/>
      <c r="BZ55" s="113"/>
      <c r="CA55" s="113"/>
      <c r="CB55" s="113"/>
      <c r="CC55" s="113"/>
      <c r="CD55" s="113"/>
      <c r="CE55" s="113"/>
      <c r="CF55" s="113"/>
      <c r="CG55" s="113"/>
      <c r="CH55" s="113"/>
      <c r="CI55" s="113"/>
      <c r="CJ55" s="113"/>
      <c r="CK55" s="113"/>
      <c r="CL55" s="113"/>
      <c r="CM55" s="113"/>
      <c r="CN55" s="113"/>
      <c r="CO55" s="113"/>
      <c r="CP55" s="113"/>
      <c r="CQ55" s="113"/>
      <c r="CR55" s="113"/>
      <c r="CS55" s="113"/>
      <c r="CT55" s="113"/>
      <c r="CU55" s="113"/>
      <c r="CV55" s="113"/>
      <c r="CW55" s="113"/>
      <c r="CX55" s="113"/>
      <c r="CY55" s="113"/>
      <c r="CZ55" s="113"/>
      <c r="DA55" s="113"/>
      <c r="DB55" s="113"/>
      <c r="DC55" s="113"/>
      <c r="DD55" s="113"/>
      <c r="DE55" s="113"/>
      <c r="DF55" s="113"/>
      <c r="DG55" s="113"/>
      <c r="DH55" s="113"/>
      <c r="DI55" s="113"/>
      <c r="DJ55" s="113"/>
      <c r="DK55" s="113"/>
      <c r="DL55" s="113"/>
      <c r="DM55" s="113"/>
      <c r="DN55" s="16">
        <f t="shared" si="10"/>
        <v>0</v>
      </c>
    </row>
    <row r="56" spans="5:118" hidden="1" x14ac:dyDescent="0.35">
      <c r="E56" s="111"/>
      <c r="F56" s="112"/>
      <c r="G56" s="112"/>
      <c r="H56" s="38">
        <f t="shared" si="8"/>
        <v>0</v>
      </c>
      <c r="I56" s="116"/>
      <c r="J56" s="38">
        <f t="shared" si="5"/>
        <v>0</v>
      </c>
      <c r="K56" s="38">
        <f t="shared" si="9"/>
        <v>0</v>
      </c>
      <c r="L56" s="38">
        <f t="shared" si="6"/>
        <v>0</v>
      </c>
      <c r="M56" s="39">
        <f t="shared" si="7"/>
        <v>0</v>
      </c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113"/>
      <c r="AE56" s="113"/>
      <c r="AF56" s="113"/>
      <c r="AG56" s="113"/>
      <c r="AH56" s="113"/>
      <c r="AI56" s="113"/>
      <c r="AJ56" s="113"/>
      <c r="AK56" s="113"/>
      <c r="AL56" s="113"/>
      <c r="AM56" s="113"/>
      <c r="AN56" s="113"/>
      <c r="AO56" s="113"/>
      <c r="AP56" s="113"/>
      <c r="AQ56" s="113"/>
      <c r="AR56" s="113"/>
      <c r="AS56" s="113"/>
      <c r="AT56" s="113"/>
      <c r="AU56" s="113"/>
      <c r="AV56" s="113"/>
      <c r="AW56" s="113"/>
      <c r="AX56" s="113"/>
      <c r="AY56" s="113"/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  <c r="BN56" s="113"/>
      <c r="BO56" s="113"/>
      <c r="BP56" s="113"/>
      <c r="BQ56" s="113"/>
      <c r="BR56" s="113"/>
      <c r="BS56" s="113"/>
      <c r="BT56" s="113"/>
      <c r="BU56" s="113"/>
      <c r="BV56" s="113"/>
      <c r="BW56" s="113"/>
      <c r="BX56" s="113"/>
      <c r="BY56" s="113"/>
      <c r="BZ56" s="113"/>
      <c r="CA56" s="113"/>
      <c r="CB56" s="113"/>
      <c r="CC56" s="113"/>
      <c r="CD56" s="113"/>
      <c r="CE56" s="113"/>
      <c r="CF56" s="113"/>
      <c r="CG56" s="113"/>
      <c r="CH56" s="113"/>
      <c r="CI56" s="113"/>
      <c r="CJ56" s="113"/>
      <c r="CK56" s="113"/>
      <c r="CL56" s="113"/>
      <c r="CM56" s="113"/>
      <c r="CN56" s="113"/>
      <c r="CO56" s="113"/>
      <c r="CP56" s="113"/>
      <c r="CQ56" s="113"/>
      <c r="CR56" s="113"/>
      <c r="CS56" s="113"/>
      <c r="CT56" s="113"/>
      <c r="CU56" s="113"/>
      <c r="CV56" s="113"/>
      <c r="CW56" s="113"/>
      <c r="CX56" s="113"/>
      <c r="CY56" s="113"/>
      <c r="CZ56" s="113"/>
      <c r="DA56" s="113"/>
      <c r="DB56" s="113"/>
      <c r="DC56" s="113"/>
      <c r="DD56" s="113"/>
      <c r="DE56" s="113"/>
      <c r="DF56" s="113"/>
      <c r="DG56" s="113"/>
      <c r="DH56" s="113"/>
      <c r="DI56" s="113"/>
      <c r="DJ56" s="113"/>
      <c r="DK56" s="113"/>
      <c r="DL56" s="113"/>
      <c r="DM56" s="113"/>
      <c r="DN56" s="16">
        <f t="shared" si="10"/>
        <v>0</v>
      </c>
    </row>
    <row r="57" spans="5:118" hidden="1" x14ac:dyDescent="0.35">
      <c r="E57" s="111"/>
      <c r="F57" s="112"/>
      <c r="G57" s="112"/>
      <c r="H57" s="38">
        <f t="shared" si="8"/>
        <v>0</v>
      </c>
      <c r="I57" s="116"/>
      <c r="J57" s="38">
        <f t="shared" si="5"/>
        <v>0</v>
      </c>
      <c r="K57" s="38">
        <f t="shared" si="9"/>
        <v>0</v>
      </c>
      <c r="L57" s="38">
        <f t="shared" si="6"/>
        <v>0</v>
      </c>
      <c r="M57" s="39">
        <f t="shared" si="7"/>
        <v>0</v>
      </c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113"/>
      <c r="AE57" s="113"/>
      <c r="AF57" s="113"/>
      <c r="AG57" s="113"/>
      <c r="AH57" s="113"/>
      <c r="AI57" s="113"/>
      <c r="AJ57" s="113"/>
      <c r="AK57" s="113"/>
      <c r="AL57" s="113"/>
      <c r="AM57" s="113"/>
      <c r="AN57" s="113"/>
      <c r="AO57" s="113"/>
      <c r="AP57" s="113"/>
      <c r="AQ57" s="113"/>
      <c r="AR57" s="113"/>
      <c r="AS57" s="113"/>
      <c r="AT57" s="113"/>
      <c r="AU57" s="113"/>
      <c r="AV57" s="113"/>
      <c r="AW57" s="113"/>
      <c r="AX57" s="113"/>
      <c r="AY57" s="113"/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  <c r="BN57" s="113"/>
      <c r="BO57" s="113"/>
      <c r="BP57" s="113"/>
      <c r="BQ57" s="113"/>
      <c r="BR57" s="113"/>
      <c r="BS57" s="113"/>
      <c r="BT57" s="113"/>
      <c r="BU57" s="113"/>
      <c r="BV57" s="113"/>
      <c r="BW57" s="113"/>
      <c r="BX57" s="113"/>
      <c r="BY57" s="113"/>
      <c r="BZ57" s="113"/>
      <c r="CA57" s="113"/>
      <c r="CB57" s="113"/>
      <c r="CC57" s="113"/>
      <c r="CD57" s="113"/>
      <c r="CE57" s="113"/>
      <c r="CF57" s="113"/>
      <c r="CG57" s="113"/>
      <c r="CH57" s="113"/>
      <c r="CI57" s="113"/>
      <c r="CJ57" s="113"/>
      <c r="CK57" s="113"/>
      <c r="CL57" s="113"/>
      <c r="CM57" s="113"/>
      <c r="CN57" s="113"/>
      <c r="CO57" s="113"/>
      <c r="CP57" s="113"/>
      <c r="CQ57" s="113"/>
      <c r="CR57" s="113"/>
      <c r="CS57" s="113"/>
      <c r="CT57" s="113"/>
      <c r="CU57" s="113"/>
      <c r="CV57" s="113"/>
      <c r="CW57" s="113"/>
      <c r="CX57" s="113"/>
      <c r="CY57" s="113"/>
      <c r="CZ57" s="113"/>
      <c r="DA57" s="113"/>
      <c r="DB57" s="113"/>
      <c r="DC57" s="113"/>
      <c r="DD57" s="113"/>
      <c r="DE57" s="113"/>
      <c r="DF57" s="113"/>
      <c r="DG57" s="113"/>
      <c r="DH57" s="113"/>
      <c r="DI57" s="113"/>
      <c r="DJ57" s="113"/>
      <c r="DK57" s="113"/>
      <c r="DL57" s="113"/>
      <c r="DM57" s="113"/>
      <c r="DN57" s="16">
        <f t="shared" si="10"/>
        <v>0</v>
      </c>
    </row>
    <row r="58" spans="5:118" hidden="1" x14ac:dyDescent="0.35">
      <c r="E58" s="111"/>
      <c r="F58" s="112"/>
      <c r="G58" s="112"/>
      <c r="H58" s="38">
        <f t="shared" si="8"/>
        <v>0</v>
      </c>
      <c r="I58" s="116"/>
      <c r="J58" s="38">
        <f t="shared" si="5"/>
        <v>0</v>
      </c>
      <c r="K58" s="38">
        <f t="shared" si="9"/>
        <v>0</v>
      </c>
      <c r="L58" s="38">
        <f t="shared" si="6"/>
        <v>0</v>
      </c>
      <c r="M58" s="39">
        <f t="shared" si="7"/>
        <v>0</v>
      </c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113"/>
      <c r="AE58" s="113"/>
      <c r="AF58" s="113"/>
      <c r="AG58" s="113"/>
      <c r="AH58" s="113"/>
      <c r="AI58" s="113"/>
      <c r="AJ58" s="113"/>
      <c r="AK58" s="113"/>
      <c r="AL58" s="113"/>
      <c r="AM58" s="113"/>
      <c r="AN58" s="113"/>
      <c r="AO58" s="113"/>
      <c r="AP58" s="113"/>
      <c r="AQ58" s="113"/>
      <c r="AR58" s="113"/>
      <c r="AS58" s="113"/>
      <c r="AT58" s="113"/>
      <c r="AU58" s="113"/>
      <c r="AV58" s="113"/>
      <c r="AW58" s="113"/>
      <c r="AX58" s="113"/>
      <c r="AY58" s="113"/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  <c r="BN58" s="113"/>
      <c r="BO58" s="113"/>
      <c r="BP58" s="113"/>
      <c r="BQ58" s="113"/>
      <c r="BR58" s="113"/>
      <c r="BS58" s="113"/>
      <c r="BT58" s="113"/>
      <c r="BU58" s="113"/>
      <c r="BV58" s="113"/>
      <c r="BW58" s="113"/>
      <c r="BX58" s="113"/>
      <c r="BY58" s="113"/>
      <c r="BZ58" s="113"/>
      <c r="CA58" s="113"/>
      <c r="CB58" s="113"/>
      <c r="CC58" s="113"/>
      <c r="CD58" s="113"/>
      <c r="CE58" s="113"/>
      <c r="CF58" s="113"/>
      <c r="CG58" s="113"/>
      <c r="CH58" s="113"/>
      <c r="CI58" s="113"/>
      <c r="CJ58" s="113"/>
      <c r="CK58" s="113"/>
      <c r="CL58" s="113"/>
      <c r="CM58" s="113"/>
      <c r="CN58" s="113"/>
      <c r="CO58" s="113"/>
      <c r="CP58" s="113"/>
      <c r="CQ58" s="113"/>
      <c r="CR58" s="113"/>
      <c r="CS58" s="113"/>
      <c r="CT58" s="113"/>
      <c r="CU58" s="113"/>
      <c r="CV58" s="113"/>
      <c r="CW58" s="113"/>
      <c r="CX58" s="113"/>
      <c r="CY58" s="113"/>
      <c r="CZ58" s="113"/>
      <c r="DA58" s="113"/>
      <c r="DB58" s="113"/>
      <c r="DC58" s="113"/>
      <c r="DD58" s="113"/>
      <c r="DE58" s="113"/>
      <c r="DF58" s="113"/>
      <c r="DG58" s="113"/>
      <c r="DH58" s="113"/>
      <c r="DI58" s="113"/>
      <c r="DJ58" s="113"/>
      <c r="DK58" s="113"/>
      <c r="DL58" s="113"/>
      <c r="DM58" s="113"/>
      <c r="DN58" s="16">
        <f t="shared" si="10"/>
        <v>0</v>
      </c>
    </row>
    <row r="59" spans="5:118" hidden="1" x14ac:dyDescent="0.35">
      <c r="E59" s="111"/>
      <c r="F59" s="112"/>
      <c r="G59" s="112"/>
      <c r="H59" s="38">
        <f t="shared" si="8"/>
        <v>0</v>
      </c>
      <c r="I59" s="116"/>
      <c r="J59" s="38">
        <f t="shared" si="5"/>
        <v>0</v>
      </c>
      <c r="K59" s="38">
        <f t="shared" si="9"/>
        <v>0</v>
      </c>
      <c r="L59" s="38">
        <f t="shared" si="6"/>
        <v>0</v>
      </c>
      <c r="M59" s="39">
        <f t="shared" si="7"/>
        <v>0</v>
      </c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113"/>
      <c r="AE59" s="113"/>
      <c r="AF59" s="113"/>
      <c r="AG59" s="113"/>
      <c r="AH59" s="113"/>
      <c r="AI59" s="113"/>
      <c r="AJ59" s="113"/>
      <c r="AK59" s="113"/>
      <c r="AL59" s="113"/>
      <c r="AM59" s="113"/>
      <c r="AN59" s="113"/>
      <c r="AO59" s="113"/>
      <c r="AP59" s="113"/>
      <c r="AQ59" s="113"/>
      <c r="AR59" s="113"/>
      <c r="AS59" s="113"/>
      <c r="AT59" s="113"/>
      <c r="AU59" s="113"/>
      <c r="AV59" s="113"/>
      <c r="AW59" s="113"/>
      <c r="AX59" s="113"/>
      <c r="AY59" s="113"/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  <c r="BN59" s="113"/>
      <c r="BO59" s="113"/>
      <c r="BP59" s="113"/>
      <c r="BQ59" s="113"/>
      <c r="BR59" s="113"/>
      <c r="BS59" s="113"/>
      <c r="BT59" s="113"/>
      <c r="BU59" s="113"/>
      <c r="BV59" s="113"/>
      <c r="BW59" s="113"/>
      <c r="BX59" s="113"/>
      <c r="BY59" s="113"/>
      <c r="BZ59" s="113"/>
      <c r="CA59" s="113"/>
      <c r="CB59" s="113"/>
      <c r="CC59" s="113"/>
      <c r="CD59" s="113"/>
      <c r="CE59" s="113"/>
      <c r="CF59" s="113"/>
      <c r="CG59" s="113"/>
      <c r="CH59" s="113"/>
      <c r="CI59" s="113"/>
      <c r="CJ59" s="113"/>
      <c r="CK59" s="113"/>
      <c r="CL59" s="113"/>
      <c r="CM59" s="113"/>
      <c r="CN59" s="113"/>
      <c r="CO59" s="113"/>
      <c r="CP59" s="113"/>
      <c r="CQ59" s="113"/>
      <c r="CR59" s="113"/>
      <c r="CS59" s="113"/>
      <c r="CT59" s="113"/>
      <c r="CU59" s="113"/>
      <c r="CV59" s="113"/>
      <c r="CW59" s="113"/>
      <c r="CX59" s="113"/>
      <c r="CY59" s="113"/>
      <c r="CZ59" s="113"/>
      <c r="DA59" s="113"/>
      <c r="DB59" s="113"/>
      <c r="DC59" s="113"/>
      <c r="DD59" s="113"/>
      <c r="DE59" s="113"/>
      <c r="DF59" s="113"/>
      <c r="DG59" s="113"/>
      <c r="DH59" s="113"/>
      <c r="DI59" s="113"/>
      <c r="DJ59" s="113"/>
      <c r="DK59" s="113"/>
      <c r="DL59" s="113"/>
      <c r="DM59" s="113"/>
      <c r="DN59" s="16">
        <f t="shared" si="10"/>
        <v>0</v>
      </c>
    </row>
    <row r="60" spans="5:118" hidden="1" x14ac:dyDescent="0.35">
      <c r="E60" s="111"/>
      <c r="F60" s="112"/>
      <c r="G60" s="112"/>
      <c r="H60" s="38">
        <f t="shared" si="8"/>
        <v>0</v>
      </c>
      <c r="I60" s="116"/>
      <c r="J60" s="38">
        <f t="shared" si="5"/>
        <v>0</v>
      </c>
      <c r="K60" s="38">
        <f t="shared" si="9"/>
        <v>0</v>
      </c>
      <c r="L60" s="38">
        <f t="shared" si="6"/>
        <v>0</v>
      </c>
      <c r="M60" s="39">
        <f t="shared" si="7"/>
        <v>0</v>
      </c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113"/>
      <c r="AE60" s="113"/>
      <c r="AF60" s="113"/>
      <c r="AG60" s="113"/>
      <c r="AH60" s="113"/>
      <c r="AI60" s="113"/>
      <c r="AJ60" s="113"/>
      <c r="AK60" s="113"/>
      <c r="AL60" s="113"/>
      <c r="AM60" s="113"/>
      <c r="AN60" s="113"/>
      <c r="AO60" s="113"/>
      <c r="AP60" s="113"/>
      <c r="AQ60" s="113"/>
      <c r="AR60" s="113"/>
      <c r="AS60" s="113"/>
      <c r="AT60" s="113"/>
      <c r="AU60" s="113"/>
      <c r="AV60" s="113"/>
      <c r="AW60" s="113"/>
      <c r="AX60" s="113"/>
      <c r="AY60" s="113"/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  <c r="BN60" s="113"/>
      <c r="BO60" s="113"/>
      <c r="BP60" s="113"/>
      <c r="BQ60" s="113"/>
      <c r="BR60" s="113"/>
      <c r="BS60" s="113"/>
      <c r="BT60" s="113"/>
      <c r="BU60" s="113"/>
      <c r="BV60" s="113"/>
      <c r="BW60" s="113"/>
      <c r="BX60" s="113"/>
      <c r="BY60" s="113"/>
      <c r="BZ60" s="113"/>
      <c r="CA60" s="113"/>
      <c r="CB60" s="113"/>
      <c r="CC60" s="113"/>
      <c r="CD60" s="113"/>
      <c r="CE60" s="113"/>
      <c r="CF60" s="113"/>
      <c r="CG60" s="113"/>
      <c r="CH60" s="113"/>
      <c r="CI60" s="113"/>
      <c r="CJ60" s="113"/>
      <c r="CK60" s="113"/>
      <c r="CL60" s="113"/>
      <c r="CM60" s="113"/>
      <c r="CN60" s="113"/>
      <c r="CO60" s="113"/>
      <c r="CP60" s="113"/>
      <c r="CQ60" s="113"/>
      <c r="CR60" s="113"/>
      <c r="CS60" s="113"/>
      <c r="CT60" s="113"/>
      <c r="CU60" s="113"/>
      <c r="CV60" s="113"/>
      <c r="CW60" s="113"/>
      <c r="CX60" s="113"/>
      <c r="CY60" s="113"/>
      <c r="CZ60" s="113"/>
      <c r="DA60" s="113"/>
      <c r="DB60" s="113"/>
      <c r="DC60" s="113"/>
      <c r="DD60" s="113"/>
      <c r="DE60" s="113"/>
      <c r="DF60" s="113"/>
      <c r="DG60" s="113"/>
      <c r="DH60" s="113"/>
      <c r="DI60" s="113"/>
      <c r="DJ60" s="113"/>
      <c r="DK60" s="113"/>
      <c r="DL60" s="113"/>
      <c r="DM60" s="113"/>
      <c r="DN60" s="16">
        <f t="shared" si="10"/>
        <v>0</v>
      </c>
    </row>
    <row r="61" spans="5:118" hidden="1" x14ac:dyDescent="0.35">
      <c r="E61" s="111"/>
      <c r="F61" s="112"/>
      <c r="G61" s="112"/>
      <c r="H61" s="38">
        <f t="shared" si="8"/>
        <v>0</v>
      </c>
      <c r="I61" s="116"/>
      <c r="J61" s="38">
        <f t="shared" si="5"/>
        <v>0</v>
      </c>
      <c r="K61" s="38">
        <f t="shared" si="9"/>
        <v>0</v>
      </c>
      <c r="L61" s="38">
        <f t="shared" si="6"/>
        <v>0</v>
      </c>
      <c r="M61" s="39">
        <f t="shared" si="7"/>
        <v>0</v>
      </c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113"/>
      <c r="AE61" s="113"/>
      <c r="AF61" s="113"/>
      <c r="AG61" s="113"/>
      <c r="AH61" s="113"/>
      <c r="AI61" s="113"/>
      <c r="AJ61" s="113"/>
      <c r="AK61" s="113"/>
      <c r="AL61" s="113"/>
      <c r="AM61" s="113"/>
      <c r="AN61" s="113"/>
      <c r="AO61" s="113"/>
      <c r="AP61" s="113"/>
      <c r="AQ61" s="113"/>
      <c r="AR61" s="113"/>
      <c r="AS61" s="113"/>
      <c r="AT61" s="113"/>
      <c r="AU61" s="113"/>
      <c r="AV61" s="113"/>
      <c r="AW61" s="113"/>
      <c r="AX61" s="113"/>
      <c r="AY61" s="113"/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  <c r="BN61" s="113"/>
      <c r="BO61" s="113"/>
      <c r="BP61" s="113"/>
      <c r="BQ61" s="113"/>
      <c r="BR61" s="113"/>
      <c r="BS61" s="113"/>
      <c r="BT61" s="113"/>
      <c r="BU61" s="113"/>
      <c r="BV61" s="113"/>
      <c r="BW61" s="113"/>
      <c r="BX61" s="113"/>
      <c r="BY61" s="113"/>
      <c r="BZ61" s="113"/>
      <c r="CA61" s="113"/>
      <c r="CB61" s="113"/>
      <c r="CC61" s="113"/>
      <c r="CD61" s="113"/>
      <c r="CE61" s="113"/>
      <c r="CF61" s="113"/>
      <c r="CG61" s="113"/>
      <c r="CH61" s="113"/>
      <c r="CI61" s="113"/>
      <c r="CJ61" s="113"/>
      <c r="CK61" s="113"/>
      <c r="CL61" s="113"/>
      <c r="CM61" s="113"/>
      <c r="CN61" s="113"/>
      <c r="CO61" s="113"/>
      <c r="CP61" s="113"/>
      <c r="CQ61" s="113"/>
      <c r="CR61" s="113"/>
      <c r="CS61" s="113"/>
      <c r="CT61" s="113"/>
      <c r="CU61" s="113"/>
      <c r="CV61" s="113"/>
      <c r="CW61" s="113"/>
      <c r="CX61" s="113"/>
      <c r="CY61" s="113"/>
      <c r="CZ61" s="113"/>
      <c r="DA61" s="113"/>
      <c r="DB61" s="113"/>
      <c r="DC61" s="113"/>
      <c r="DD61" s="113"/>
      <c r="DE61" s="113"/>
      <c r="DF61" s="113"/>
      <c r="DG61" s="113"/>
      <c r="DH61" s="113"/>
      <c r="DI61" s="113"/>
      <c r="DJ61" s="113"/>
      <c r="DK61" s="113"/>
      <c r="DL61" s="113"/>
      <c r="DM61" s="113"/>
      <c r="DN61" s="16">
        <f t="shared" si="10"/>
        <v>0</v>
      </c>
    </row>
    <row r="62" spans="5:118" hidden="1" x14ac:dyDescent="0.35">
      <c r="E62" s="111"/>
      <c r="F62" s="112"/>
      <c r="G62" s="112"/>
      <c r="H62" s="38">
        <f t="shared" si="8"/>
        <v>0</v>
      </c>
      <c r="I62" s="116"/>
      <c r="J62" s="38">
        <f t="shared" si="5"/>
        <v>0</v>
      </c>
      <c r="K62" s="38">
        <f t="shared" si="9"/>
        <v>0</v>
      </c>
      <c r="L62" s="38">
        <f t="shared" si="6"/>
        <v>0</v>
      </c>
      <c r="M62" s="39">
        <f t="shared" si="7"/>
        <v>0</v>
      </c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113"/>
      <c r="AE62" s="113"/>
      <c r="AF62" s="113"/>
      <c r="AG62" s="113"/>
      <c r="AH62" s="113"/>
      <c r="AI62" s="113"/>
      <c r="AJ62" s="113"/>
      <c r="AK62" s="113"/>
      <c r="AL62" s="113"/>
      <c r="AM62" s="113"/>
      <c r="AN62" s="113"/>
      <c r="AO62" s="113"/>
      <c r="AP62" s="113"/>
      <c r="AQ62" s="113"/>
      <c r="AR62" s="113"/>
      <c r="AS62" s="113"/>
      <c r="AT62" s="113"/>
      <c r="AU62" s="113"/>
      <c r="AV62" s="113"/>
      <c r="AW62" s="113"/>
      <c r="AX62" s="113"/>
      <c r="AY62" s="113"/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  <c r="BN62" s="113"/>
      <c r="BO62" s="113"/>
      <c r="BP62" s="113"/>
      <c r="BQ62" s="113"/>
      <c r="BR62" s="113"/>
      <c r="BS62" s="113"/>
      <c r="BT62" s="113"/>
      <c r="BU62" s="113"/>
      <c r="BV62" s="113"/>
      <c r="BW62" s="113"/>
      <c r="BX62" s="113"/>
      <c r="BY62" s="113"/>
      <c r="BZ62" s="113"/>
      <c r="CA62" s="113"/>
      <c r="CB62" s="113"/>
      <c r="CC62" s="113"/>
      <c r="CD62" s="113"/>
      <c r="CE62" s="113"/>
      <c r="CF62" s="113"/>
      <c r="CG62" s="113"/>
      <c r="CH62" s="113"/>
      <c r="CI62" s="113"/>
      <c r="CJ62" s="113"/>
      <c r="CK62" s="113"/>
      <c r="CL62" s="113"/>
      <c r="CM62" s="113"/>
      <c r="CN62" s="113"/>
      <c r="CO62" s="113"/>
      <c r="CP62" s="113"/>
      <c r="CQ62" s="113"/>
      <c r="CR62" s="113"/>
      <c r="CS62" s="113"/>
      <c r="CT62" s="113"/>
      <c r="CU62" s="113"/>
      <c r="CV62" s="113"/>
      <c r="CW62" s="113"/>
      <c r="CX62" s="113"/>
      <c r="CY62" s="113"/>
      <c r="CZ62" s="113"/>
      <c r="DA62" s="113"/>
      <c r="DB62" s="113"/>
      <c r="DC62" s="113"/>
      <c r="DD62" s="113"/>
      <c r="DE62" s="113"/>
      <c r="DF62" s="113"/>
      <c r="DG62" s="113"/>
      <c r="DH62" s="113"/>
      <c r="DI62" s="113"/>
      <c r="DJ62" s="113"/>
      <c r="DK62" s="113"/>
      <c r="DL62" s="113"/>
      <c r="DM62" s="113"/>
      <c r="DN62" s="16">
        <f t="shared" si="10"/>
        <v>0</v>
      </c>
    </row>
    <row r="63" spans="5:118" hidden="1" x14ac:dyDescent="0.35">
      <c r="E63" s="111"/>
      <c r="F63" s="112"/>
      <c r="G63" s="112"/>
      <c r="H63" s="38">
        <f t="shared" si="8"/>
        <v>0</v>
      </c>
      <c r="I63" s="116"/>
      <c r="J63" s="38">
        <f t="shared" si="5"/>
        <v>0</v>
      </c>
      <c r="K63" s="38">
        <f t="shared" si="9"/>
        <v>0</v>
      </c>
      <c r="L63" s="38">
        <f t="shared" si="6"/>
        <v>0</v>
      </c>
      <c r="M63" s="39">
        <f t="shared" si="7"/>
        <v>0</v>
      </c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13"/>
      <c r="AM63" s="113"/>
      <c r="AN63" s="113"/>
      <c r="AO63" s="113"/>
      <c r="AP63" s="113"/>
      <c r="AQ63" s="113"/>
      <c r="AR63" s="113"/>
      <c r="AS63" s="113"/>
      <c r="AT63" s="113"/>
      <c r="AU63" s="113"/>
      <c r="AV63" s="113"/>
      <c r="AW63" s="113"/>
      <c r="AX63" s="113"/>
      <c r="AY63" s="113"/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  <c r="BN63" s="113"/>
      <c r="BO63" s="113"/>
      <c r="BP63" s="113"/>
      <c r="BQ63" s="113"/>
      <c r="BR63" s="113"/>
      <c r="BS63" s="113"/>
      <c r="BT63" s="113"/>
      <c r="BU63" s="113"/>
      <c r="BV63" s="113"/>
      <c r="BW63" s="113"/>
      <c r="BX63" s="113"/>
      <c r="BY63" s="113"/>
      <c r="BZ63" s="113"/>
      <c r="CA63" s="113"/>
      <c r="CB63" s="113"/>
      <c r="CC63" s="113"/>
      <c r="CD63" s="113"/>
      <c r="CE63" s="113"/>
      <c r="CF63" s="113"/>
      <c r="CG63" s="113"/>
      <c r="CH63" s="113"/>
      <c r="CI63" s="113"/>
      <c r="CJ63" s="113"/>
      <c r="CK63" s="113"/>
      <c r="CL63" s="113"/>
      <c r="CM63" s="113"/>
      <c r="CN63" s="113"/>
      <c r="CO63" s="113"/>
      <c r="CP63" s="113"/>
      <c r="CQ63" s="113"/>
      <c r="CR63" s="113"/>
      <c r="CS63" s="113"/>
      <c r="CT63" s="113"/>
      <c r="CU63" s="113"/>
      <c r="CV63" s="113"/>
      <c r="CW63" s="113"/>
      <c r="CX63" s="113"/>
      <c r="CY63" s="113"/>
      <c r="CZ63" s="113"/>
      <c r="DA63" s="113"/>
      <c r="DB63" s="113"/>
      <c r="DC63" s="113"/>
      <c r="DD63" s="113"/>
      <c r="DE63" s="113"/>
      <c r="DF63" s="113"/>
      <c r="DG63" s="113"/>
      <c r="DH63" s="113"/>
      <c r="DI63" s="113"/>
      <c r="DJ63" s="113"/>
      <c r="DK63" s="113"/>
      <c r="DL63" s="113"/>
      <c r="DM63" s="113"/>
      <c r="DN63" s="16">
        <f t="shared" si="10"/>
        <v>0</v>
      </c>
    </row>
    <row r="64" spans="5:118" hidden="1" x14ac:dyDescent="0.35">
      <c r="E64" s="111"/>
      <c r="F64" s="112"/>
      <c r="G64" s="112"/>
      <c r="H64" s="38">
        <f t="shared" si="8"/>
        <v>0</v>
      </c>
      <c r="I64" s="116"/>
      <c r="J64" s="38">
        <f t="shared" si="5"/>
        <v>0</v>
      </c>
      <c r="K64" s="38">
        <f t="shared" si="9"/>
        <v>0</v>
      </c>
      <c r="L64" s="38">
        <f t="shared" si="6"/>
        <v>0</v>
      </c>
      <c r="M64" s="39">
        <f t="shared" si="7"/>
        <v>0</v>
      </c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113"/>
      <c r="AE64" s="113"/>
      <c r="AF64" s="113"/>
      <c r="AG64" s="113"/>
      <c r="AH64" s="113"/>
      <c r="AI64" s="113"/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  <c r="AW64" s="113"/>
      <c r="AX64" s="113"/>
      <c r="AY64" s="113"/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  <c r="BN64" s="113"/>
      <c r="BO64" s="113"/>
      <c r="BP64" s="113"/>
      <c r="BQ64" s="113"/>
      <c r="BR64" s="113"/>
      <c r="BS64" s="113"/>
      <c r="BT64" s="113"/>
      <c r="BU64" s="113"/>
      <c r="BV64" s="113"/>
      <c r="BW64" s="113"/>
      <c r="BX64" s="113"/>
      <c r="BY64" s="113"/>
      <c r="BZ64" s="113"/>
      <c r="CA64" s="113"/>
      <c r="CB64" s="113"/>
      <c r="CC64" s="113"/>
      <c r="CD64" s="113"/>
      <c r="CE64" s="113"/>
      <c r="CF64" s="113"/>
      <c r="CG64" s="113"/>
      <c r="CH64" s="113"/>
      <c r="CI64" s="113"/>
      <c r="CJ64" s="113"/>
      <c r="CK64" s="113"/>
      <c r="CL64" s="113"/>
      <c r="CM64" s="113"/>
      <c r="CN64" s="113"/>
      <c r="CO64" s="113"/>
      <c r="CP64" s="113"/>
      <c r="CQ64" s="113"/>
      <c r="CR64" s="113"/>
      <c r="CS64" s="113"/>
      <c r="CT64" s="113"/>
      <c r="CU64" s="113"/>
      <c r="CV64" s="113"/>
      <c r="CW64" s="113"/>
      <c r="CX64" s="113"/>
      <c r="CY64" s="113"/>
      <c r="CZ64" s="113"/>
      <c r="DA64" s="113"/>
      <c r="DB64" s="113"/>
      <c r="DC64" s="113"/>
      <c r="DD64" s="113"/>
      <c r="DE64" s="113"/>
      <c r="DF64" s="113"/>
      <c r="DG64" s="113"/>
      <c r="DH64" s="113"/>
      <c r="DI64" s="113"/>
      <c r="DJ64" s="113"/>
      <c r="DK64" s="113"/>
      <c r="DL64" s="113"/>
      <c r="DM64" s="113"/>
      <c r="DN64" s="16">
        <f t="shared" si="10"/>
        <v>0</v>
      </c>
    </row>
    <row r="65" spans="5:118" hidden="1" x14ac:dyDescent="0.35">
      <c r="E65" s="111"/>
      <c r="F65" s="112"/>
      <c r="G65" s="112"/>
      <c r="H65" s="38">
        <f t="shared" si="8"/>
        <v>0</v>
      </c>
      <c r="I65" s="116"/>
      <c r="J65" s="38">
        <f t="shared" si="5"/>
        <v>0</v>
      </c>
      <c r="K65" s="38">
        <f t="shared" si="9"/>
        <v>0</v>
      </c>
      <c r="L65" s="38">
        <f t="shared" si="6"/>
        <v>0</v>
      </c>
      <c r="M65" s="39">
        <f t="shared" si="7"/>
        <v>0</v>
      </c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3"/>
      <c r="AA65" s="113"/>
      <c r="AB65" s="113"/>
      <c r="AC65" s="113"/>
      <c r="AD65" s="113"/>
      <c r="AE65" s="113"/>
      <c r="AF65" s="113"/>
      <c r="AG65" s="113"/>
      <c r="AH65" s="113"/>
      <c r="AI65" s="113"/>
      <c r="AJ65" s="113"/>
      <c r="AK65" s="113"/>
      <c r="AL65" s="113"/>
      <c r="AM65" s="113"/>
      <c r="AN65" s="113"/>
      <c r="AO65" s="113"/>
      <c r="AP65" s="113"/>
      <c r="AQ65" s="113"/>
      <c r="AR65" s="113"/>
      <c r="AS65" s="113"/>
      <c r="AT65" s="113"/>
      <c r="AU65" s="113"/>
      <c r="AV65" s="113"/>
      <c r="AW65" s="113"/>
      <c r="AX65" s="113"/>
      <c r="AY65" s="113"/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  <c r="BN65" s="113"/>
      <c r="BO65" s="113"/>
      <c r="BP65" s="113"/>
      <c r="BQ65" s="113"/>
      <c r="BR65" s="113"/>
      <c r="BS65" s="113"/>
      <c r="BT65" s="113"/>
      <c r="BU65" s="113"/>
      <c r="BV65" s="113"/>
      <c r="BW65" s="113"/>
      <c r="BX65" s="113"/>
      <c r="BY65" s="113"/>
      <c r="BZ65" s="113"/>
      <c r="CA65" s="113"/>
      <c r="CB65" s="113"/>
      <c r="CC65" s="113"/>
      <c r="CD65" s="113"/>
      <c r="CE65" s="113"/>
      <c r="CF65" s="113"/>
      <c r="CG65" s="113"/>
      <c r="CH65" s="113"/>
      <c r="CI65" s="113"/>
      <c r="CJ65" s="113"/>
      <c r="CK65" s="113"/>
      <c r="CL65" s="113"/>
      <c r="CM65" s="113"/>
      <c r="CN65" s="113"/>
      <c r="CO65" s="113"/>
      <c r="CP65" s="113"/>
      <c r="CQ65" s="113"/>
      <c r="CR65" s="113"/>
      <c r="CS65" s="113"/>
      <c r="CT65" s="113"/>
      <c r="CU65" s="113"/>
      <c r="CV65" s="113"/>
      <c r="CW65" s="113"/>
      <c r="CX65" s="113"/>
      <c r="CY65" s="113"/>
      <c r="CZ65" s="113"/>
      <c r="DA65" s="113"/>
      <c r="DB65" s="113"/>
      <c r="DC65" s="113"/>
      <c r="DD65" s="113"/>
      <c r="DE65" s="113"/>
      <c r="DF65" s="113"/>
      <c r="DG65" s="113"/>
      <c r="DH65" s="113"/>
      <c r="DI65" s="113"/>
      <c r="DJ65" s="113"/>
      <c r="DK65" s="113"/>
      <c r="DL65" s="113"/>
      <c r="DM65" s="113"/>
      <c r="DN65" s="16">
        <f t="shared" si="10"/>
        <v>0</v>
      </c>
    </row>
    <row r="66" spans="5:118" hidden="1" x14ac:dyDescent="0.35">
      <c r="E66" s="111"/>
      <c r="F66" s="112"/>
      <c r="G66" s="112"/>
      <c r="H66" s="38">
        <f t="shared" si="8"/>
        <v>0</v>
      </c>
      <c r="I66" s="116"/>
      <c r="J66" s="38">
        <f t="shared" si="5"/>
        <v>0</v>
      </c>
      <c r="K66" s="38">
        <f t="shared" si="9"/>
        <v>0</v>
      </c>
      <c r="L66" s="38">
        <f t="shared" si="6"/>
        <v>0</v>
      </c>
      <c r="M66" s="39">
        <f t="shared" si="7"/>
        <v>0</v>
      </c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3"/>
      <c r="AA66" s="113"/>
      <c r="AB66" s="113"/>
      <c r="AC66" s="113"/>
      <c r="AD66" s="113"/>
      <c r="AE66" s="113"/>
      <c r="AF66" s="113"/>
      <c r="AG66" s="113"/>
      <c r="AH66" s="113"/>
      <c r="AI66" s="113"/>
      <c r="AJ66" s="113"/>
      <c r="AK66" s="113"/>
      <c r="AL66" s="113"/>
      <c r="AM66" s="113"/>
      <c r="AN66" s="113"/>
      <c r="AO66" s="113"/>
      <c r="AP66" s="113"/>
      <c r="AQ66" s="113"/>
      <c r="AR66" s="113"/>
      <c r="AS66" s="113"/>
      <c r="AT66" s="113"/>
      <c r="AU66" s="113"/>
      <c r="AV66" s="113"/>
      <c r="AW66" s="113"/>
      <c r="AX66" s="113"/>
      <c r="AY66" s="113"/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  <c r="BN66" s="113"/>
      <c r="BO66" s="113"/>
      <c r="BP66" s="113"/>
      <c r="BQ66" s="113"/>
      <c r="BR66" s="113"/>
      <c r="BS66" s="113"/>
      <c r="BT66" s="113"/>
      <c r="BU66" s="113"/>
      <c r="BV66" s="113"/>
      <c r="BW66" s="113"/>
      <c r="BX66" s="113"/>
      <c r="BY66" s="113"/>
      <c r="BZ66" s="113"/>
      <c r="CA66" s="113"/>
      <c r="CB66" s="113"/>
      <c r="CC66" s="113"/>
      <c r="CD66" s="113"/>
      <c r="CE66" s="113"/>
      <c r="CF66" s="113"/>
      <c r="CG66" s="113"/>
      <c r="CH66" s="113"/>
      <c r="CI66" s="113"/>
      <c r="CJ66" s="113"/>
      <c r="CK66" s="113"/>
      <c r="CL66" s="113"/>
      <c r="CM66" s="113"/>
      <c r="CN66" s="113"/>
      <c r="CO66" s="113"/>
      <c r="CP66" s="113"/>
      <c r="CQ66" s="113"/>
      <c r="CR66" s="113"/>
      <c r="CS66" s="113"/>
      <c r="CT66" s="113"/>
      <c r="CU66" s="113"/>
      <c r="CV66" s="113"/>
      <c r="CW66" s="113"/>
      <c r="CX66" s="113"/>
      <c r="CY66" s="113"/>
      <c r="CZ66" s="113"/>
      <c r="DA66" s="113"/>
      <c r="DB66" s="113"/>
      <c r="DC66" s="113"/>
      <c r="DD66" s="113"/>
      <c r="DE66" s="113"/>
      <c r="DF66" s="113"/>
      <c r="DG66" s="113"/>
      <c r="DH66" s="113"/>
      <c r="DI66" s="113"/>
      <c r="DJ66" s="113"/>
      <c r="DK66" s="113"/>
      <c r="DL66" s="113"/>
      <c r="DM66" s="113"/>
      <c r="DN66" s="16">
        <f t="shared" si="10"/>
        <v>0</v>
      </c>
    </row>
    <row r="67" spans="5:118" hidden="1" x14ac:dyDescent="0.35">
      <c r="E67" s="111"/>
      <c r="F67" s="112"/>
      <c r="G67" s="112"/>
      <c r="H67" s="38">
        <f t="shared" si="8"/>
        <v>0</v>
      </c>
      <c r="I67" s="116"/>
      <c r="J67" s="38">
        <f t="shared" si="5"/>
        <v>0</v>
      </c>
      <c r="K67" s="38">
        <f t="shared" si="9"/>
        <v>0</v>
      </c>
      <c r="L67" s="38">
        <f t="shared" si="6"/>
        <v>0</v>
      </c>
      <c r="M67" s="39">
        <f t="shared" si="7"/>
        <v>0</v>
      </c>
      <c r="N67" s="113"/>
      <c r="O67" s="113"/>
      <c r="P67" s="113"/>
      <c r="Q67" s="113"/>
      <c r="R67" s="113"/>
      <c r="S67" s="113"/>
      <c r="T67" s="113"/>
      <c r="U67" s="113"/>
      <c r="V67" s="113"/>
      <c r="W67" s="113"/>
      <c r="X67" s="113"/>
      <c r="Y67" s="113"/>
      <c r="Z67" s="113"/>
      <c r="AA67" s="113"/>
      <c r="AB67" s="113"/>
      <c r="AC67" s="113"/>
      <c r="AD67" s="113"/>
      <c r="AE67" s="113"/>
      <c r="AF67" s="113"/>
      <c r="AG67" s="113"/>
      <c r="AH67" s="113"/>
      <c r="AI67" s="113"/>
      <c r="AJ67" s="113"/>
      <c r="AK67" s="113"/>
      <c r="AL67" s="113"/>
      <c r="AM67" s="113"/>
      <c r="AN67" s="113"/>
      <c r="AO67" s="113"/>
      <c r="AP67" s="113"/>
      <c r="AQ67" s="113"/>
      <c r="AR67" s="113"/>
      <c r="AS67" s="113"/>
      <c r="AT67" s="113"/>
      <c r="AU67" s="113"/>
      <c r="AV67" s="113"/>
      <c r="AW67" s="113"/>
      <c r="AX67" s="113"/>
      <c r="AY67" s="113"/>
      <c r="AZ67" s="113"/>
      <c r="BA67" s="113"/>
      <c r="BB67" s="113"/>
      <c r="BC67" s="113"/>
      <c r="BD67" s="113"/>
      <c r="BE67" s="113"/>
      <c r="BF67" s="113"/>
      <c r="BG67" s="113"/>
      <c r="BH67" s="113"/>
      <c r="BI67" s="113"/>
      <c r="BJ67" s="113"/>
      <c r="BK67" s="113"/>
      <c r="BL67" s="113"/>
      <c r="BM67" s="113"/>
      <c r="BN67" s="113"/>
      <c r="BO67" s="113"/>
      <c r="BP67" s="113"/>
      <c r="BQ67" s="113"/>
      <c r="BR67" s="113"/>
      <c r="BS67" s="113"/>
      <c r="BT67" s="113"/>
      <c r="BU67" s="113"/>
      <c r="BV67" s="113"/>
      <c r="BW67" s="113"/>
      <c r="BX67" s="113"/>
      <c r="BY67" s="113"/>
      <c r="BZ67" s="113"/>
      <c r="CA67" s="113"/>
      <c r="CB67" s="113"/>
      <c r="CC67" s="113"/>
      <c r="CD67" s="113"/>
      <c r="CE67" s="113"/>
      <c r="CF67" s="113"/>
      <c r="CG67" s="113"/>
      <c r="CH67" s="113"/>
      <c r="CI67" s="113"/>
      <c r="CJ67" s="113"/>
      <c r="CK67" s="113"/>
      <c r="CL67" s="113"/>
      <c r="CM67" s="113"/>
      <c r="CN67" s="113"/>
      <c r="CO67" s="113"/>
      <c r="CP67" s="113"/>
      <c r="CQ67" s="113"/>
      <c r="CR67" s="113"/>
      <c r="CS67" s="113"/>
      <c r="CT67" s="113"/>
      <c r="CU67" s="113"/>
      <c r="CV67" s="113"/>
      <c r="CW67" s="113"/>
      <c r="CX67" s="113"/>
      <c r="CY67" s="113"/>
      <c r="CZ67" s="113"/>
      <c r="DA67" s="113"/>
      <c r="DB67" s="113"/>
      <c r="DC67" s="113"/>
      <c r="DD67" s="113"/>
      <c r="DE67" s="113"/>
      <c r="DF67" s="113"/>
      <c r="DG67" s="113"/>
      <c r="DH67" s="113"/>
      <c r="DI67" s="113"/>
      <c r="DJ67" s="113"/>
      <c r="DK67" s="113"/>
      <c r="DL67" s="113"/>
      <c r="DM67" s="113"/>
      <c r="DN67" s="16">
        <f t="shared" si="10"/>
        <v>0</v>
      </c>
    </row>
    <row r="68" spans="5:118" hidden="1" x14ac:dyDescent="0.35">
      <c r="E68" s="111"/>
      <c r="F68" s="112"/>
      <c r="G68" s="112"/>
      <c r="H68" s="38">
        <f t="shared" si="8"/>
        <v>0</v>
      </c>
      <c r="I68" s="116"/>
      <c r="J68" s="38">
        <f t="shared" si="5"/>
        <v>0</v>
      </c>
      <c r="K68" s="38">
        <f t="shared" si="9"/>
        <v>0</v>
      </c>
      <c r="L68" s="38">
        <f t="shared" si="6"/>
        <v>0</v>
      </c>
      <c r="M68" s="39">
        <f t="shared" si="7"/>
        <v>0</v>
      </c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3"/>
      <c r="AA68" s="113"/>
      <c r="AB68" s="113"/>
      <c r="AC68" s="113"/>
      <c r="AD68" s="113"/>
      <c r="AE68" s="113"/>
      <c r="AF68" s="113"/>
      <c r="AG68" s="113"/>
      <c r="AH68" s="113"/>
      <c r="AI68" s="113"/>
      <c r="AJ68" s="113"/>
      <c r="AK68" s="113"/>
      <c r="AL68" s="113"/>
      <c r="AM68" s="113"/>
      <c r="AN68" s="113"/>
      <c r="AO68" s="113"/>
      <c r="AP68" s="113"/>
      <c r="AQ68" s="113"/>
      <c r="AR68" s="113"/>
      <c r="AS68" s="113"/>
      <c r="AT68" s="113"/>
      <c r="AU68" s="113"/>
      <c r="AV68" s="113"/>
      <c r="AW68" s="113"/>
      <c r="AX68" s="113"/>
      <c r="AY68" s="113"/>
      <c r="AZ68" s="113"/>
      <c r="BA68" s="113"/>
      <c r="BB68" s="113"/>
      <c r="BC68" s="113"/>
      <c r="BD68" s="113"/>
      <c r="BE68" s="113"/>
      <c r="BF68" s="113"/>
      <c r="BG68" s="113"/>
      <c r="BH68" s="113"/>
      <c r="BI68" s="113"/>
      <c r="BJ68" s="113"/>
      <c r="BK68" s="113"/>
      <c r="BL68" s="113"/>
      <c r="BM68" s="113"/>
      <c r="BN68" s="113"/>
      <c r="BO68" s="113"/>
      <c r="BP68" s="113"/>
      <c r="BQ68" s="113"/>
      <c r="BR68" s="113"/>
      <c r="BS68" s="113"/>
      <c r="BT68" s="113"/>
      <c r="BU68" s="113"/>
      <c r="BV68" s="113"/>
      <c r="BW68" s="113"/>
      <c r="BX68" s="113"/>
      <c r="BY68" s="113"/>
      <c r="BZ68" s="113"/>
      <c r="CA68" s="113"/>
      <c r="CB68" s="113"/>
      <c r="CC68" s="113"/>
      <c r="CD68" s="113"/>
      <c r="CE68" s="113"/>
      <c r="CF68" s="113"/>
      <c r="CG68" s="113"/>
      <c r="CH68" s="113"/>
      <c r="CI68" s="113"/>
      <c r="CJ68" s="113"/>
      <c r="CK68" s="113"/>
      <c r="CL68" s="113"/>
      <c r="CM68" s="113"/>
      <c r="CN68" s="113"/>
      <c r="CO68" s="113"/>
      <c r="CP68" s="113"/>
      <c r="CQ68" s="113"/>
      <c r="CR68" s="113"/>
      <c r="CS68" s="113"/>
      <c r="CT68" s="113"/>
      <c r="CU68" s="113"/>
      <c r="CV68" s="113"/>
      <c r="CW68" s="113"/>
      <c r="CX68" s="113"/>
      <c r="CY68" s="113"/>
      <c r="CZ68" s="113"/>
      <c r="DA68" s="113"/>
      <c r="DB68" s="113"/>
      <c r="DC68" s="113"/>
      <c r="DD68" s="113"/>
      <c r="DE68" s="113"/>
      <c r="DF68" s="113"/>
      <c r="DG68" s="113"/>
      <c r="DH68" s="113"/>
      <c r="DI68" s="113"/>
      <c r="DJ68" s="113"/>
      <c r="DK68" s="113"/>
      <c r="DL68" s="113"/>
      <c r="DM68" s="113"/>
      <c r="DN68" s="16">
        <f t="shared" si="10"/>
        <v>0</v>
      </c>
    </row>
    <row r="69" spans="5:118" x14ac:dyDescent="0.35">
      <c r="E69" s="111"/>
      <c r="F69" s="112"/>
      <c r="G69" s="112"/>
      <c r="H69" s="38">
        <f t="shared" si="8"/>
        <v>0</v>
      </c>
      <c r="I69" s="116"/>
      <c r="J69" s="38">
        <f t="shared" si="5"/>
        <v>0</v>
      </c>
      <c r="K69" s="38">
        <f t="shared" si="9"/>
        <v>0</v>
      </c>
      <c r="L69" s="38">
        <f t="shared" si="6"/>
        <v>0</v>
      </c>
      <c r="M69" s="39">
        <f t="shared" si="7"/>
        <v>0</v>
      </c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3"/>
      <c r="AA69" s="113"/>
      <c r="AB69" s="113"/>
      <c r="AC69" s="113"/>
      <c r="AD69" s="113"/>
      <c r="AE69" s="113"/>
      <c r="AF69" s="113"/>
      <c r="AG69" s="113"/>
      <c r="AH69" s="113"/>
      <c r="AI69" s="113"/>
      <c r="AJ69" s="113"/>
      <c r="AK69" s="113"/>
      <c r="AL69" s="113"/>
      <c r="AM69" s="113"/>
      <c r="AN69" s="113"/>
      <c r="AO69" s="113"/>
      <c r="AP69" s="113"/>
      <c r="AQ69" s="113"/>
      <c r="AR69" s="113"/>
      <c r="AS69" s="113"/>
      <c r="AT69" s="113"/>
      <c r="AU69" s="113"/>
      <c r="AV69" s="113"/>
      <c r="AW69" s="113"/>
      <c r="AX69" s="113"/>
      <c r="AY69" s="113"/>
      <c r="AZ69" s="113"/>
      <c r="BA69" s="113"/>
      <c r="BB69" s="113"/>
      <c r="BC69" s="113"/>
      <c r="BD69" s="113"/>
      <c r="BE69" s="113"/>
      <c r="BF69" s="113"/>
      <c r="BG69" s="113"/>
      <c r="BH69" s="113"/>
      <c r="BI69" s="113"/>
      <c r="BJ69" s="113"/>
      <c r="BK69" s="113"/>
      <c r="BL69" s="113"/>
      <c r="BM69" s="113"/>
      <c r="BN69" s="113"/>
      <c r="BO69" s="113"/>
      <c r="BP69" s="113"/>
      <c r="BQ69" s="113"/>
      <c r="BR69" s="113"/>
      <c r="BS69" s="113"/>
      <c r="BT69" s="113"/>
      <c r="BU69" s="113"/>
      <c r="BV69" s="113"/>
      <c r="BW69" s="113"/>
      <c r="BX69" s="113"/>
      <c r="BY69" s="113"/>
      <c r="BZ69" s="113"/>
      <c r="CA69" s="113"/>
      <c r="CB69" s="113"/>
      <c r="CC69" s="113"/>
      <c r="CD69" s="113"/>
      <c r="CE69" s="113"/>
      <c r="CF69" s="113"/>
      <c r="CG69" s="113"/>
      <c r="CH69" s="113"/>
      <c r="CI69" s="113"/>
      <c r="CJ69" s="113"/>
      <c r="CK69" s="113"/>
      <c r="CL69" s="113"/>
      <c r="CM69" s="113"/>
      <c r="CN69" s="113"/>
      <c r="CO69" s="113"/>
      <c r="CP69" s="113"/>
      <c r="CQ69" s="113"/>
      <c r="CR69" s="113"/>
      <c r="CS69" s="113"/>
      <c r="CT69" s="113"/>
      <c r="CU69" s="113"/>
      <c r="CV69" s="113"/>
      <c r="CW69" s="113"/>
      <c r="CX69" s="113"/>
      <c r="CY69" s="113"/>
      <c r="CZ69" s="113"/>
      <c r="DA69" s="113"/>
      <c r="DB69" s="113"/>
      <c r="DC69" s="113"/>
      <c r="DD69" s="113"/>
      <c r="DE69" s="113"/>
      <c r="DF69" s="113"/>
      <c r="DG69" s="113"/>
      <c r="DH69" s="113"/>
      <c r="DI69" s="113"/>
      <c r="DJ69" s="113"/>
      <c r="DK69" s="113"/>
      <c r="DL69" s="113"/>
      <c r="DM69" s="113"/>
      <c r="DN69" s="16">
        <f t="shared" si="10"/>
        <v>0</v>
      </c>
    </row>
    <row r="70" spans="5:118" ht="15" thickBot="1" x14ac:dyDescent="0.4">
      <c r="E70" s="3" t="s">
        <v>312</v>
      </c>
      <c r="F70" s="41"/>
      <c r="G70" s="41"/>
      <c r="H70" s="41"/>
      <c r="I70" s="8"/>
      <c r="J70" s="8" t="s">
        <v>150</v>
      </c>
      <c r="K70" s="98">
        <f>SUM(K20:K69)</f>
        <v>348000</v>
      </c>
      <c r="L70" s="97">
        <f>SUM(L20:L69)</f>
        <v>701530</v>
      </c>
      <c r="M70" s="99">
        <f>SUM(M20:M69)</f>
        <v>240</v>
      </c>
      <c r="N70" s="4">
        <f>SUM(N20:N69)</f>
        <v>8</v>
      </c>
      <c r="O70" s="4">
        <f t="shared" ref="O70:BZ70" si="11">SUM(O20:O69)</f>
        <v>40</v>
      </c>
      <c r="P70" s="4">
        <f t="shared" si="11"/>
        <v>48</v>
      </c>
      <c r="Q70" s="4">
        <f t="shared" si="11"/>
        <v>80</v>
      </c>
      <c r="R70" s="4">
        <f t="shared" si="11"/>
        <v>64</v>
      </c>
      <c r="S70" s="4">
        <f t="shared" si="11"/>
        <v>0</v>
      </c>
      <c r="T70" s="4">
        <f t="shared" si="11"/>
        <v>0</v>
      </c>
      <c r="U70" s="4">
        <f t="shared" si="11"/>
        <v>0</v>
      </c>
      <c r="V70" s="4">
        <f t="shared" si="11"/>
        <v>0</v>
      </c>
      <c r="W70" s="4">
        <f t="shared" si="11"/>
        <v>0</v>
      </c>
      <c r="X70" s="4">
        <f t="shared" si="11"/>
        <v>0</v>
      </c>
      <c r="Y70" s="4">
        <f t="shared" si="11"/>
        <v>0</v>
      </c>
      <c r="Z70" s="4">
        <f t="shared" si="11"/>
        <v>0</v>
      </c>
      <c r="AA70" s="4">
        <f t="shared" si="11"/>
        <v>0</v>
      </c>
      <c r="AB70" s="4">
        <f t="shared" si="11"/>
        <v>0</v>
      </c>
      <c r="AC70" s="4">
        <f t="shared" si="11"/>
        <v>0</v>
      </c>
      <c r="AD70" s="4">
        <f t="shared" si="11"/>
        <v>0</v>
      </c>
      <c r="AE70" s="4">
        <f t="shared" si="11"/>
        <v>0</v>
      </c>
      <c r="AF70" s="4">
        <f t="shared" si="11"/>
        <v>0</v>
      </c>
      <c r="AG70" s="4">
        <f t="shared" si="11"/>
        <v>0</v>
      </c>
      <c r="AH70" s="4">
        <f t="shared" si="11"/>
        <v>0</v>
      </c>
      <c r="AI70" s="4">
        <f t="shared" si="11"/>
        <v>0</v>
      </c>
      <c r="AJ70" s="4">
        <f t="shared" si="11"/>
        <v>0</v>
      </c>
      <c r="AK70" s="4">
        <f t="shared" si="11"/>
        <v>0</v>
      </c>
      <c r="AL70" s="4">
        <f t="shared" si="11"/>
        <v>0</v>
      </c>
      <c r="AM70" s="4">
        <f t="shared" si="11"/>
        <v>0</v>
      </c>
      <c r="AN70" s="4">
        <f t="shared" si="11"/>
        <v>0</v>
      </c>
      <c r="AO70" s="4">
        <f t="shared" si="11"/>
        <v>0</v>
      </c>
      <c r="AP70" s="4">
        <f t="shared" si="11"/>
        <v>0</v>
      </c>
      <c r="AQ70" s="4">
        <f t="shared" si="11"/>
        <v>0</v>
      </c>
      <c r="AR70" s="4">
        <f t="shared" si="11"/>
        <v>0</v>
      </c>
      <c r="AS70" s="4">
        <f t="shared" si="11"/>
        <v>0</v>
      </c>
      <c r="AT70" s="4">
        <f t="shared" si="11"/>
        <v>0</v>
      </c>
      <c r="AU70" s="4">
        <f t="shared" si="11"/>
        <v>0</v>
      </c>
      <c r="AV70" s="4">
        <f t="shared" si="11"/>
        <v>0</v>
      </c>
      <c r="AW70" s="4">
        <f t="shared" si="11"/>
        <v>0</v>
      </c>
      <c r="AX70" s="4">
        <f t="shared" si="11"/>
        <v>0</v>
      </c>
      <c r="AY70" s="4">
        <f t="shared" si="11"/>
        <v>0</v>
      </c>
      <c r="AZ70" s="4">
        <f t="shared" si="11"/>
        <v>0</v>
      </c>
      <c r="BA70" s="4">
        <f t="shared" si="11"/>
        <v>0</v>
      </c>
      <c r="BB70" s="4">
        <f t="shared" si="11"/>
        <v>0</v>
      </c>
      <c r="BC70" s="4">
        <f t="shared" si="11"/>
        <v>0</v>
      </c>
      <c r="BD70" s="4">
        <f t="shared" si="11"/>
        <v>0</v>
      </c>
      <c r="BE70" s="4">
        <f t="shared" si="11"/>
        <v>0</v>
      </c>
      <c r="BF70" s="4">
        <f t="shared" si="11"/>
        <v>0</v>
      </c>
      <c r="BG70" s="4">
        <f t="shared" si="11"/>
        <v>0</v>
      </c>
      <c r="BH70" s="4">
        <f t="shared" si="11"/>
        <v>0</v>
      </c>
      <c r="BI70" s="4">
        <f t="shared" si="11"/>
        <v>0</v>
      </c>
      <c r="BJ70" s="4">
        <f t="shared" si="11"/>
        <v>0</v>
      </c>
      <c r="BK70" s="4">
        <f t="shared" si="11"/>
        <v>0</v>
      </c>
      <c r="BL70" s="4">
        <f t="shared" si="11"/>
        <v>0</v>
      </c>
      <c r="BM70" s="4">
        <f t="shared" si="11"/>
        <v>0</v>
      </c>
      <c r="BN70" s="4">
        <f t="shared" si="11"/>
        <v>0</v>
      </c>
      <c r="BO70" s="4">
        <f t="shared" si="11"/>
        <v>0</v>
      </c>
      <c r="BP70" s="4">
        <f t="shared" si="11"/>
        <v>0</v>
      </c>
      <c r="BQ70" s="4">
        <f t="shared" si="11"/>
        <v>0</v>
      </c>
      <c r="BR70" s="4">
        <f t="shared" si="11"/>
        <v>0</v>
      </c>
      <c r="BS70" s="4">
        <f t="shared" si="11"/>
        <v>0</v>
      </c>
      <c r="BT70" s="4">
        <f t="shared" si="11"/>
        <v>0</v>
      </c>
      <c r="BU70" s="4">
        <f t="shared" si="11"/>
        <v>0</v>
      </c>
      <c r="BV70" s="4">
        <f t="shared" si="11"/>
        <v>0</v>
      </c>
      <c r="BW70" s="4">
        <f t="shared" si="11"/>
        <v>0</v>
      </c>
      <c r="BX70" s="4">
        <f t="shared" si="11"/>
        <v>0</v>
      </c>
      <c r="BY70" s="4">
        <f t="shared" si="11"/>
        <v>0</v>
      </c>
      <c r="BZ70" s="4">
        <f t="shared" si="11"/>
        <v>0</v>
      </c>
      <c r="CA70" s="4">
        <f t="shared" ref="CA70:DM70" si="12">SUM(CA20:CA69)</f>
        <v>0</v>
      </c>
      <c r="CB70" s="4">
        <f t="shared" si="12"/>
        <v>0</v>
      </c>
      <c r="CC70" s="4">
        <f t="shared" si="12"/>
        <v>0</v>
      </c>
      <c r="CD70" s="4">
        <f t="shared" si="12"/>
        <v>0</v>
      </c>
      <c r="CE70" s="4">
        <f t="shared" si="12"/>
        <v>0</v>
      </c>
      <c r="CF70" s="4">
        <f t="shared" si="12"/>
        <v>0</v>
      </c>
      <c r="CG70" s="4">
        <f t="shared" si="12"/>
        <v>0</v>
      </c>
      <c r="CH70" s="4">
        <f t="shared" si="12"/>
        <v>0</v>
      </c>
      <c r="CI70" s="4">
        <f t="shared" si="12"/>
        <v>0</v>
      </c>
      <c r="CJ70" s="4">
        <f t="shared" si="12"/>
        <v>0</v>
      </c>
      <c r="CK70" s="4">
        <f t="shared" si="12"/>
        <v>0</v>
      </c>
      <c r="CL70" s="4">
        <f t="shared" si="12"/>
        <v>0</v>
      </c>
      <c r="CM70" s="4">
        <f t="shared" si="12"/>
        <v>0</v>
      </c>
      <c r="CN70" s="4">
        <f t="shared" si="12"/>
        <v>0</v>
      </c>
      <c r="CO70" s="4">
        <f t="shared" si="12"/>
        <v>0</v>
      </c>
      <c r="CP70" s="4">
        <f t="shared" si="12"/>
        <v>0</v>
      </c>
      <c r="CQ70" s="4">
        <f t="shared" si="12"/>
        <v>0</v>
      </c>
      <c r="CR70" s="4">
        <f t="shared" si="12"/>
        <v>0</v>
      </c>
      <c r="CS70" s="4">
        <f t="shared" si="12"/>
        <v>0</v>
      </c>
      <c r="CT70" s="4">
        <f t="shared" si="12"/>
        <v>0</v>
      </c>
      <c r="CU70" s="4">
        <f t="shared" si="12"/>
        <v>0</v>
      </c>
      <c r="CV70" s="4">
        <f t="shared" si="12"/>
        <v>0</v>
      </c>
      <c r="CW70" s="4">
        <f t="shared" si="12"/>
        <v>0</v>
      </c>
      <c r="CX70" s="4">
        <f t="shared" si="12"/>
        <v>0</v>
      </c>
      <c r="CY70" s="4">
        <f t="shared" si="12"/>
        <v>0</v>
      </c>
      <c r="CZ70" s="4">
        <f t="shared" si="12"/>
        <v>0</v>
      </c>
      <c r="DA70" s="4">
        <f t="shared" si="12"/>
        <v>0</v>
      </c>
      <c r="DB70" s="4">
        <f t="shared" si="12"/>
        <v>0</v>
      </c>
      <c r="DC70" s="4">
        <f t="shared" si="12"/>
        <v>0</v>
      </c>
      <c r="DD70" s="4">
        <f t="shared" si="12"/>
        <v>0</v>
      </c>
      <c r="DE70" s="4">
        <f t="shared" si="12"/>
        <v>0</v>
      </c>
      <c r="DF70" s="4">
        <f t="shared" si="12"/>
        <v>0</v>
      </c>
      <c r="DG70" s="4">
        <f t="shared" si="12"/>
        <v>0</v>
      </c>
      <c r="DH70" s="4">
        <f t="shared" si="12"/>
        <v>0</v>
      </c>
      <c r="DI70" s="4">
        <f t="shared" si="12"/>
        <v>0</v>
      </c>
      <c r="DJ70" s="4">
        <f t="shared" si="12"/>
        <v>0</v>
      </c>
      <c r="DK70" s="4">
        <f t="shared" si="12"/>
        <v>0</v>
      </c>
      <c r="DL70" s="4">
        <f t="shared" si="12"/>
        <v>0</v>
      </c>
      <c r="DM70" s="4">
        <f t="shared" si="12"/>
        <v>0</v>
      </c>
      <c r="DN70" s="42">
        <f>SUM(DN20:DN69)</f>
        <v>240000</v>
      </c>
    </row>
    <row r="71" spans="5:118" ht="15" thickBot="1" x14ac:dyDescent="0.4"/>
    <row r="72" spans="5:118" ht="15" thickBot="1" x14ac:dyDescent="0.4">
      <c r="E72" s="95" t="s">
        <v>297</v>
      </c>
      <c r="F72" s="48"/>
      <c r="G72" s="48"/>
      <c r="H72" s="48"/>
      <c r="I72" s="48"/>
      <c r="J72" s="48"/>
      <c r="K72" s="48"/>
      <c r="L72" s="48"/>
      <c r="M72" s="48"/>
      <c r="N72" s="94">
        <f>FrontPage!B9</f>
        <v>46020.229166666664</v>
      </c>
      <c r="O72" s="88">
        <f>N72+7</f>
        <v>46027.229166666664</v>
      </c>
      <c r="P72" s="88">
        <f t="shared" ref="P72:CA72" si="13">O72+7</f>
        <v>46034.229166666664</v>
      </c>
      <c r="Q72" s="88">
        <f t="shared" si="13"/>
        <v>46041.229166666664</v>
      </c>
      <c r="R72" s="88">
        <f t="shared" si="13"/>
        <v>46048.229166666664</v>
      </c>
      <c r="S72" s="88">
        <f t="shared" si="13"/>
        <v>46055.229166666664</v>
      </c>
      <c r="T72" s="88">
        <f t="shared" si="13"/>
        <v>46062.229166666664</v>
      </c>
      <c r="U72" s="88">
        <f t="shared" si="13"/>
        <v>46069.229166666664</v>
      </c>
      <c r="V72" s="88">
        <f t="shared" si="13"/>
        <v>46076.229166666664</v>
      </c>
      <c r="W72" s="88">
        <f t="shared" si="13"/>
        <v>46083.229166666664</v>
      </c>
      <c r="X72" s="88">
        <f t="shared" si="13"/>
        <v>46090.229166666664</v>
      </c>
      <c r="Y72" s="88">
        <f t="shared" si="13"/>
        <v>46097.229166666664</v>
      </c>
      <c r="Z72" s="88">
        <f t="shared" si="13"/>
        <v>46104.229166666664</v>
      </c>
      <c r="AA72" s="88">
        <f t="shared" si="13"/>
        <v>46111.229166666664</v>
      </c>
      <c r="AB72" s="88">
        <f t="shared" si="13"/>
        <v>46118.229166666664</v>
      </c>
      <c r="AC72" s="88">
        <f t="shared" si="13"/>
        <v>46125.229166666664</v>
      </c>
      <c r="AD72" s="88">
        <f t="shared" si="13"/>
        <v>46132.229166666664</v>
      </c>
      <c r="AE72" s="88">
        <f t="shared" si="13"/>
        <v>46139.229166666664</v>
      </c>
      <c r="AF72" s="88">
        <f t="shared" si="13"/>
        <v>46146.229166666664</v>
      </c>
      <c r="AG72" s="88">
        <f t="shared" si="13"/>
        <v>46153.229166666664</v>
      </c>
      <c r="AH72" s="88">
        <f t="shared" si="13"/>
        <v>46160.229166666664</v>
      </c>
      <c r="AI72" s="88">
        <f t="shared" si="13"/>
        <v>46167.229166666664</v>
      </c>
      <c r="AJ72" s="88">
        <f t="shared" si="13"/>
        <v>46174.229166666664</v>
      </c>
      <c r="AK72" s="88">
        <f t="shared" si="13"/>
        <v>46181.229166666664</v>
      </c>
      <c r="AL72" s="88">
        <f t="shared" si="13"/>
        <v>46188.229166666664</v>
      </c>
      <c r="AM72" s="88">
        <f t="shared" si="13"/>
        <v>46195.229166666664</v>
      </c>
      <c r="AN72" s="88">
        <f t="shared" si="13"/>
        <v>46202.229166666664</v>
      </c>
      <c r="AO72" s="88">
        <f t="shared" si="13"/>
        <v>46209.229166666664</v>
      </c>
      <c r="AP72" s="88">
        <f t="shared" si="13"/>
        <v>46216.229166666664</v>
      </c>
      <c r="AQ72" s="88">
        <f t="shared" si="13"/>
        <v>46223.229166666664</v>
      </c>
      <c r="AR72" s="88">
        <f t="shared" si="13"/>
        <v>46230.229166666664</v>
      </c>
      <c r="AS72" s="88">
        <f t="shared" si="13"/>
        <v>46237.229166666664</v>
      </c>
      <c r="AT72" s="88">
        <f t="shared" si="13"/>
        <v>46244.229166666664</v>
      </c>
      <c r="AU72" s="88">
        <f t="shared" si="13"/>
        <v>46251.229166666664</v>
      </c>
      <c r="AV72" s="88">
        <f t="shared" si="13"/>
        <v>46258.229166666664</v>
      </c>
      <c r="AW72" s="88">
        <f t="shared" si="13"/>
        <v>46265.229166666664</v>
      </c>
      <c r="AX72" s="88">
        <f t="shared" si="13"/>
        <v>46272.229166666664</v>
      </c>
      <c r="AY72" s="88">
        <f t="shared" si="13"/>
        <v>46279.229166666664</v>
      </c>
      <c r="AZ72" s="88">
        <f t="shared" si="13"/>
        <v>46286.229166666664</v>
      </c>
      <c r="BA72" s="88">
        <f t="shared" si="13"/>
        <v>46293.229166666664</v>
      </c>
      <c r="BB72" s="88">
        <f t="shared" si="13"/>
        <v>46300.229166666664</v>
      </c>
      <c r="BC72" s="88">
        <f t="shared" si="13"/>
        <v>46307.229166666664</v>
      </c>
      <c r="BD72" s="88">
        <f t="shared" si="13"/>
        <v>46314.229166666664</v>
      </c>
      <c r="BE72" s="88">
        <f t="shared" si="13"/>
        <v>46321.229166666664</v>
      </c>
      <c r="BF72" s="88">
        <f t="shared" si="13"/>
        <v>46328.229166666664</v>
      </c>
      <c r="BG72" s="88">
        <f t="shared" si="13"/>
        <v>46335.229166666664</v>
      </c>
      <c r="BH72" s="88">
        <f t="shared" si="13"/>
        <v>46342.229166666664</v>
      </c>
      <c r="BI72" s="88">
        <f t="shared" si="13"/>
        <v>46349.229166666664</v>
      </c>
      <c r="BJ72" s="88">
        <f t="shared" si="13"/>
        <v>46356.229166666664</v>
      </c>
      <c r="BK72" s="88">
        <f t="shared" si="13"/>
        <v>46363.229166666664</v>
      </c>
      <c r="BL72" s="88">
        <f t="shared" si="13"/>
        <v>46370.229166666664</v>
      </c>
      <c r="BM72" s="88">
        <f t="shared" si="13"/>
        <v>46377.229166666664</v>
      </c>
      <c r="BN72" s="88">
        <f t="shared" si="13"/>
        <v>46384.229166666664</v>
      </c>
      <c r="BO72" s="88">
        <f t="shared" si="13"/>
        <v>46391.229166666664</v>
      </c>
      <c r="BP72" s="88">
        <f t="shared" si="13"/>
        <v>46398.229166666664</v>
      </c>
      <c r="BQ72" s="88">
        <f t="shared" si="13"/>
        <v>46405.229166666664</v>
      </c>
      <c r="BR72" s="88">
        <f t="shared" si="13"/>
        <v>46412.229166666664</v>
      </c>
      <c r="BS72" s="88">
        <f t="shared" si="13"/>
        <v>46419.229166666664</v>
      </c>
      <c r="BT72" s="88">
        <f t="shared" si="13"/>
        <v>46426.229166666664</v>
      </c>
      <c r="BU72" s="88">
        <f t="shared" si="13"/>
        <v>46433.229166666664</v>
      </c>
      <c r="BV72" s="88">
        <f t="shared" si="13"/>
        <v>46440.229166666664</v>
      </c>
      <c r="BW72" s="88">
        <f t="shared" si="13"/>
        <v>46447.229166666664</v>
      </c>
      <c r="BX72" s="88">
        <f t="shared" si="13"/>
        <v>46454.229166666664</v>
      </c>
      <c r="BY72" s="88">
        <f t="shared" si="13"/>
        <v>46461.229166666664</v>
      </c>
      <c r="BZ72" s="88">
        <f t="shared" si="13"/>
        <v>46468.229166666664</v>
      </c>
      <c r="CA72" s="88">
        <f t="shared" si="13"/>
        <v>46475.229166666664</v>
      </c>
      <c r="CB72" s="88">
        <f t="shared" ref="CB72:DM72" si="14">CA72+7</f>
        <v>46482.229166666664</v>
      </c>
      <c r="CC72" s="88">
        <f t="shared" si="14"/>
        <v>46489.229166666664</v>
      </c>
      <c r="CD72" s="88">
        <f t="shared" si="14"/>
        <v>46496.229166666664</v>
      </c>
      <c r="CE72" s="88">
        <f t="shared" si="14"/>
        <v>46503.229166666664</v>
      </c>
      <c r="CF72" s="88">
        <f t="shared" si="14"/>
        <v>46510.229166666664</v>
      </c>
      <c r="CG72" s="88">
        <f t="shared" si="14"/>
        <v>46517.229166666664</v>
      </c>
      <c r="CH72" s="88">
        <f t="shared" si="14"/>
        <v>46524.229166666664</v>
      </c>
      <c r="CI72" s="88">
        <f t="shared" si="14"/>
        <v>46531.229166666664</v>
      </c>
      <c r="CJ72" s="88">
        <f t="shared" si="14"/>
        <v>46538.229166666664</v>
      </c>
      <c r="CK72" s="88">
        <f t="shared" si="14"/>
        <v>46545.229166666664</v>
      </c>
      <c r="CL72" s="88">
        <f t="shared" si="14"/>
        <v>46552.229166666664</v>
      </c>
      <c r="CM72" s="88">
        <f t="shared" si="14"/>
        <v>46559.229166666664</v>
      </c>
      <c r="CN72" s="88">
        <f t="shared" si="14"/>
        <v>46566.229166666664</v>
      </c>
      <c r="CO72" s="88">
        <f t="shared" si="14"/>
        <v>46573.229166666664</v>
      </c>
      <c r="CP72" s="88">
        <f t="shared" si="14"/>
        <v>46580.229166666664</v>
      </c>
      <c r="CQ72" s="88">
        <f t="shared" si="14"/>
        <v>46587.229166666664</v>
      </c>
      <c r="CR72" s="88">
        <f t="shared" si="14"/>
        <v>46594.229166666664</v>
      </c>
      <c r="CS72" s="88">
        <f t="shared" si="14"/>
        <v>46601.229166666664</v>
      </c>
      <c r="CT72" s="88">
        <f t="shared" si="14"/>
        <v>46608.229166666664</v>
      </c>
      <c r="CU72" s="88">
        <f t="shared" si="14"/>
        <v>46615.229166666664</v>
      </c>
      <c r="CV72" s="88">
        <f t="shared" si="14"/>
        <v>46622.229166666664</v>
      </c>
      <c r="CW72" s="88">
        <f t="shared" si="14"/>
        <v>46629.229166666664</v>
      </c>
      <c r="CX72" s="88">
        <f t="shared" si="14"/>
        <v>46636.229166666664</v>
      </c>
      <c r="CY72" s="88">
        <f t="shared" si="14"/>
        <v>46643.229166666664</v>
      </c>
      <c r="CZ72" s="88">
        <f t="shared" si="14"/>
        <v>46650.229166666664</v>
      </c>
      <c r="DA72" s="88">
        <f t="shared" si="14"/>
        <v>46657.229166666664</v>
      </c>
      <c r="DB72" s="88">
        <f t="shared" si="14"/>
        <v>46664.229166666664</v>
      </c>
      <c r="DC72" s="88">
        <f t="shared" si="14"/>
        <v>46671.229166666664</v>
      </c>
      <c r="DD72" s="88">
        <f t="shared" si="14"/>
        <v>46678.229166666664</v>
      </c>
      <c r="DE72" s="88">
        <f t="shared" si="14"/>
        <v>46685.229166666664</v>
      </c>
      <c r="DF72" s="88">
        <f t="shared" si="14"/>
        <v>46692.229166666664</v>
      </c>
      <c r="DG72" s="88">
        <f t="shared" si="14"/>
        <v>46699.229166666664</v>
      </c>
      <c r="DH72" s="88">
        <f t="shared" si="14"/>
        <v>46706.229166666664</v>
      </c>
      <c r="DI72" s="88">
        <f t="shared" si="14"/>
        <v>46713.229166666664</v>
      </c>
      <c r="DJ72" s="88">
        <f t="shared" si="14"/>
        <v>46720.229166666664</v>
      </c>
      <c r="DK72" s="88">
        <f t="shared" si="14"/>
        <v>46727.229166666664</v>
      </c>
      <c r="DL72" s="88">
        <f t="shared" si="14"/>
        <v>46734.229166666664</v>
      </c>
      <c r="DM72" s="89">
        <f t="shared" si="14"/>
        <v>46741.229166666664</v>
      </c>
    </row>
    <row r="73" spans="5:118" s="19" customFormat="1" ht="30" customHeight="1" x14ac:dyDescent="0.3">
      <c r="E73" s="28" t="s">
        <v>29</v>
      </c>
      <c r="F73" s="91" t="s">
        <v>299</v>
      </c>
      <c r="G73" s="91" t="s">
        <v>300</v>
      </c>
      <c r="H73" s="92" t="s">
        <v>301</v>
      </c>
      <c r="I73" s="69"/>
      <c r="J73" s="69"/>
      <c r="K73" s="69"/>
      <c r="L73" s="93" t="s">
        <v>298</v>
      </c>
      <c r="M73" s="34" t="s">
        <v>257</v>
      </c>
      <c r="N73" s="34" t="s">
        <v>35</v>
      </c>
      <c r="O73" s="33" t="s">
        <v>36</v>
      </c>
      <c r="P73" s="33" t="s">
        <v>37</v>
      </c>
      <c r="Q73" s="33" t="s">
        <v>38</v>
      </c>
      <c r="R73" s="33" t="s">
        <v>39</v>
      </c>
      <c r="S73" s="33" t="s">
        <v>40</v>
      </c>
      <c r="T73" s="33" t="s">
        <v>41</v>
      </c>
      <c r="U73" s="33" t="s">
        <v>42</v>
      </c>
      <c r="V73" s="33" t="s">
        <v>43</v>
      </c>
      <c r="W73" s="33" t="s">
        <v>44</v>
      </c>
      <c r="X73" s="33" t="s">
        <v>45</v>
      </c>
      <c r="Y73" s="33" t="s">
        <v>46</v>
      </c>
      <c r="Z73" s="33" t="s">
        <v>47</v>
      </c>
      <c r="AA73" s="33" t="s">
        <v>48</v>
      </c>
      <c r="AB73" s="33" t="s">
        <v>49</v>
      </c>
      <c r="AC73" s="33" t="s">
        <v>50</v>
      </c>
      <c r="AD73" s="33" t="s">
        <v>51</v>
      </c>
      <c r="AE73" s="33" t="s">
        <v>52</v>
      </c>
      <c r="AF73" s="33" t="s">
        <v>53</v>
      </c>
      <c r="AG73" s="33" t="s">
        <v>54</v>
      </c>
      <c r="AH73" s="33" t="s">
        <v>55</v>
      </c>
      <c r="AI73" s="33" t="s">
        <v>56</v>
      </c>
      <c r="AJ73" s="33" t="s">
        <v>57</v>
      </c>
      <c r="AK73" s="33" t="s">
        <v>58</v>
      </c>
      <c r="AL73" s="33" t="s">
        <v>59</v>
      </c>
      <c r="AM73" s="33" t="s">
        <v>60</v>
      </c>
      <c r="AN73" s="33" t="s">
        <v>61</v>
      </c>
      <c r="AO73" s="33" t="s">
        <v>62</v>
      </c>
      <c r="AP73" s="33" t="s">
        <v>63</v>
      </c>
      <c r="AQ73" s="33" t="s">
        <v>64</v>
      </c>
      <c r="AR73" s="33" t="s">
        <v>65</v>
      </c>
      <c r="AS73" s="33" t="s">
        <v>66</v>
      </c>
      <c r="AT73" s="33" t="s">
        <v>67</v>
      </c>
      <c r="AU73" s="33" t="s">
        <v>68</v>
      </c>
      <c r="AV73" s="33" t="s">
        <v>69</v>
      </c>
      <c r="AW73" s="33" t="s">
        <v>70</v>
      </c>
      <c r="AX73" s="33" t="s">
        <v>71</v>
      </c>
      <c r="AY73" s="33" t="s">
        <v>72</v>
      </c>
      <c r="AZ73" s="33" t="s">
        <v>73</v>
      </c>
      <c r="BA73" s="33" t="s">
        <v>74</v>
      </c>
      <c r="BB73" s="33" t="s">
        <v>75</v>
      </c>
      <c r="BC73" s="33" t="s">
        <v>76</v>
      </c>
      <c r="BD73" s="33" t="s">
        <v>77</v>
      </c>
      <c r="BE73" s="33" t="s">
        <v>78</v>
      </c>
      <c r="BF73" s="33" t="s">
        <v>79</v>
      </c>
      <c r="BG73" s="33" t="s">
        <v>80</v>
      </c>
      <c r="BH73" s="33" t="s">
        <v>81</v>
      </c>
      <c r="BI73" s="33" t="s">
        <v>82</v>
      </c>
      <c r="BJ73" s="33" t="s">
        <v>83</v>
      </c>
      <c r="BK73" s="33" t="s">
        <v>84</v>
      </c>
      <c r="BL73" s="33" t="s">
        <v>85</v>
      </c>
      <c r="BM73" s="33" t="s">
        <v>86</v>
      </c>
      <c r="BN73" s="33" t="s">
        <v>87</v>
      </c>
      <c r="BO73" s="33" t="s">
        <v>88</v>
      </c>
      <c r="BP73" s="33" t="s">
        <v>89</v>
      </c>
      <c r="BQ73" s="33" t="s">
        <v>90</v>
      </c>
      <c r="BR73" s="33" t="s">
        <v>91</v>
      </c>
      <c r="BS73" s="33" t="s">
        <v>92</v>
      </c>
      <c r="BT73" s="33" t="s">
        <v>93</v>
      </c>
      <c r="BU73" s="33" t="s">
        <v>94</v>
      </c>
      <c r="BV73" s="33" t="s">
        <v>95</v>
      </c>
      <c r="BW73" s="33" t="s">
        <v>96</v>
      </c>
      <c r="BX73" s="33" t="s">
        <v>97</v>
      </c>
      <c r="BY73" s="33" t="s">
        <v>98</v>
      </c>
      <c r="BZ73" s="33" t="s">
        <v>99</v>
      </c>
      <c r="CA73" s="33" t="s">
        <v>100</v>
      </c>
      <c r="CB73" s="33" t="s">
        <v>101</v>
      </c>
      <c r="CC73" s="33" t="s">
        <v>102</v>
      </c>
      <c r="CD73" s="33" t="s">
        <v>103</v>
      </c>
      <c r="CE73" s="33" t="s">
        <v>104</v>
      </c>
      <c r="CF73" s="33" t="s">
        <v>105</v>
      </c>
      <c r="CG73" s="33" t="s">
        <v>106</v>
      </c>
      <c r="CH73" s="33" t="s">
        <v>107</v>
      </c>
      <c r="CI73" s="33" t="s">
        <v>108</v>
      </c>
      <c r="CJ73" s="33" t="s">
        <v>109</v>
      </c>
      <c r="CK73" s="33" t="s">
        <v>110</v>
      </c>
      <c r="CL73" s="33" t="s">
        <v>111</v>
      </c>
      <c r="CM73" s="33" t="s">
        <v>112</v>
      </c>
      <c r="CN73" s="33" t="s">
        <v>113</v>
      </c>
      <c r="CO73" s="33" t="s">
        <v>114</v>
      </c>
      <c r="CP73" s="33" t="s">
        <v>115</v>
      </c>
      <c r="CQ73" s="33" t="s">
        <v>116</v>
      </c>
      <c r="CR73" s="33" t="s">
        <v>117</v>
      </c>
      <c r="CS73" s="33" t="s">
        <v>118</v>
      </c>
      <c r="CT73" s="33" t="s">
        <v>119</v>
      </c>
      <c r="CU73" s="33" t="s">
        <v>120</v>
      </c>
      <c r="CV73" s="33" t="s">
        <v>121</v>
      </c>
      <c r="CW73" s="33" t="s">
        <v>122</v>
      </c>
      <c r="CX73" s="33" t="s">
        <v>123</v>
      </c>
      <c r="CY73" s="33" t="s">
        <v>124</v>
      </c>
      <c r="CZ73" s="33" t="s">
        <v>125</v>
      </c>
      <c r="DA73" s="33" t="s">
        <v>126</v>
      </c>
      <c r="DB73" s="33" t="s">
        <v>127</v>
      </c>
      <c r="DC73" s="33" t="s">
        <v>128</v>
      </c>
      <c r="DD73" s="33" t="s">
        <v>129</v>
      </c>
      <c r="DE73" s="33" t="s">
        <v>130</v>
      </c>
      <c r="DF73" s="33" t="s">
        <v>131</v>
      </c>
      <c r="DG73" s="33" t="s">
        <v>132</v>
      </c>
      <c r="DH73" s="33" t="s">
        <v>133</v>
      </c>
      <c r="DI73" s="33" t="s">
        <v>134</v>
      </c>
      <c r="DJ73" s="33" t="s">
        <v>135</v>
      </c>
      <c r="DK73" s="33" t="s">
        <v>136</v>
      </c>
      <c r="DL73" s="33" t="s">
        <v>137</v>
      </c>
      <c r="DM73" s="44" t="s">
        <v>138</v>
      </c>
      <c r="DN73" s="45"/>
    </row>
    <row r="74" spans="5:118" x14ac:dyDescent="0.35">
      <c r="E74" s="36"/>
      <c r="F74" s="37"/>
      <c r="G74" s="37"/>
      <c r="H74" s="67"/>
      <c r="I74" s="69"/>
      <c r="J74" s="70"/>
      <c r="K74" s="70"/>
      <c r="L74" s="68">
        <f t="shared" ref="L74:L83" si="15">H74*M74</f>
        <v>0</v>
      </c>
      <c r="M74" s="39">
        <f>SUM(N74:DM74)</f>
        <v>0</v>
      </c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U74" s="40"/>
      <c r="AV74" s="40"/>
      <c r="AW74" s="40"/>
      <c r="AX74" s="40"/>
      <c r="AY74" s="40"/>
      <c r="AZ74" s="40"/>
      <c r="BA74" s="40"/>
      <c r="BB74" s="40"/>
      <c r="BC74" s="40"/>
      <c r="BD74" s="40"/>
      <c r="BE74" s="40"/>
      <c r="BF74" s="40"/>
      <c r="BG74" s="40"/>
      <c r="BH74" s="40"/>
      <c r="BI74" s="40"/>
      <c r="BJ74" s="40"/>
      <c r="BK74" s="40"/>
      <c r="BL74" s="40"/>
      <c r="BM74" s="40"/>
      <c r="BN74" s="40"/>
      <c r="BO74" s="40"/>
      <c r="BP74" s="40"/>
      <c r="BQ74" s="40"/>
      <c r="BR74" s="40"/>
      <c r="BS74" s="40"/>
      <c r="BT74" s="40"/>
      <c r="BU74" s="40"/>
      <c r="BV74" s="40"/>
      <c r="BW74" s="40"/>
      <c r="BX74" s="40"/>
      <c r="BY74" s="40"/>
      <c r="BZ74" s="40"/>
      <c r="CA74" s="40"/>
      <c r="CB74" s="40"/>
      <c r="CC74" s="40"/>
      <c r="CD74" s="40"/>
      <c r="CE74" s="40"/>
      <c r="CF74" s="40"/>
      <c r="CG74" s="40"/>
      <c r="CH74" s="40"/>
      <c r="CI74" s="40"/>
      <c r="CJ74" s="40"/>
      <c r="CK74" s="40"/>
      <c r="CL74" s="40"/>
      <c r="CM74" s="40"/>
      <c r="CN74" s="40"/>
      <c r="CO74" s="40"/>
      <c r="CP74" s="40"/>
      <c r="CQ74" s="40"/>
      <c r="CR74" s="40"/>
      <c r="CS74" s="40"/>
      <c r="CT74" s="40"/>
      <c r="CU74" s="40"/>
      <c r="CV74" s="40"/>
      <c r="CW74" s="40"/>
      <c r="CX74" s="40"/>
      <c r="CY74" s="40"/>
      <c r="CZ74" s="40"/>
      <c r="DA74" s="40"/>
      <c r="DB74" s="40"/>
      <c r="DC74" s="40"/>
      <c r="DD74" s="40"/>
      <c r="DE74" s="40"/>
      <c r="DF74" s="40"/>
      <c r="DG74" s="40"/>
      <c r="DH74" s="40"/>
      <c r="DI74" s="40"/>
      <c r="DJ74" s="40"/>
      <c r="DK74" s="40"/>
      <c r="DL74" s="40"/>
      <c r="DM74" s="46"/>
      <c r="DN74" s="47"/>
    </row>
    <row r="75" spans="5:118" x14ac:dyDescent="0.35">
      <c r="E75" s="36"/>
      <c r="F75" s="37"/>
      <c r="G75" s="37"/>
      <c r="H75" s="67"/>
      <c r="I75" s="69"/>
      <c r="J75" s="70"/>
      <c r="K75" s="70"/>
      <c r="L75" s="68">
        <f t="shared" si="15"/>
        <v>0</v>
      </c>
      <c r="M75" s="39">
        <f t="shared" ref="M75:M83" si="16">SUM(N75:DM75)</f>
        <v>0</v>
      </c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/>
      <c r="BF75" s="40"/>
      <c r="BG75" s="40"/>
      <c r="BH75" s="40"/>
      <c r="BI75" s="40"/>
      <c r="BJ75" s="40"/>
      <c r="BK75" s="40"/>
      <c r="BL75" s="40"/>
      <c r="BM75" s="40"/>
      <c r="BN75" s="40"/>
      <c r="BO75" s="40"/>
      <c r="BP75" s="40"/>
      <c r="BQ75" s="40"/>
      <c r="BR75" s="40"/>
      <c r="BS75" s="40"/>
      <c r="BT75" s="40"/>
      <c r="BU75" s="40"/>
      <c r="BV75" s="40"/>
      <c r="BW75" s="40"/>
      <c r="BX75" s="40"/>
      <c r="BY75" s="40"/>
      <c r="BZ75" s="40"/>
      <c r="CA75" s="40"/>
      <c r="CB75" s="40"/>
      <c r="CC75" s="40"/>
      <c r="CD75" s="40"/>
      <c r="CE75" s="40"/>
      <c r="CF75" s="40"/>
      <c r="CG75" s="40"/>
      <c r="CH75" s="40"/>
      <c r="CI75" s="40"/>
      <c r="CJ75" s="40"/>
      <c r="CK75" s="40"/>
      <c r="CL75" s="40"/>
      <c r="CM75" s="40"/>
      <c r="CN75" s="40"/>
      <c r="CO75" s="40"/>
      <c r="CP75" s="40"/>
      <c r="CQ75" s="40"/>
      <c r="CR75" s="40"/>
      <c r="CS75" s="40"/>
      <c r="CT75" s="40"/>
      <c r="CU75" s="40"/>
      <c r="CV75" s="40"/>
      <c r="CW75" s="40"/>
      <c r="CX75" s="40"/>
      <c r="CY75" s="40"/>
      <c r="CZ75" s="40"/>
      <c r="DA75" s="40"/>
      <c r="DB75" s="40"/>
      <c r="DC75" s="40"/>
      <c r="DD75" s="40"/>
      <c r="DE75" s="40"/>
      <c r="DF75" s="40"/>
      <c r="DG75" s="40"/>
      <c r="DH75" s="40"/>
      <c r="DI75" s="40"/>
      <c r="DJ75" s="40"/>
      <c r="DK75" s="40"/>
      <c r="DL75" s="40"/>
      <c r="DM75" s="46"/>
      <c r="DN75" s="47"/>
    </row>
    <row r="76" spans="5:118" x14ac:dyDescent="0.35">
      <c r="E76" s="36"/>
      <c r="F76" s="37"/>
      <c r="G76" s="37"/>
      <c r="H76" s="67"/>
      <c r="I76" s="69"/>
      <c r="J76" s="70"/>
      <c r="K76" s="70"/>
      <c r="L76" s="68">
        <f t="shared" si="15"/>
        <v>0</v>
      </c>
      <c r="M76" s="39">
        <f t="shared" si="16"/>
        <v>0</v>
      </c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40"/>
      <c r="BD76" s="40"/>
      <c r="BE76" s="40"/>
      <c r="BF76" s="40"/>
      <c r="BG76" s="40"/>
      <c r="BH76" s="40"/>
      <c r="BI76" s="40"/>
      <c r="BJ76" s="40"/>
      <c r="BK76" s="40"/>
      <c r="BL76" s="40"/>
      <c r="BM76" s="40"/>
      <c r="BN76" s="40"/>
      <c r="BO76" s="40"/>
      <c r="BP76" s="40"/>
      <c r="BQ76" s="40"/>
      <c r="BR76" s="40"/>
      <c r="BS76" s="40"/>
      <c r="BT76" s="40"/>
      <c r="BU76" s="40"/>
      <c r="BV76" s="40"/>
      <c r="BW76" s="40"/>
      <c r="BX76" s="40"/>
      <c r="BY76" s="40"/>
      <c r="BZ76" s="40"/>
      <c r="CA76" s="40"/>
      <c r="CB76" s="40"/>
      <c r="CC76" s="40"/>
      <c r="CD76" s="40"/>
      <c r="CE76" s="40"/>
      <c r="CF76" s="40"/>
      <c r="CG76" s="40"/>
      <c r="CH76" s="40"/>
      <c r="CI76" s="40"/>
      <c r="CJ76" s="40"/>
      <c r="CK76" s="40"/>
      <c r="CL76" s="40"/>
      <c r="CM76" s="40"/>
      <c r="CN76" s="40"/>
      <c r="CO76" s="40"/>
      <c r="CP76" s="40"/>
      <c r="CQ76" s="40"/>
      <c r="CR76" s="40"/>
      <c r="CS76" s="40"/>
      <c r="CT76" s="40"/>
      <c r="CU76" s="40"/>
      <c r="CV76" s="40"/>
      <c r="CW76" s="40"/>
      <c r="CX76" s="40"/>
      <c r="CY76" s="40"/>
      <c r="CZ76" s="40"/>
      <c r="DA76" s="40"/>
      <c r="DB76" s="40"/>
      <c r="DC76" s="40"/>
      <c r="DD76" s="40"/>
      <c r="DE76" s="40"/>
      <c r="DF76" s="40"/>
      <c r="DG76" s="40"/>
      <c r="DH76" s="40"/>
      <c r="DI76" s="40"/>
      <c r="DJ76" s="40"/>
      <c r="DK76" s="40"/>
      <c r="DL76" s="40"/>
      <c r="DM76" s="46"/>
      <c r="DN76" s="47"/>
    </row>
    <row r="77" spans="5:118" x14ac:dyDescent="0.35">
      <c r="E77" s="36"/>
      <c r="F77" s="37"/>
      <c r="G77" s="37"/>
      <c r="H77" s="67"/>
      <c r="I77" s="69"/>
      <c r="J77" s="70"/>
      <c r="K77" s="70"/>
      <c r="L77" s="68">
        <f t="shared" si="15"/>
        <v>0</v>
      </c>
      <c r="M77" s="39">
        <f t="shared" si="16"/>
        <v>0</v>
      </c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  <c r="BI77" s="40"/>
      <c r="BJ77" s="40"/>
      <c r="BK77" s="40"/>
      <c r="BL77" s="40"/>
      <c r="BM77" s="40"/>
      <c r="BN77" s="40"/>
      <c r="BO77" s="40"/>
      <c r="BP77" s="40"/>
      <c r="BQ77" s="40"/>
      <c r="BR77" s="40"/>
      <c r="BS77" s="40"/>
      <c r="BT77" s="40"/>
      <c r="BU77" s="40"/>
      <c r="BV77" s="40"/>
      <c r="BW77" s="40"/>
      <c r="BX77" s="40"/>
      <c r="BY77" s="40"/>
      <c r="BZ77" s="40"/>
      <c r="CA77" s="40"/>
      <c r="CB77" s="40"/>
      <c r="CC77" s="40"/>
      <c r="CD77" s="40"/>
      <c r="CE77" s="40"/>
      <c r="CF77" s="40"/>
      <c r="CG77" s="40"/>
      <c r="CH77" s="40"/>
      <c r="CI77" s="40"/>
      <c r="CJ77" s="40"/>
      <c r="CK77" s="40"/>
      <c r="CL77" s="40"/>
      <c r="CM77" s="40"/>
      <c r="CN77" s="40"/>
      <c r="CO77" s="40"/>
      <c r="CP77" s="40"/>
      <c r="CQ77" s="40"/>
      <c r="CR77" s="40"/>
      <c r="CS77" s="40"/>
      <c r="CT77" s="40"/>
      <c r="CU77" s="40"/>
      <c r="CV77" s="40"/>
      <c r="CW77" s="40"/>
      <c r="CX77" s="40"/>
      <c r="CY77" s="40"/>
      <c r="CZ77" s="40"/>
      <c r="DA77" s="40"/>
      <c r="DB77" s="40"/>
      <c r="DC77" s="40"/>
      <c r="DD77" s="40"/>
      <c r="DE77" s="40"/>
      <c r="DF77" s="40"/>
      <c r="DG77" s="40"/>
      <c r="DH77" s="40"/>
      <c r="DI77" s="40"/>
      <c r="DJ77" s="40"/>
      <c r="DK77" s="40"/>
      <c r="DL77" s="40"/>
      <c r="DM77" s="46"/>
      <c r="DN77" s="47"/>
    </row>
    <row r="78" spans="5:118" x14ac:dyDescent="0.35">
      <c r="E78" s="36"/>
      <c r="F78" s="37"/>
      <c r="G78" s="37"/>
      <c r="H78" s="67"/>
      <c r="I78" s="69"/>
      <c r="J78" s="70"/>
      <c r="K78" s="70"/>
      <c r="L78" s="68">
        <f t="shared" si="15"/>
        <v>0</v>
      </c>
      <c r="M78" s="39">
        <f t="shared" si="16"/>
        <v>0</v>
      </c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40"/>
      <c r="BB78" s="40"/>
      <c r="BC78" s="40"/>
      <c r="BD78" s="40"/>
      <c r="BE78" s="40"/>
      <c r="BF78" s="40"/>
      <c r="BG78" s="40"/>
      <c r="BH78" s="40"/>
      <c r="BI78" s="40"/>
      <c r="BJ78" s="40"/>
      <c r="BK78" s="40"/>
      <c r="BL78" s="40"/>
      <c r="BM78" s="40"/>
      <c r="BN78" s="40"/>
      <c r="BO78" s="40"/>
      <c r="BP78" s="40"/>
      <c r="BQ78" s="40"/>
      <c r="BR78" s="40"/>
      <c r="BS78" s="40"/>
      <c r="BT78" s="40"/>
      <c r="BU78" s="40"/>
      <c r="BV78" s="40"/>
      <c r="BW78" s="40"/>
      <c r="BX78" s="40"/>
      <c r="BY78" s="40"/>
      <c r="BZ78" s="40"/>
      <c r="CA78" s="40"/>
      <c r="CB78" s="40"/>
      <c r="CC78" s="40"/>
      <c r="CD78" s="40"/>
      <c r="CE78" s="40"/>
      <c r="CF78" s="40"/>
      <c r="CG78" s="40"/>
      <c r="CH78" s="40"/>
      <c r="CI78" s="40"/>
      <c r="CJ78" s="40"/>
      <c r="CK78" s="40"/>
      <c r="CL78" s="40"/>
      <c r="CM78" s="40"/>
      <c r="CN78" s="40"/>
      <c r="CO78" s="40"/>
      <c r="CP78" s="40"/>
      <c r="CQ78" s="40"/>
      <c r="CR78" s="40"/>
      <c r="CS78" s="40"/>
      <c r="CT78" s="40"/>
      <c r="CU78" s="40"/>
      <c r="CV78" s="40"/>
      <c r="CW78" s="40"/>
      <c r="CX78" s="40"/>
      <c r="CY78" s="40"/>
      <c r="CZ78" s="40"/>
      <c r="DA78" s="40"/>
      <c r="DB78" s="40"/>
      <c r="DC78" s="40"/>
      <c r="DD78" s="40"/>
      <c r="DE78" s="40"/>
      <c r="DF78" s="40"/>
      <c r="DG78" s="40"/>
      <c r="DH78" s="40"/>
      <c r="DI78" s="40"/>
      <c r="DJ78" s="40"/>
      <c r="DK78" s="40"/>
      <c r="DL78" s="40"/>
      <c r="DM78" s="46"/>
      <c r="DN78" s="47"/>
    </row>
    <row r="79" spans="5:118" x14ac:dyDescent="0.35">
      <c r="E79" s="36"/>
      <c r="F79" s="37"/>
      <c r="G79" s="37"/>
      <c r="H79" s="67"/>
      <c r="I79" s="69"/>
      <c r="J79" s="70"/>
      <c r="K79" s="70"/>
      <c r="L79" s="68">
        <f t="shared" si="15"/>
        <v>0</v>
      </c>
      <c r="M79" s="39">
        <f t="shared" si="16"/>
        <v>0</v>
      </c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U79" s="40"/>
      <c r="AV79" s="40"/>
      <c r="AW79" s="40"/>
      <c r="AX79" s="40"/>
      <c r="AY79" s="40"/>
      <c r="AZ79" s="40"/>
      <c r="BA79" s="40"/>
      <c r="BB79" s="40"/>
      <c r="BC79" s="40"/>
      <c r="BD79" s="40"/>
      <c r="BE79" s="40"/>
      <c r="BF79" s="40"/>
      <c r="BG79" s="40"/>
      <c r="BH79" s="40"/>
      <c r="BI79" s="40"/>
      <c r="BJ79" s="40"/>
      <c r="BK79" s="40"/>
      <c r="BL79" s="40"/>
      <c r="BM79" s="40"/>
      <c r="BN79" s="40"/>
      <c r="BO79" s="40"/>
      <c r="BP79" s="40"/>
      <c r="BQ79" s="40"/>
      <c r="BR79" s="40"/>
      <c r="BS79" s="40"/>
      <c r="BT79" s="40"/>
      <c r="BU79" s="40"/>
      <c r="BV79" s="40"/>
      <c r="BW79" s="40"/>
      <c r="BX79" s="40"/>
      <c r="BY79" s="40"/>
      <c r="BZ79" s="40"/>
      <c r="CA79" s="40"/>
      <c r="CB79" s="40"/>
      <c r="CC79" s="40"/>
      <c r="CD79" s="40"/>
      <c r="CE79" s="40"/>
      <c r="CF79" s="40"/>
      <c r="CG79" s="40"/>
      <c r="CH79" s="40"/>
      <c r="CI79" s="40"/>
      <c r="CJ79" s="40"/>
      <c r="CK79" s="40"/>
      <c r="CL79" s="40"/>
      <c r="CM79" s="40"/>
      <c r="CN79" s="40"/>
      <c r="CO79" s="40"/>
      <c r="CP79" s="40"/>
      <c r="CQ79" s="40"/>
      <c r="CR79" s="40"/>
      <c r="CS79" s="40"/>
      <c r="CT79" s="40"/>
      <c r="CU79" s="40"/>
      <c r="CV79" s="40"/>
      <c r="CW79" s="40"/>
      <c r="CX79" s="40"/>
      <c r="CY79" s="40"/>
      <c r="CZ79" s="40"/>
      <c r="DA79" s="40"/>
      <c r="DB79" s="40"/>
      <c r="DC79" s="40"/>
      <c r="DD79" s="40"/>
      <c r="DE79" s="40"/>
      <c r="DF79" s="40"/>
      <c r="DG79" s="40"/>
      <c r="DH79" s="40"/>
      <c r="DI79" s="40"/>
      <c r="DJ79" s="40"/>
      <c r="DK79" s="40"/>
      <c r="DL79" s="40"/>
      <c r="DM79" s="46"/>
      <c r="DN79" s="47"/>
    </row>
    <row r="80" spans="5:118" x14ac:dyDescent="0.35">
      <c r="E80" s="36"/>
      <c r="F80" s="37"/>
      <c r="G80" s="37"/>
      <c r="H80" s="67"/>
      <c r="I80" s="69"/>
      <c r="J80" s="70"/>
      <c r="K80" s="70"/>
      <c r="L80" s="68">
        <f t="shared" si="15"/>
        <v>0</v>
      </c>
      <c r="M80" s="39">
        <f t="shared" si="16"/>
        <v>0</v>
      </c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40"/>
      <c r="BA80" s="40"/>
      <c r="BB80" s="40"/>
      <c r="BC80" s="40"/>
      <c r="BD80" s="40"/>
      <c r="BE80" s="40"/>
      <c r="BF80" s="40"/>
      <c r="BG80" s="40"/>
      <c r="BH80" s="40"/>
      <c r="BI80" s="40"/>
      <c r="BJ80" s="40"/>
      <c r="BK80" s="40"/>
      <c r="BL80" s="40"/>
      <c r="BM80" s="40"/>
      <c r="BN80" s="40"/>
      <c r="BO80" s="40"/>
      <c r="BP80" s="40"/>
      <c r="BQ80" s="40"/>
      <c r="BR80" s="40"/>
      <c r="BS80" s="40"/>
      <c r="BT80" s="40"/>
      <c r="BU80" s="40"/>
      <c r="BV80" s="40"/>
      <c r="BW80" s="40"/>
      <c r="BX80" s="40"/>
      <c r="BY80" s="40"/>
      <c r="BZ80" s="40"/>
      <c r="CA80" s="40"/>
      <c r="CB80" s="40"/>
      <c r="CC80" s="40"/>
      <c r="CD80" s="40"/>
      <c r="CE80" s="40"/>
      <c r="CF80" s="40"/>
      <c r="CG80" s="40"/>
      <c r="CH80" s="40"/>
      <c r="CI80" s="40"/>
      <c r="CJ80" s="40"/>
      <c r="CK80" s="40"/>
      <c r="CL80" s="40"/>
      <c r="CM80" s="40"/>
      <c r="CN80" s="40"/>
      <c r="CO80" s="40"/>
      <c r="CP80" s="40"/>
      <c r="CQ80" s="40"/>
      <c r="CR80" s="40"/>
      <c r="CS80" s="40"/>
      <c r="CT80" s="40"/>
      <c r="CU80" s="40"/>
      <c r="CV80" s="40"/>
      <c r="CW80" s="40"/>
      <c r="CX80" s="40"/>
      <c r="CY80" s="40"/>
      <c r="CZ80" s="40"/>
      <c r="DA80" s="40"/>
      <c r="DB80" s="40"/>
      <c r="DC80" s="40"/>
      <c r="DD80" s="40"/>
      <c r="DE80" s="40"/>
      <c r="DF80" s="40"/>
      <c r="DG80" s="40"/>
      <c r="DH80" s="40"/>
      <c r="DI80" s="40"/>
      <c r="DJ80" s="40"/>
      <c r="DK80" s="40"/>
      <c r="DL80" s="40"/>
      <c r="DM80" s="46"/>
      <c r="DN80" s="47"/>
    </row>
    <row r="81" spans="5:118" x14ac:dyDescent="0.35">
      <c r="E81" s="36"/>
      <c r="F81" s="37"/>
      <c r="G81" s="37"/>
      <c r="H81" s="67"/>
      <c r="I81" s="69"/>
      <c r="J81" s="70"/>
      <c r="K81" s="70"/>
      <c r="L81" s="68">
        <f t="shared" si="15"/>
        <v>0</v>
      </c>
      <c r="M81" s="39">
        <f t="shared" si="16"/>
        <v>0</v>
      </c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  <c r="BA81" s="40"/>
      <c r="BB81" s="40"/>
      <c r="BC81" s="40"/>
      <c r="BD81" s="40"/>
      <c r="BE81" s="40"/>
      <c r="BF81" s="40"/>
      <c r="BG81" s="40"/>
      <c r="BH81" s="40"/>
      <c r="BI81" s="40"/>
      <c r="BJ81" s="40"/>
      <c r="BK81" s="40"/>
      <c r="BL81" s="40"/>
      <c r="BM81" s="40"/>
      <c r="BN81" s="40"/>
      <c r="BO81" s="40"/>
      <c r="BP81" s="40"/>
      <c r="BQ81" s="40"/>
      <c r="BR81" s="40"/>
      <c r="BS81" s="40"/>
      <c r="BT81" s="40"/>
      <c r="BU81" s="40"/>
      <c r="BV81" s="40"/>
      <c r="BW81" s="40"/>
      <c r="BX81" s="40"/>
      <c r="BY81" s="40"/>
      <c r="BZ81" s="40"/>
      <c r="CA81" s="40"/>
      <c r="CB81" s="40"/>
      <c r="CC81" s="40"/>
      <c r="CD81" s="40"/>
      <c r="CE81" s="40"/>
      <c r="CF81" s="40"/>
      <c r="CG81" s="40"/>
      <c r="CH81" s="40"/>
      <c r="CI81" s="40"/>
      <c r="CJ81" s="40"/>
      <c r="CK81" s="40"/>
      <c r="CL81" s="40"/>
      <c r="CM81" s="40"/>
      <c r="CN81" s="40"/>
      <c r="CO81" s="40"/>
      <c r="CP81" s="40"/>
      <c r="CQ81" s="40"/>
      <c r="CR81" s="40"/>
      <c r="CS81" s="40"/>
      <c r="CT81" s="40"/>
      <c r="CU81" s="40"/>
      <c r="CV81" s="40"/>
      <c r="CW81" s="40"/>
      <c r="CX81" s="40"/>
      <c r="CY81" s="40"/>
      <c r="CZ81" s="40"/>
      <c r="DA81" s="40"/>
      <c r="DB81" s="40"/>
      <c r="DC81" s="40"/>
      <c r="DD81" s="40"/>
      <c r="DE81" s="40"/>
      <c r="DF81" s="40"/>
      <c r="DG81" s="40"/>
      <c r="DH81" s="40"/>
      <c r="DI81" s="40"/>
      <c r="DJ81" s="40"/>
      <c r="DK81" s="40"/>
      <c r="DL81" s="40"/>
      <c r="DM81" s="46"/>
      <c r="DN81" s="47"/>
    </row>
    <row r="82" spans="5:118" x14ac:dyDescent="0.35">
      <c r="E82" s="36"/>
      <c r="F82" s="37"/>
      <c r="G82" s="37"/>
      <c r="H82" s="67"/>
      <c r="I82" s="69"/>
      <c r="J82" s="70"/>
      <c r="K82" s="70"/>
      <c r="L82" s="68">
        <f t="shared" si="15"/>
        <v>0</v>
      </c>
      <c r="M82" s="39">
        <f t="shared" si="16"/>
        <v>0</v>
      </c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  <c r="BJ82" s="40"/>
      <c r="BK82" s="40"/>
      <c r="BL82" s="40"/>
      <c r="BM82" s="40"/>
      <c r="BN82" s="40"/>
      <c r="BO82" s="40"/>
      <c r="BP82" s="40"/>
      <c r="BQ82" s="40"/>
      <c r="BR82" s="40"/>
      <c r="BS82" s="40"/>
      <c r="BT82" s="40"/>
      <c r="BU82" s="40"/>
      <c r="BV82" s="40"/>
      <c r="BW82" s="40"/>
      <c r="BX82" s="40"/>
      <c r="BY82" s="40"/>
      <c r="BZ82" s="40"/>
      <c r="CA82" s="40"/>
      <c r="CB82" s="40"/>
      <c r="CC82" s="40"/>
      <c r="CD82" s="40"/>
      <c r="CE82" s="40"/>
      <c r="CF82" s="40"/>
      <c r="CG82" s="40"/>
      <c r="CH82" s="40"/>
      <c r="CI82" s="40"/>
      <c r="CJ82" s="40"/>
      <c r="CK82" s="40"/>
      <c r="CL82" s="40"/>
      <c r="CM82" s="40"/>
      <c r="CN82" s="40"/>
      <c r="CO82" s="40"/>
      <c r="CP82" s="40"/>
      <c r="CQ82" s="40"/>
      <c r="CR82" s="40"/>
      <c r="CS82" s="40"/>
      <c r="CT82" s="40"/>
      <c r="CU82" s="40"/>
      <c r="CV82" s="40"/>
      <c r="CW82" s="40"/>
      <c r="CX82" s="40"/>
      <c r="CY82" s="40"/>
      <c r="CZ82" s="40"/>
      <c r="DA82" s="40"/>
      <c r="DB82" s="40"/>
      <c r="DC82" s="40"/>
      <c r="DD82" s="40"/>
      <c r="DE82" s="40"/>
      <c r="DF82" s="40"/>
      <c r="DG82" s="40"/>
      <c r="DH82" s="40"/>
      <c r="DI82" s="40"/>
      <c r="DJ82" s="40"/>
      <c r="DK82" s="40"/>
      <c r="DL82" s="40"/>
      <c r="DM82" s="46"/>
      <c r="DN82" s="47"/>
    </row>
    <row r="83" spans="5:118" x14ac:dyDescent="0.35">
      <c r="E83" s="36"/>
      <c r="F83" s="37"/>
      <c r="G83" s="37"/>
      <c r="H83" s="67"/>
      <c r="I83" s="69"/>
      <c r="J83" s="70"/>
      <c r="K83" s="70"/>
      <c r="L83" s="68">
        <f t="shared" si="15"/>
        <v>0</v>
      </c>
      <c r="M83" s="39">
        <f t="shared" si="16"/>
        <v>0</v>
      </c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40"/>
      <c r="BH83" s="40"/>
      <c r="BI83" s="40"/>
      <c r="BJ83" s="40"/>
      <c r="BK83" s="40"/>
      <c r="BL83" s="40"/>
      <c r="BM83" s="40"/>
      <c r="BN83" s="40"/>
      <c r="BO83" s="40"/>
      <c r="BP83" s="40"/>
      <c r="BQ83" s="40"/>
      <c r="BR83" s="40"/>
      <c r="BS83" s="40"/>
      <c r="BT83" s="40"/>
      <c r="BU83" s="40"/>
      <c r="BV83" s="40"/>
      <c r="BW83" s="40"/>
      <c r="BX83" s="40"/>
      <c r="BY83" s="40"/>
      <c r="BZ83" s="40"/>
      <c r="CA83" s="40"/>
      <c r="CB83" s="40"/>
      <c r="CC83" s="40"/>
      <c r="CD83" s="40"/>
      <c r="CE83" s="40"/>
      <c r="CF83" s="40"/>
      <c r="CG83" s="40"/>
      <c r="CH83" s="40"/>
      <c r="CI83" s="40"/>
      <c r="CJ83" s="40"/>
      <c r="CK83" s="40"/>
      <c r="CL83" s="40"/>
      <c r="CM83" s="40"/>
      <c r="CN83" s="40"/>
      <c r="CO83" s="40"/>
      <c r="CP83" s="40"/>
      <c r="CQ83" s="40"/>
      <c r="CR83" s="40"/>
      <c r="CS83" s="40"/>
      <c r="CT83" s="40"/>
      <c r="CU83" s="40"/>
      <c r="CV83" s="40"/>
      <c r="CW83" s="40"/>
      <c r="CX83" s="40"/>
      <c r="CY83" s="40"/>
      <c r="CZ83" s="40"/>
      <c r="DA83" s="40"/>
      <c r="DB83" s="40"/>
      <c r="DC83" s="40"/>
      <c r="DD83" s="40"/>
      <c r="DE83" s="40"/>
      <c r="DF83" s="40"/>
      <c r="DG83" s="40"/>
      <c r="DH83" s="40"/>
      <c r="DI83" s="40"/>
      <c r="DJ83" s="40"/>
      <c r="DK83" s="40"/>
      <c r="DL83" s="40"/>
      <c r="DM83" s="46"/>
      <c r="DN83" s="47"/>
    </row>
    <row r="84" spans="5:118" ht="15" thickBot="1" x14ac:dyDescent="0.4">
      <c r="E84" s="3"/>
      <c r="F84" s="41"/>
      <c r="G84" s="41"/>
      <c r="H84" s="41"/>
      <c r="I84" s="69"/>
      <c r="J84" s="8"/>
      <c r="K84" s="8" t="s">
        <v>150</v>
      </c>
      <c r="L84" s="97">
        <f>SUM(L74:L83)</f>
        <v>0</v>
      </c>
      <c r="M84" s="96"/>
      <c r="N84" s="4">
        <f t="shared" ref="N84:AS84" si="17">SUM(M34:M83)</f>
        <v>240</v>
      </c>
      <c r="O84" s="4">
        <f t="shared" si="17"/>
        <v>46028.229166666664</v>
      </c>
      <c r="P84" s="4">
        <f t="shared" si="17"/>
        <v>46067.229166666664</v>
      </c>
      <c r="Q84" s="4">
        <f t="shared" si="17"/>
        <v>46082.229166666664</v>
      </c>
      <c r="R84" s="4">
        <f t="shared" si="17"/>
        <v>46121.229166666664</v>
      </c>
      <c r="S84" s="4">
        <f t="shared" si="17"/>
        <v>46112.229166666664</v>
      </c>
      <c r="T84" s="4">
        <f t="shared" si="17"/>
        <v>46055.229166666664</v>
      </c>
      <c r="U84" s="4">
        <f t="shared" si="17"/>
        <v>46062.229166666664</v>
      </c>
      <c r="V84" s="4">
        <f t="shared" si="17"/>
        <v>46069.229166666664</v>
      </c>
      <c r="W84" s="4">
        <f t="shared" si="17"/>
        <v>46076.229166666664</v>
      </c>
      <c r="X84" s="4">
        <f t="shared" si="17"/>
        <v>46083.229166666664</v>
      </c>
      <c r="Y84" s="4">
        <f t="shared" si="17"/>
        <v>46090.229166666664</v>
      </c>
      <c r="Z84" s="4">
        <f t="shared" si="17"/>
        <v>46097.229166666664</v>
      </c>
      <c r="AA84" s="4">
        <f t="shared" si="17"/>
        <v>46104.229166666664</v>
      </c>
      <c r="AB84" s="4">
        <f t="shared" si="17"/>
        <v>46111.229166666664</v>
      </c>
      <c r="AC84" s="4">
        <f t="shared" si="17"/>
        <v>46118.229166666664</v>
      </c>
      <c r="AD84" s="4">
        <f t="shared" si="17"/>
        <v>46125.229166666664</v>
      </c>
      <c r="AE84" s="4">
        <f t="shared" si="17"/>
        <v>46132.229166666664</v>
      </c>
      <c r="AF84" s="4">
        <f t="shared" si="17"/>
        <v>46139.229166666664</v>
      </c>
      <c r="AG84" s="4">
        <f t="shared" si="17"/>
        <v>46146.229166666664</v>
      </c>
      <c r="AH84" s="4">
        <f t="shared" si="17"/>
        <v>46153.229166666664</v>
      </c>
      <c r="AI84" s="4">
        <f t="shared" si="17"/>
        <v>46160.229166666664</v>
      </c>
      <c r="AJ84" s="4">
        <f t="shared" si="17"/>
        <v>46167.229166666664</v>
      </c>
      <c r="AK84" s="4">
        <f t="shared" si="17"/>
        <v>46174.229166666664</v>
      </c>
      <c r="AL84" s="4">
        <f t="shared" si="17"/>
        <v>46181.229166666664</v>
      </c>
      <c r="AM84" s="4">
        <f t="shared" si="17"/>
        <v>46188.229166666664</v>
      </c>
      <c r="AN84" s="4">
        <f t="shared" si="17"/>
        <v>46195.229166666664</v>
      </c>
      <c r="AO84" s="4">
        <f t="shared" si="17"/>
        <v>46202.229166666664</v>
      </c>
      <c r="AP84" s="4">
        <f t="shared" si="17"/>
        <v>46209.229166666664</v>
      </c>
      <c r="AQ84" s="4">
        <f t="shared" si="17"/>
        <v>46216.229166666664</v>
      </c>
      <c r="AR84" s="4">
        <f t="shared" si="17"/>
        <v>46223.229166666664</v>
      </c>
      <c r="AS84" s="4">
        <f t="shared" si="17"/>
        <v>46230.229166666664</v>
      </c>
      <c r="AT84" s="4">
        <f t="shared" ref="AT84:BY84" si="18">SUM(AS34:AS83)</f>
        <v>46237.229166666664</v>
      </c>
      <c r="AU84" s="4">
        <f t="shared" si="18"/>
        <v>46244.229166666664</v>
      </c>
      <c r="AV84" s="4">
        <f t="shared" si="18"/>
        <v>46251.229166666664</v>
      </c>
      <c r="AW84" s="4">
        <f t="shared" si="18"/>
        <v>46258.229166666664</v>
      </c>
      <c r="AX84" s="4">
        <f t="shared" si="18"/>
        <v>46265.229166666664</v>
      </c>
      <c r="AY84" s="4">
        <f t="shared" si="18"/>
        <v>46272.229166666664</v>
      </c>
      <c r="AZ84" s="4">
        <f t="shared" si="18"/>
        <v>46279.229166666664</v>
      </c>
      <c r="BA84" s="4">
        <f t="shared" si="18"/>
        <v>46286.229166666664</v>
      </c>
      <c r="BB84" s="4">
        <f t="shared" si="18"/>
        <v>46293.229166666664</v>
      </c>
      <c r="BC84" s="4">
        <f t="shared" si="18"/>
        <v>46300.229166666664</v>
      </c>
      <c r="BD84" s="4">
        <f t="shared" si="18"/>
        <v>46307.229166666664</v>
      </c>
      <c r="BE84" s="4">
        <f t="shared" si="18"/>
        <v>46314.229166666664</v>
      </c>
      <c r="BF84" s="4">
        <f t="shared" si="18"/>
        <v>46321.229166666664</v>
      </c>
      <c r="BG84" s="4">
        <f t="shared" si="18"/>
        <v>46328.229166666664</v>
      </c>
      <c r="BH84" s="4">
        <f t="shared" si="18"/>
        <v>46335.229166666664</v>
      </c>
      <c r="BI84" s="4">
        <f t="shared" si="18"/>
        <v>46342.229166666664</v>
      </c>
      <c r="BJ84" s="4">
        <f t="shared" si="18"/>
        <v>46349.229166666664</v>
      </c>
      <c r="BK84" s="4">
        <f t="shared" si="18"/>
        <v>46356.229166666664</v>
      </c>
      <c r="BL84" s="4">
        <f t="shared" si="18"/>
        <v>46363.229166666664</v>
      </c>
      <c r="BM84" s="4">
        <f t="shared" si="18"/>
        <v>46370.229166666664</v>
      </c>
      <c r="BN84" s="4">
        <f t="shared" si="18"/>
        <v>46377.229166666664</v>
      </c>
      <c r="BO84" s="4">
        <f t="shared" si="18"/>
        <v>46384.229166666664</v>
      </c>
      <c r="BP84" s="4">
        <f t="shared" si="18"/>
        <v>46391.229166666664</v>
      </c>
      <c r="BQ84" s="4">
        <f t="shared" si="18"/>
        <v>46398.229166666664</v>
      </c>
      <c r="BR84" s="4">
        <f t="shared" si="18"/>
        <v>46405.229166666664</v>
      </c>
      <c r="BS84" s="4">
        <f t="shared" si="18"/>
        <v>46412.229166666664</v>
      </c>
      <c r="BT84" s="4">
        <f t="shared" si="18"/>
        <v>46419.229166666664</v>
      </c>
      <c r="BU84" s="4">
        <f t="shared" si="18"/>
        <v>46426.229166666664</v>
      </c>
      <c r="BV84" s="4">
        <f t="shared" si="18"/>
        <v>46433.229166666664</v>
      </c>
      <c r="BW84" s="4">
        <f t="shared" si="18"/>
        <v>46440.229166666664</v>
      </c>
      <c r="BX84" s="4">
        <f t="shared" si="18"/>
        <v>46447.229166666664</v>
      </c>
      <c r="BY84" s="4">
        <f t="shared" si="18"/>
        <v>46454.229166666664</v>
      </c>
      <c r="BZ84" s="4">
        <f t="shared" ref="BZ84:DE84" si="19">SUM(BY34:BY83)</f>
        <v>46461.229166666664</v>
      </c>
      <c r="CA84" s="4">
        <f t="shared" si="19"/>
        <v>46468.229166666664</v>
      </c>
      <c r="CB84" s="4">
        <f t="shared" si="19"/>
        <v>46475.229166666664</v>
      </c>
      <c r="CC84" s="4">
        <f t="shared" si="19"/>
        <v>46482.229166666664</v>
      </c>
      <c r="CD84" s="4">
        <f t="shared" si="19"/>
        <v>46489.229166666664</v>
      </c>
      <c r="CE84" s="4">
        <f t="shared" si="19"/>
        <v>46496.229166666664</v>
      </c>
      <c r="CF84" s="4">
        <f t="shared" si="19"/>
        <v>46503.229166666664</v>
      </c>
      <c r="CG84" s="4">
        <f t="shared" si="19"/>
        <v>46510.229166666664</v>
      </c>
      <c r="CH84" s="4">
        <f t="shared" si="19"/>
        <v>46517.229166666664</v>
      </c>
      <c r="CI84" s="4">
        <f t="shared" si="19"/>
        <v>46524.229166666664</v>
      </c>
      <c r="CJ84" s="4">
        <f t="shared" si="19"/>
        <v>46531.229166666664</v>
      </c>
      <c r="CK84" s="4">
        <f t="shared" si="19"/>
        <v>46538.229166666664</v>
      </c>
      <c r="CL84" s="4">
        <f t="shared" si="19"/>
        <v>46545.229166666664</v>
      </c>
      <c r="CM84" s="4">
        <f t="shared" si="19"/>
        <v>46552.229166666664</v>
      </c>
      <c r="CN84" s="4">
        <f t="shared" si="19"/>
        <v>46559.229166666664</v>
      </c>
      <c r="CO84" s="4">
        <f t="shared" si="19"/>
        <v>46566.229166666664</v>
      </c>
      <c r="CP84" s="4">
        <f t="shared" si="19"/>
        <v>46573.229166666664</v>
      </c>
      <c r="CQ84" s="4">
        <f t="shared" si="19"/>
        <v>46580.229166666664</v>
      </c>
      <c r="CR84" s="4">
        <f t="shared" si="19"/>
        <v>46587.229166666664</v>
      </c>
      <c r="CS84" s="4">
        <f t="shared" si="19"/>
        <v>46594.229166666664</v>
      </c>
      <c r="CT84" s="4">
        <f t="shared" si="19"/>
        <v>46601.229166666664</v>
      </c>
      <c r="CU84" s="4">
        <f t="shared" si="19"/>
        <v>46608.229166666664</v>
      </c>
      <c r="CV84" s="4">
        <f t="shared" si="19"/>
        <v>46615.229166666664</v>
      </c>
      <c r="CW84" s="4">
        <f t="shared" si="19"/>
        <v>46622.229166666664</v>
      </c>
      <c r="CX84" s="4">
        <f t="shared" si="19"/>
        <v>46629.229166666664</v>
      </c>
      <c r="CY84" s="4">
        <f t="shared" si="19"/>
        <v>46636.229166666664</v>
      </c>
      <c r="CZ84" s="4">
        <f t="shared" si="19"/>
        <v>46643.229166666664</v>
      </c>
      <c r="DA84" s="4">
        <f t="shared" si="19"/>
        <v>46650.229166666664</v>
      </c>
      <c r="DB84" s="4">
        <f t="shared" si="19"/>
        <v>46657.229166666664</v>
      </c>
      <c r="DC84" s="4">
        <f t="shared" si="19"/>
        <v>46664.229166666664</v>
      </c>
      <c r="DD84" s="4">
        <f t="shared" si="19"/>
        <v>46671.229166666664</v>
      </c>
      <c r="DE84" s="4">
        <f t="shared" si="19"/>
        <v>46678.229166666664</v>
      </c>
      <c r="DF84" s="4">
        <f t="shared" ref="DF84:DM84" si="20">SUM(DE34:DE83)</f>
        <v>46685.229166666664</v>
      </c>
      <c r="DG84" s="4">
        <f t="shared" si="20"/>
        <v>46692.229166666664</v>
      </c>
      <c r="DH84" s="4">
        <f t="shared" si="20"/>
        <v>46699.229166666664</v>
      </c>
      <c r="DI84" s="4">
        <f t="shared" si="20"/>
        <v>46706.229166666664</v>
      </c>
      <c r="DJ84" s="4">
        <f t="shared" si="20"/>
        <v>46713.229166666664</v>
      </c>
      <c r="DK84" s="4">
        <f t="shared" si="20"/>
        <v>46720.229166666664</v>
      </c>
      <c r="DL84" s="4">
        <f t="shared" si="20"/>
        <v>46727.229166666664</v>
      </c>
      <c r="DM84" s="90">
        <f t="shared" si="20"/>
        <v>46734.229166666664</v>
      </c>
      <c r="DN84" s="47"/>
    </row>
    <row r="87" spans="5:118" ht="15" thickBot="1" x14ac:dyDescent="0.4"/>
    <row r="88" spans="5:118" ht="15" thickBot="1" x14ac:dyDescent="0.4">
      <c r="E88" s="43" t="s">
        <v>152</v>
      </c>
      <c r="J88" s="48"/>
    </row>
    <row r="89" spans="5:118" x14ac:dyDescent="0.35">
      <c r="E89" s="28" t="s">
        <v>29</v>
      </c>
      <c r="F89" s="32" t="s">
        <v>261</v>
      </c>
      <c r="G89" s="32" t="s">
        <v>262</v>
      </c>
      <c r="H89" s="32" t="s">
        <v>259</v>
      </c>
      <c r="I89" s="66" t="s">
        <v>260</v>
      </c>
      <c r="J89" s="69"/>
      <c r="K89" s="61" t="s">
        <v>308</v>
      </c>
      <c r="L89" s="33" t="s">
        <v>142</v>
      </c>
      <c r="M89" s="33" t="s">
        <v>257</v>
      </c>
      <c r="N89" s="33" t="s">
        <v>153</v>
      </c>
      <c r="O89" s="33" t="s">
        <v>154</v>
      </c>
      <c r="P89" s="33" t="s">
        <v>155</v>
      </c>
      <c r="Q89" s="33" t="s">
        <v>156</v>
      </c>
      <c r="R89" s="33" t="s">
        <v>157</v>
      </c>
      <c r="S89" s="33" t="s">
        <v>158</v>
      </c>
      <c r="T89" s="33" t="s">
        <v>159</v>
      </c>
      <c r="U89" s="33" t="s">
        <v>160</v>
      </c>
      <c r="V89" s="33" t="s">
        <v>161</v>
      </c>
      <c r="W89" s="33" t="s">
        <v>162</v>
      </c>
      <c r="X89" s="33" t="s">
        <v>163</v>
      </c>
      <c r="Y89" s="33" t="s">
        <v>164</v>
      </c>
      <c r="Z89" s="33" t="s">
        <v>165</v>
      </c>
      <c r="AA89" s="33" t="s">
        <v>166</v>
      </c>
      <c r="AB89" s="33" t="s">
        <v>167</v>
      </c>
      <c r="AC89" s="33" t="s">
        <v>168</v>
      </c>
      <c r="AD89" s="33" t="s">
        <v>169</v>
      </c>
      <c r="AE89" s="33" t="s">
        <v>170</v>
      </c>
      <c r="AF89" s="33" t="s">
        <v>171</v>
      </c>
      <c r="AG89" s="33" t="s">
        <v>172</v>
      </c>
      <c r="AH89" s="33" t="s">
        <v>173</v>
      </c>
      <c r="AI89" s="33" t="s">
        <v>174</v>
      </c>
      <c r="AJ89" s="33" t="s">
        <v>175</v>
      </c>
      <c r="AK89" s="33" t="s">
        <v>176</v>
      </c>
      <c r="AL89" s="33" t="s">
        <v>177</v>
      </c>
      <c r="AM89" s="33" t="s">
        <v>178</v>
      </c>
      <c r="AN89" s="33" t="s">
        <v>179</v>
      </c>
      <c r="AO89" s="33" t="s">
        <v>180</v>
      </c>
      <c r="AP89" s="33" t="s">
        <v>181</v>
      </c>
      <c r="AQ89" s="33" t="s">
        <v>182</v>
      </c>
      <c r="AR89" s="33" t="s">
        <v>183</v>
      </c>
      <c r="AS89" s="33" t="s">
        <v>184</v>
      </c>
      <c r="AT89" s="33" t="s">
        <v>185</v>
      </c>
      <c r="AU89" s="33" t="s">
        <v>186</v>
      </c>
      <c r="AV89" s="33" t="s">
        <v>187</v>
      </c>
      <c r="AW89" s="33" t="s">
        <v>188</v>
      </c>
      <c r="AX89" s="33" t="s">
        <v>189</v>
      </c>
      <c r="AY89" s="33" t="s">
        <v>190</v>
      </c>
      <c r="AZ89" s="33" t="s">
        <v>191</v>
      </c>
      <c r="BA89" s="33" t="s">
        <v>192</v>
      </c>
      <c r="BB89" s="33" t="s">
        <v>193</v>
      </c>
      <c r="BC89" s="33" t="s">
        <v>194</v>
      </c>
      <c r="BD89" s="33" t="s">
        <v>195</v>
      </c>
      <c r="BE89" s="33" t="s">
        <v>196</v>
      </c>
      <c r="BF89" s="33" t="s">
        <v>197</v>
      </c>
      <c r="BG89" s="33" t="s">
        <v>198</v>
      </c>
      <c r="BH89" s="33" t="s">
        <v>199</v>
      </c>
      <c r="BI89" s="33" t="s">
        <v>200</v>
      </c>
      <c r="BJ89" s="33" t="s">
        <v>201</v>
      </c>
      <c r="BK89" s="33" t="s">
        <v>202</v>
      </c>
      <c r="BL89" s="33" t="s">
        <v>203</v>
      </c>
      <c r="BM89" s="33" t="s">
        <v>204</v>
      </c>
      <c r="BN89" s="33" t="s">
        <v>205</v>
      </c>
      <c r="BO89" s="33" t="s">
        <v>206</v>
      </c>
      <c r="BP89" s="33" t="s">
        <v>207</v>
      </c>
      <c r="BQ89" s="33" t="s">
        <v>208</v>
      </c>
      <c r="BR89" s="33" t="s">
        <v>209</v>
      </c>
      <c r="BS89" s="33" t="s">
        <v>210</v>
      </c>
      <c r="BT89" s="33" t="s">
        <v>211</v>
      </c>
      <c r="BU89" s="33" t="s">
        <v>212</v>
      </c>
      <c r="BV89" s="33" t="s">
        <v>213</v>
      </c>
      <c r="BW89" s="33" t="s">
        <v>214</v>
      </c>
      <c r="BX89" s="33" t="s">
        <v>215</v>
      </c>
      <c r="BY89" s="33" t="s">
        <v>216</v>
      </c>
      <c r="BZ89" s="33" t="s">
        <v>217</v>
      </c>
      <c r="CA89" s="33" t="s">
        <v>218</v>
      </c>
      <c r="CB89" s="33" t="s">
        <v>219</v>
      </c>
      <c r="CC89" s="33" t="s">
        <v>220</v>
      </c>
      <c r="CD89" s="33" t="s">
        <v>221</v>
      </c>
      <c r="CE89" s="33" t="s">
        <v>222</v>
      </c>
      <c r="CF89" s="33" t="s">
        <v>223</v>
      </c>
      <c r="CG89" s="33" t="s">
        <v>224</v>
      </c>
      <c r="CH89" s="33" t="s">
        <v>225</v>
      </c>
      <c r="CI89" s="33" t="s">
        <v>226</v>
      </c>
      <c r="CJ89" s="33" t="s">
        <v>227</v>
      </c>
      <c r="CK89" s="33" t="s">
        <v>228</v>
      </c>
      <c r="CL89" s="33" t="s">
        <v>229</v>
      </c>
      <c r="CM89" s="33" t="s">
        <v>230</v>
      </c>
      <c r="CN89" s="33" t="s">
        <v>231</v>
      </c>
      <c r="CO89" s="33" t="s">
        <v>232</v>
      </c>
      <c r="CP89" s="33" t="s">
        <v>233</v>
      </c>
      <c r="CQ89" s="33" t="s">
        <v>234</v>
      </c>
      <c r="CR89" s="33" t="s">
        <v>235</v>
      </c>
      <c r="CS89" s="33" t="s">
        <v>236</v>
      </c>
      <c r="CT89" s="33" t="s">
        <v>237</v>
      </c>
      <c r="CU89" s="33" t="s">
        <v>238</v>
      </c>
      <c r="CV89" s="33" t="s">
        <v>239</v>
      </c>
      <c r="CW89" s="33" t="s">
        <v>240</v>
      </c>
      <c r="CX89" s="33" t="s">
        <v>241</v>
      </c>
      <c r="CY89" s="33" t="s">
        <v>242</v>
      </c>
      <c r="CZ89" s="33" t="s">
        <v>243</v>
      </c>
      <c r="DA89" s="33" t="s">
        <v>244</v>
      </c>
      <c r="DB89" s="33" t="s">
        <v>245</v>
      </c>
      <c r="DC89" s="33" t="s">
        <v>246</v>
      </c>
      <c r="DD89" s="33" t="s">
        <v>247</v>
      </c>
      <c r="DE89" s="33" t="s">
        <v>248</v>
      </c>
      <c r="DF89" s="33" t="s">
        <v>249</v>
      </c>
      <c r="DG89" s="33" t="s">
        <v>250</v>
      </c>
      <c r="DH89" s="33" t="s">
        <v>251</v>
      </c>
      <c r="DI89" s="33" t="s">
        <v>252</v>
      </c>
      <c r="DJ89" s="33" t="s">
        <v>253</v>
      </c>
      <c r="DK89" s="33" t="s">
        <v>254</v>
      </c>
      <c r="DL89" s="33" t="s">
        <v>255</v>
      </c>
      <c r="DM89" s="44" t="s">
        <v>256</v>
      </c>
      <c r="DN89" s="45"/>
    </row>
    <row r="90" spans="5:118" x14ac:dyDescent="0.35">
      <c r="E90" s="111"/>
      <c r="F90" s="112"/>
      <c r="G90" s="112"/>
      <c r="H90" s="116"/>
      <c r="I90" s="115"/>
      <c r="J90" s="70"/>
      <c r="K90" s="126" t="str">
        <f>IFERROR(1-(I90/H90),"-")</f>
        <v>-</v>
      </c>
      <c r="L90" s="38">
        <f>I90*M90</f>
        <v>0</v>
      </c>
      <c r="M90" s="39">
        <f t="shared" ref="M90:M119" si="21">SUM(N90:DM90)</f>
        <v>0</v>
      </c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40"/>
      <c r="BA90" s="40"/>
      <c r="BB90" s="40"/>
      <c r="BC90" s="40"/>
      <c r="BD90" s="40"/>
      <c r="BE90" s="40"/>
      <c r="BF90" s="40"/>
      <c r="BG90" s="40"/>
      <c r="BH90" s="40"/>
      <c r="BI90" s="40"/>
      <c r="BJ90" s="40"/>
      <c r="BK90" s="40"/>
      <c r="BL90" s="40"/>
      <c r="BM90" s="40"/>
      <c r="BN90" s="40"/>
      <c r="BO90" s="40"/>
      <c r="BP90" s="40"/>
      <c r="BQ90" s="40"/>
      <c r="BR90" s="40"/>
      <c r="BS90" s="40"/>
      <c r="BT90" s="40"/>
      <c r="BU90" s="40"/>
      <c r="BV90" s="40"/>
      <c r="BW90" s="40"/>
      <c r="BX90" s="40"/>
      <c r="BY90" s="40"/>
      <c r="BZ90" s="40"/>
      <c r="CA90" s="40"/>
      <c r="CB90" s="40"/>
      <c r="CC90" s="40"/>
      <c r="CD90" s="40"/>
      <c r="CE90" s="40"/>
      <c r="CF90" s="40"/>
      <c r="CG90" s="40"/>
      <c r="CH90" s="40"/>
      <c r="CI90" s="40"/>
      <c r="CJ90" s="40"/>
      <c r="CK90" s="40"/>
      <c r="CL90" s="40"/>
      <c r="CM90" s="40"/>
      <c r="CN90" s="40"/>
      <c r="CO90" s="40"/>
      <c r="CP90" s="40"/>
      <c r="CQ90" s="40"/>
      <c r="CR90" s="40"/>
      <c r="CS90" s="40"/>
      <c r="CT90" s="40"/>
      <c r="CU90" s="40"/>
      <c r="CV90" s="40"/>
      <c r="CW90" s="40"/>
      <c r="CX90" s="40"/>
      <c r="CY90" s="40"/>
      <c r="CZ90" s="40"/>
      <c r="DA90" s="40"/>
      <c r="DB90" s="40"/>
      <c r="DC90" s="40"/>
      <c r="DD90" s="40"/>
      <c r="DE90" s="40"/>
      <c r="DF90" s="40"/>
      <c r="DG90" s="40"/>
      <c r="DH90" s="40"/>
      <c r="DI90" s="40"/>
      <c r="DJ90" s="40"/>
      <c r="DK90" s="40"/>
      <c r="DL90" s="40"/>
      <c r="DM90" s="46"/>
      <c r="DN90" s="47"/>
    </row>
    <row r="91" spans="5:118" x14ac:dyDescent="0.35">
      <c r="E91" s="111"/>
      <c r="F91" s="112"/>
      <c r="G91" s="112"/>
      <c r="H91" s="116"/>
      <c r="I91" s="115"/>
      <c r="J91" s="70"/>
      <c r="K91" s="126" t="str">
        <f t="shared" ref="K91:K119" si="22">IFERROR(1-(I91/H91),"-")</f>
        <v>-</v>
      </c>
      <c r="L91" s="38">
        <f t="shared" ref="L91:L119" si="23">I91*M91</f>
        <v>0</v>
      </c>
      <c r="M91" s="39">
        <f t="shared" si="21"/>
        <v>0</v>
      </c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  <c r="BI91" s="40"/>
      <c r="BJ91" s="40"/>
      <c r="BK91" s="40"/>
      <c r="BL91" s="40"/>
      <c r="BM91" s="40"/>
      <c r="BN91" s="40"/>
      <c r="BO91" s="40"/>
      <c r="BP91" s="40"/>
      <c r="BQ91" s="40"/>
      <c r="BR91" s="40"/>
      <c r="BS91" s="40"/>
      <c r="BT91" s="40"/>
      <c r="BU91" s="40"/>
      <c r="BV91" s="40"/>
      <c r="BW91" s="40"/>
      <c r="BX91" s="40"/>
      <c r="BY91" s="40"/>
      <c r="BZ91" s="40"/>
      <c r="CA91" s="40"/>
      <c r="CB91" s="40"/>
      <c r="CC91" s="40"/>
      <c r="CD91" s="40"/>
      <c r="CE91" s="40"/>
      <c r="CF91" s="40"/>
      <c r="CG91" s="40"/>
      <c r="CH91" s="40"/>
      <c r="CI91" s="40"/>
      <c r="CJ91" s="40"/>
      <c r="CK91" s="40"/>
      <c r="CL91" s="40"/>
      <c r="CM91" s="40"/>
      <c r="CN91" s="40"/>
      <c r="CO91" s="40"/>
      <c r="CP91" s="40"/>
      <c r="CQ91" s="40"/>
      <c r="CR91" s="40"/>
      <c r="CS91" s="40"/>
      <c r="CT91" s="40"/>
      <c r="CU91" s="40"/>
      <c r="CV91" s="40"/>
      <c r="CW91" s="40"/>
      <c r="CX91" s="40"/>
      <c r="CY91" s="40"/>
      <c r="CZ91" s="40"/>
      <c r="DA91" s="40"/>
      <c r="DB91" s="40"/>
      <c r="DC91" s="40"/>
      <c r="DD91" s="40"/>
      <c r="DE91" s="40"/>
      <c r="DF91" s="40"/>
      <c r="DG91" s="40"/>
      <c r="DH91" s="40"/>
      <c r="DI91" s="40"/>
      <c r="DJ91" s="40"/>
      <c r="DK91" s="40"/>
      <c r="DL91" s="40"/>
      <c r="DM91" s="46"/>
      <c r="DN91" s="47"/>
    </row>
    <row r="92" spans="5:118" x14ac:dyDescent="0.35">
      <c r="E92" s="111"/>
      <c r="F92" s="112"/>
      <c r="G92" s="112"/>
      <c r="H92" s="116"/>
      <c r="I92" s="115"/>
      <c r="J92" s="70"/>
      <c r="K92" s="126" t="str">
        <f t="shared" si="22"/>
        <v>-</v>
      </c>
      <c r="L92" s="38">
        <f t="shared" si="23"/>
        <v>0</v>
      </c>
      <c r="M92" s="39">
        <f t="shared" si="21"/>
        <v>0</v>
      </c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  <c r="BI92" s="40"/>
      <c r="BJ92" s="40"/>
      <c r="BK92" s="40"/>
      <c r="BL92" s="40"/>
      <c r="BM92" s="40"/>
      <c r="BN92" s="40"/>
      <c r="BO92" s="40"/>
      <c r="BP92" s="40"/>
      <c r="BQ92" s="40"/>
      <c r="BR92" s="40"/>
      <c r="BS92" s="40"/>
      <c r="BT92" s="40"/>
      <c r="BU92" s="40"/>
      <c r="BV92" s="40"/>
      <c r="BW92" s="40"/>
      <c r="BX92" s="40"/>
      <c r="BY92" s="40"/>
      <c r="BZ92" s="40"/>
      <c r="CA92" s="40"/>
      <c r="CB92" s="40"/>
      <c r="CC92" s="40"/>
      <c r="CD92" s="40"/>
      <c r="CE92" s="40"/>
      <c r="CF92" s="40"/>
      <c r="CG92" s="40"/>
      <c r="CH92" s="40"/>
      <c r="CI92" s="40"/>
      <c r="CJ92" s="40"/>
      <c r="CK92" s="40"/>
      <c r="CL92" s="40"/>
      <c r="CM92" s="40"/>
      <c r="CN92" s="40"/>
      <c r="CO92" s="40"/>
      <c r="CP92" s="40"/>
      <c r="CQ92" s="40"/>
      <c r="CR92" s="40"/>
      <c r="CS92" s="40"/>
      <c r="CT92" s="40"/>
      <c r="CU92" s="40"/>
      <c r="CV92" s="40"/>
      <c r="CW92" s="40"/>
      <c r="CX92" s="40"/>
      <c r="CY92" s="40"/>
      <c r="CZ92" s="40"/>
      <c r="DA92" s="40"/>
      <c r="DB92" s="40"/>
      <c r="DC92" s="40"/>
      <c r="DD92" s="40"/>
      <c r="DE92" s="40"/>
      <c r="DF92" s="40"/>
      <c r="DG92" s="40"/>
      <c r="DH92" s="40"/>
      <c r="DI92" s="40"/>
      <c r="DJ92" s="40"/>
      <c r="DK92" s="40"/>
      <c r="DL92" s="40"/>
      <c r="DM92" s="46"/>
      <c r="DN92" s="47"/>
    </row>
    <row r="93" spans="5:118" x14ac:dyDescent="0.35">
      <c r="E93" s="111"/>
      <c r="F93" s="112"/>
      <c r="G93" s="112"/>
      <c r="H93" s="116"/>
      <c r="I93" s="115"/>
      <c r="J93" s="70"/>
      <c r="K93" s="126" t="str">
        <f t="shared" si="22"/>
        <v>-</v>
      </c>
      <c r="L93" s="38">
        <f t="shared" si="23"/>
        <v>0</v>
      </c>
      <c r="M93" s="39">
        <f t="shared" si="21"/>
        <v>0</v>
      </c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V93" s="40"/>
      <c r="AW93" s="40"/>
      <c r="AX93" s="40"/>
      <c r="AY93" s="40"/>
      <c r="AZ93" s="40"/>
      <c r="BA93" s="40"/>
      <c r="BB93" s="40"/>
      <c r="BC93" s="40"/>
      <c r="BD93" s="40"/>
      <c r="BE93" s="40"/>
      <c r="BF93" s="40"/>
      <c r="BG93" s="40"/>
      <c r="BH93" s="40"/>
      <c r="BI93" s="40"/>
      <c r="BJ93" s="40"/>
      <c r="BK93" s="40"/>
      <c r="BL93" s="40"/>
      <c r="BM93" s="40"/>
      <c r="BN93" s="40"/>
      <c r="BO93" s="40"/>
      <c r="BP93" s="40"/>
      <c r="BQ93" s="40"/>
      <c r="BR93" s="40"/>
      <c r="BS93" s="40"/>
      <c r="BT93" s="40"/>
      <c r="BU93" s="40"/>
      <c r="BV93" s="40"/>
      <c r="BW93" s="40"/>
      <c r="BX93" s="40"/>
      <c r="BY93" s="40"/>
      <c r="BZ93" s="40"/>
      <c r="CA93" s="40"/>
      <c r="CB93" s="40"/>
      <c r="CC93" s="40"/>
      <c r="CD93" s="40"/>
      <c r="CE93" s="40"/>
      <c r="CF93" s="40"/>
      <c r="CG93" s="40"/>
      <c r="CH93" s="40"/>
      <c r="CI93" s="40"/>
      <c r="CJ93" s="40"/>
      <c r="CK93" s="40"/>
      <c r="CL93" s="40"/>
      <c r="CM93" s="40"/>
      <c r="CN93" s="40"/>
      <c r="CO93" s="40"/>
      <c r="CP93" s="40"/>
      <c r="CQ93" s="40"/>
      <c r="CR93" s="40"/>
      <c r="CS93" s="40"/>
      <c r="CT93" s="40"/>
      <c r="CU93" s="40"/>
      <c r="CV93" s="40"/>
      <c r="CW93" s="40"/>
      <c r="CX93" s="40"/>
      <c r="CY93" s="40"/>
      <c r="CZ93" s="40"/>
      <c r="DA93" s="40"/>
      <c r="DB93" s="40"/>
      <c r="DC93" s="40"/>
      <c r="DD93" s="40"/>
      <c r="DE93" s="40"/>
      <c r="DF93" s="40"/>
      <c r="DG93" s="40"/>
      <c r="DH93" s="40"/>
      <c r="DI93" s="40"/>
      <c r="DJ93" s="40"/>
      <c r="DK93" s="40"/>
      <c r="DL93" s="40"/>
      <c r="DM93" s="46"/>
      <c r="DN93" s="47"/>
    </row>
    <row r="94" spans="5:118" x14ac:dyDescent="0.35">
      <c r="E94" s="111"/>
      <c r="F94" s="112"/>
      <c r="G94" s="112"/>
      <c r="H94" s="116"/>
      <c r="I94" s="115"/>
      <c r="J94" s="70"/>
      <c r="K94" s="126" t="str">
        <f t="shared" si="22"/>
        <v>-</v>
      </c>
      <c r="L94" s="38">
        <f t="shared" si="23"/>
        <v>0</v>
      </c>
      <c r="M94" s="39">
        <f t="shared" si="21"/>
        <v>0</v>
      </c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V94" s="40"/>
      <c r="AW94" s="40"/>
      <c r="AX94" s="40"/>
      <c r="AY94" s="40"/>
      <c r="AZ94" s="40"/>
      <c r="BA94" s="40"/>
      <c r="BB94" s="40"/>
      <c r="BC94" s="40"/>
      <c r="BD94" s="40"/>
      <c r="BE94" s="40"/>
      <c r="BF94" s="40"/>
      <c r="BG94" s="40"/>
      <c r="BH94" s="40"/>
      <c r="BI94" s="40"/>
      <c r="BJ94" s="40"/>
      <c r="BK94" s="40"/>
      <c r="BL94" s="40"/>
      <c r="BM94" s="40"/>
      <c r="BN94" s="40"/>
      <c r="BO94" s="40"/>
      <c r="BP94" s="40"/>
      <c r="BQ94" s="40"/>
      <c r="BR94" s="40"/>
      <c r="BS94" s="40"/>
      <c r="BT94" s="40"/>
      <c r="BU94" s="40"/>
      <c r="BV94" s="40"/>
      <c r="BW94" s="40"/>
      <c r="BX94" s="40"/>
      <c r="BY94" s="40"/>
      <c r="BZ94" s="40"/>
      <c r="CA94" s="40"/>
      <c r="CB94" s="40"/>
      <c r="CC94" s="40"/>
      <c r="CD94" s="40"/>
      <c r="CE94" s="40"/>
      <c r="CF94" s="40"/>
      <c r="CG94" s="40"/>
      <c r="CH94" s="40"/>
      <c r="CI94" s="40"/>
      <c r="CJ94" s="40"/>
      <c r="CK94" s="40"/>
      <c r="CL94" s="40"/>
      <c r="CM94" s="40"/>
      <c r="CN94" s="40"/>
      <c r="CO94" s="40"/>
      <c r="CP94" s="40"/>
      <c r="CQ94" s="40"/>
      <c r="CR94" s="40"/>
      <c r="CS94" s="40"/>
      <c r="CT94" s="40"/>
      <c r="CU94" s="40"/>
      <c r="CV94" s="40"/>
      <c r="CW94" s="40"/>
      <c r="CX94" s="40"/>
      <c r="CY94" s="40"/>
      <c r="CZ94" s="40"/>
      <c r="DA94" s="40"/>
      <c r="DB94" s="40"/>
      <c r="DC94" s="40"/>
      <c r="DD94" s="40"/>
      <c r="DE94" s="40"/>
      <c r="DF94" s="40"/>
      <c r="DG94" s="40"/>
      <c r="DH94" s="40"/>
      <c r="DI94" s="40"/>
      <c r="DJ94" s="40"/>
      <c r="DK94" s="40"/>
      <c r="DL94" s="40"/>
      <c r="DM94" s="46"/>
      <c r="DN94" s="47"/>
    </row>
    <row r="95" spans="5:118" x14ac:dyDescent="0.35">
      <c r="E95" s="111"/>
      <c r="F95" s="112"/>
      <c r="G95" s="112"/>
      <c r="H95" s="116"/>
      <c r="I95" s="115"/>
      <c r="J95" s="70"/>
      <c r="K95" s="126" t="str">
        <f t="shared" si="22"/>
        <v>-</v>
      </c>
      <c r="L95" s="38">
        <f t="shared" si="23"/>
        <v>0</v>
      </c>
      <c r="M95" s="39">
        <f t="shared" si="21"/>
        <v>0</v>
      </c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40"/>
      <c r="BA95" s="40"/>
      <c r="BB95" s="40"/>
      <c r="BC95" s="40"/>
      <c r="BD95" s="40"/>
      <c r="BE95" s="40"/>
      <c r="BF95" s="40"/>
      <c r="BG95" s="40"/>
      <c r="BH95" s="40"/>
      <c r="BI95" s="40"/>
      <c r="BJ95" s="40"/>
      <c r="BK95" s="40"/>
      <c r="BL95" s="40"/>
      <c r="BM95" s="40"/>
      <c r="BN95" s="40"/>
      <c r="BO95" s="40"/>
      <c r="BP95" s="40"/>
      <c r="BQ95" s="40"/>
      <c r="BR95" s="40"/>
      <c r="BS95" s="40"/>
      <c r="BT95" s="40"/>
      <c r="BU95" s="40"/>
      <c r="BV95" s="40"/>
      <c r="BW95" s="40"/>
      <c r="BX95" s="40"/>
      <c r="BY95" s="40"/>
      <c r="BZ95" s="40"/>
      <c r="CA95" s="40"/>
      <c r="CB95" s="40"/>
      <c r="CC95" s="40"/>
      <c r="CD95" s="40"/>
      <c r="CE95" s="40"/>
      <c r="CF95" s="40"/>
      <c r="CG95" s="40"/>
      <c r="CH95" s="40"/>
      <c r="CI95" s="40"/>
      <c r="CJ95" s="40"/>
      <c r="CK95" s="40"/>
      <c r="CL95" s="40"/>
      <c r="CM95" s="40"/>
      <c r="CN95" s="40"/>
      <c r="CO95" s="40"/>
      <c r="CP95" s="40"/>
      <c r="CQ95" s="40"/>
      <c r="CR95" s="40"/>
      <c r="CS95" s="40"/>
      <c r="CT95" s="40"/>
      <c r="CU95" s="40"/>
      <c r="CV95" s="40"/>
      <c r="CW95" s="40"/>
      <c r="CX95" s="40"/>
      <c r="CY95" s="40"/>
      <c r="CZ95" s="40"/>
      <c r="DA95" s="40"/>
      <c r="DB95" s="40"/>
      <c r="DC95" s="40"/>
      <c r="DD95" s="40"/>
      <c r="DE95" s="40"/>
      <c r="DF95" s="40"/>
      <c r="DG95" s="40"/>
      <c r="DH95" s="40"/>
      <c r="DI95" s="40"/>
      <c r="DJ95" s="40"/>
      <c r="DK95" s="40"/>
      <c r="DL95" s="40"/>
      <c r="DM95" s="46"/>
      <c r="DN95" s="47"/>
    </row>
    <row r="96" spans="5:118" x14ac:dyDescent="0.35">
      <c r="E96" s="111"/>
      <c r="F96" s="112"/>
      <c r="G96" s="112"/>
      <c r="H96" s="116"/>
      <c r="I96" s="115"/>
      <c r="J96" s="70"/>
      <c r="K96" s="126" t="str">
        <f t="shared" si="22"/>
        <v>-</v>
      </c>
      <c r="L96" s="38">
        <f t="shared" si="23"/>
        <v>0</v>
      </c>
      <c r="M96" s="39">
        <f t="shared" si="21"/>
        <v>0</v>
      </c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40"/>
      <c r="BA96" s="40"/>
      <c r="BB96" s="40"/>
      <c r="BC96" s="40"/>
      <c r="BD96" s="40"/>
      <c r="BE96" s="40"/>
      <c r="BF96" s="40"/>
      <c r="BG96" s="40"/>
      <c r="BH96" s="40"/>
      <c r="BI96" s="40"/>
      <c r="BJ96" s="40"/>
      <c r="BK96" s="40"/>
      <c r="BL96" s="40"/>
      <c r="BM96" s="40"/>
      <c r="BN96" s="40"/>
      <c r="BO96" s="40"/>
      <c r="BP96" s="40"/>
      <c r="BQ96" s="40"/>
      <c r="BR96" s="40"/>
      <c r="BS96" s="40"/>
      <c r="BT96" s="40"/>
      <c r="BU96" s="40"/>
      <c r="BV96" s="40"/>
      <c r="BW96" s="40"/>
      <c r="BX96" s="40"/>
      <c r="BY96" s="40"/>
      <c r="BZ96" s="40"/>
      <c r="CA96" s="40"/>
      <c r="CB96" s="40"/>
      <c r="CC96" s="40"/>
      <c r="CD96" s="40"/>
      <c r="CE96" s="40"/>
      <c r="CF96" s="40"/>
      <c r="CG96" s="40"/>
      <c r="CH96" s="40"/>
      <c r="CI96" s="40"/>
      <c r="CJ96" s="40"/>
      <c r="CK96" s="40"/>
      <c r="CL96" s="40"/>
      <c r="CM96" s="40"/>
      <c r="CN96" s="40"/>
      <c r="CO96" s="40"/>
      <c r="CP96" s="40"/>
      <c r="CQ96" s="40"/>
      <c r="CR96" s="40"/>
      <c r="CS96" s="40"/>
      <c r="CT96" s="40"/>
      <c r="CU96" s="40"/>
      <c r="CV96" s="40"/>
      <c r="CW96" s="40"/>
      <c r="CX96" s="40"/>
      <c r="CY96" s="40"/>
      <c r="CZ96" s="40"/>
      <c r="DA96" s="40"/>
      <c r="DB96" s="40"/>
      <c r="DC96" s="40"/>
      <c r="DD96" s="40"/>
      <c r="DE96" s="40"/>
      <c r="DF96" s="40"/>
      <c r="DG96" s="40"/>
      <c r="DH96" s="40"/>
      <c r="DI96" s="40"/>
      <c r="DJ96" s="40"/>
      <c r="DK96" s="40"/>
      <c r="DL96" s="40"/>
      <c r="DM96" s="46"/>
      <c r="DN96" s="47"/>
    </row>
    <row r="97" spans="5:118" x14ac:dyDescent="0.35">
      <c r="E97" s="111"/>
      <c r="F97" s="112"/>
      <c r="G97" s="112"/>
      <c r="H97" s="116"/>
      <c r="I97" s="115"/>
      <c r="J97" s="70"/>
      <c r="K97" s="126" t="str">
        <f t="shared" si="22"/>
        <v>-</v>
      </c>
      <c r="L97" s="38">
        <f t="shared" si="23"/>
        <v>0</v>
      </c>
      <c r="M97" s="39">
        <f t="shared" si="21"/>
        <v>0</v>
      </c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V97" s="40"/>
      <c r="AW97" s="40"/>
      <c r="AX97" s="40"/>
      <c r="AY97" s="40"/>
      <c r="AZ97" s="40"/>
      <c r="BA97" s="40"/>
      <c r="BB97" s="40"/>
      <c r="BC97" s="40"/>
      <c r="BD97" s="40"/>
      <c r="BE97" s="40"/>
      <c r="BF97" s="40"/>
      <c r="BG97" s="40"/>
      <c r="BH97" s="40"/>
      <c r="BI97" s="40"/>
      <c r="BJ97" s="40"/>
      <c r="BK97" s="40"/>
      <c r="BL97" s="40"/>
      <c r="BM97" s="40"/>
      <c r="BN97" s="40"/>
      <c r="BO97" s="40"/>
      <c r="BP97" s="40"/>
      <c r="BQ97" s="40"/>
      <c r="BR97" s="40"/>
      <c r="BS97" s="40"/>
      <c r="BT97" s="40"/>
      <c r="BU97" s="40"/>
      <c r="BV97" s="40"/>
      <c r="BW97" s="40"/>
      <c r="BX97" s="40"/>
      <c r="BY97" s="40"/>
      <c r="BZ97" s="40"/>
      <c r="CA97" s="40"/>
      <c r="CB97" s="40"/>
      <c r="CC97" s="40"/>
      <c r="CD97" s="40"/>
      <c r="CE97" s="40"/>
      <c r="CF97" s="40"/>
      <c r="CG97" s="40"/>
      <c r="CH97" s="40"/>
      <c r="CI97" s="40"/>
      <c r="CJ97" s="40"/>
      <c r="CK97" s="40"/>
      <c r="CL97" s="40"/>
      <c r="CM97" s="40"/>
      <c r="CN97" s="40"/>
      <c r="CO97" s="40"/>
      <c r="CP97" s="40"/>
      <c r="CQ97" s="40"/>
      <c r="CR97" s="40"/>
      <c r="CS97" s="40"/>
      <c r="CT97" s="40"/>
      <c r="CU97" s="40"/>
      <c r="CV97" s="40"/>
      <c r="CW97" s="40"/>
      <c r="CX97" s="40"/>
      <c r="CY97" s="40"/>
      <c r="CZ97" s="40"/>
      <c r="DA97" s="40"/>
      <c r="DB97" s="40"/>
      <c r="DC97" s="40"/>
      <c r="DD97" s="40"/>
      <c r="DE97" s="40"/>
      <c r="DF97" s="40"/>
      <c r="DG97" s="40"/>
      <c r="DH97" s="40"/>
      <c r="DI97" s="40"/>
      <c r="DJ97" s="40"/>
      <c r="DK97" s="40"/>
      <c r="DL97" s="40"/>
      <c r="DM97" s="46"/>
      <c r="DN97" s="47"/>
    </row>
    <row r="98" spans="5:118" x14ac:dyDescent="0.35">
      <c r="E98" s="111"/>
      <c r="F98" s="112"/>
      <c r="G98" s="112"/>
      <c r="H98" s="116"/>
      <c r="I98" s="115"/>
      <c r="J98" s="70"/>
      <c r="K98" s="126" t="str">
        <f t="shared" si="22"/>
        <v>-</v>
      </c>
      <c r="L98" s="38">
        <f t="shared" si="23"/>
        <v>0</v>
      </c>
      <c r="M98" s="39">
        <f t="shared" si="21"/>
        <v>0</v>
      </c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V98" s="40"/>
      <c r="AW98" s="40"/>
      <c r="AX98" s="40"/>
      <c r="AY98" s="40"/>
      <c r="AZ98" s="40"/>
      <c r="BA98" s="40"/>
      <c r="BB98" s="40"/>
      <c r="BC98" s="40"/>
      <c r="BD98" s="40"/>
      <c r="BE98" s="40"/>
      <c r="BF98" s="40"/>
      <c r="BG98" s="40"/>
      <c r="BH98" s="40"/>
      <c r="BI98" s="40"/>
      <c r="BJ98" s="40"/>
      <c r="BK98" s="40"/>
      <c r="BL98" s="40"/>
      <c r="BM98" s="40"/>
      <c r="BN98" s="40"/>
      <c r="BO98" s="40"/>
      <c r="BP98" s="40"/>
      <c r="BQ98" s="40"/>
      <c r="BR98" s="40"/>
      <c r="BS98" s="40"/>
      <c r="BT98" s="40"/>
      <c r="BU98" s="40"/>
      <c r="BV98" s="40"/>
      <c r="BW98" s="40"/>
      <c r="BX98" s="40"/>
      <c r="BY98" s="40"/>
      <c r="BZ98" s="40"/>
      <c r="CA98" s="40"/>
      <c r="CB98" s="40"/>
      <c r="CC98" s="40"/>
      <c r="CD98" s="40"/>
      <c r="CE98" s="40"/>
      <c r="CF98" s="40"/>
      <c r="CG98" s="40"/>
      <c r="CH98" s="40"/>
      <c r="CI98" s="40"/>
      <c r="CJ98" s="40"/>
      <c r="CK98" s="40"/>
      <c r="CL98" s="40"/>
      <c r="CM98" s="40"/>
      <c r="CN98" s="40"/>
      <c r="CO98" s="40"/>
      <c r="CP98" s="40"/>
      <c r="CQ98" s="40"/>
      <c r="CR98" s="40"/>
      <c r="CS98" s="40"/>
      <c r="CT98" s="40"/>
      <c r="CU98" s="40"/>
      <c r="CV98" s="40"/>
      <c r="CW98" s="40"/>
      <c r="CX98" s="40"/>
      <c r="CY98" s="40"/>
      <c r="CZ98" s="40"/>
      <c r="DA98" s="40"/>
      <c r="DB98" s="40"/>
      <c r="DC98" s="40"/>
      <c r="DD98" s="40"/>
      <c r="DE98" s="40"/>
      <c r="DF98" s="40"/>
      <c r="DG98" s="40"/>
      <c r="DH98" s="40"/>
      <c r="DI98" s="40"/>
      <c r="DJ98" s="40"/>
      <c r="DK98" s="40"/>
      <c r="DL98" s="40"/>
      <c r="DM98" s="46"/>
      <c r="DN98" s="47"/>
    </row>
    <row r="99" spans="5:118" x14ac:dyDescent="0.35">
      <c r="E99" s="111"/>
      <c r="F99" s="112"/>
      <c r="G99" s="112"/>
      <c r="H99" s="116"/>
      <c r="I99" s="115"/>
      <c r="J99" s="70"/>
      <c r="K99" s="126" t="str">
        <f t="shared" si="22"/>
        <v>-</v>
      </c>
      <c r="L99" s="38">
        <f t="shared" si="23"/>
        <v>0</v>
      </c>
      <c r="M99" s="39">
        <f t="shared" si="21"/>
        <v>0</v>
      </c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V99" s="40"/>
      <c r="AW99" s="40"/>
      <c r="AX99" s="40"/>
      <c r="AY99" s="40"/>
      <c r="AZ99" s="40"/>
      <c r="BA99" s="40"/>
      <c r="BB99" s="40"/>
      <c r="BC99" s="40"/>
      <c r="BD99" s="40"/>
      <c r="BE99" s="40"/>
      <c r="BF99" s="40"/>
      <c r="BG99" s="40"/>
      <c r="BH99" s="40"/>
      <c r="BI99" s="40"/>
      <c r="BJ99" s="40"/>
      <c r="BK99" s="40"/>
      <c r="BL99" s="40"/>
      <c r="BM99" s="40"/>
      <c r="BN99" s="40"/>
      <c r="BO99" s="40"/>
      <c r="BP99" s="40"/>
      <c r="BQ99" s="40"/>
      <c r="BR99" s="40"/>
      <c r="BS99" s="40"/>
      <c r="BT99" s="40"/>
      <c r="BU99" s="40"/>
      <c r="BV99" s="40"/>
      <c r="BW99" s="40"/>
      <c r="BX99" s="40"/>
      <c r="BY99" s="40"/>
      <c r="BZ99" s="40"/>
      <c r="CA99" s="40"/>
      <c r="CB99" s="40"/>
      <c r="CC99" s="40"/>
      <c r="CD99" s="40"/>
      <c r="CE99" s="40"/>
      <c r="CF99" s="40"/>
      <c r="CG99" s="40"/>
      <c r="CH99" s="40"/>
      <c r="CI99" s="40"/>
      <c r="CJ99" s="40"/>
      <c r="CK99" s="40"/>
      <c r="CL99" s="40"/>
      <c r="CM99" s="40"/>
      <c r="CN99" s="40"/>
      <c r="CO99" s="40"/>
      <c r="CP99" s="40"/>
      <c r="CQ99" s="40"/>
      <c r="CR99" s="40"/>
      <c r="CS99" s="40"/>
      <c r="CT99" s="40"/>
      <c r="CU99" s="40"/>
      <c r="CV99" s="40"/>
      <c r="CW99" s="40"/>
      <c r="CX99" s="40"/>
      <c r="CY99" s="40"/>
      <c r="CZ99" s="40"/>
      <c r="DA99" s="40"/>
      <c r="DB99" s="40"/>
      <c r="DC99" s="40"/>
      <c r="DD99" s="40"/>
      <c r="DE99" s="40"/>
      <c r="DF99" s="40"/>
      <c r="DG99" s="40"/>
      <c r="DH99" s="40"/>
      <c r="DI99" s="40"/>
      <c r="DJ99" s="40"/>
      <c r="DK99" s="40"/>
      <c r="DL99" s="40"/>
      <c r="DM99" s="46"/>
      <c r="DN99" s="47"/>
    </row>
    <row r="100" spans="5:118" hidden="1" x14ac:dyDescent="0.35">
      <c r="E100" s="111"/>
      <c r="F100" s="112"/>
      <c r="G100" s="112"/>
      <c r="H100" s="116"/>
      <c r="I100" s="116"/>
      <c r="J100" s="121"/>
      <c r="K100" s="126" t="str">
        <f t="shared" si="22"/>
        <v>-</v>
      </c>
      <c r="L100" s="38">
        <f t="shared" si="23"/>
        <v>0</v>
      </c>
      <c r="M100" s="39">
        <f t="shared" si="21"/>
        <v>0</v>
      </c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V100" s="40"/>
      <c r="AW100" s="40"/>
      <c r="AX100" s="40"/>
      <c r="AY100" s="40"/>
      <c r="AZ100" s="40"/>
      <c r="BA100" s="40"/>
      <c r="BB100" s="40"/>
      <c r="BC100" s="40"/>
      <c r="BD100" s="40"/>
      <c r="BE100" s="40"/>
      <c r="BF100" s="40"/>
      <c r="BG100" s="40"/>
      <c r="BH100" s="40"/>
      <c r="BI100" s="40"/>
      <c r="BJ100" s="40"/>
      <c r="BK100" s="40"/>
      <c r="BL100" s="40"/>
      <c r="BM100" s="40"/>
      <c r="BN100" s="40"/>
      <c r="BO100" s="40"/>
      <c r="BP100" s="40"/>
      <c r="BQ100" s="40"/>
      <c r="BR100" s="40"/>
      <c r="BS100" s="40"/>
      <c r="BT100" s="40"/>
      <c r="BU100" s="40"/>
      <c r="BV100" s="40"/>
      <c r="BW100" s="40"/>
      <c r="BX100" s="40"/>
      <c r="BY100" s="40"/>
      <c r="BZ100" s="40"/>
      <c r="CA100" s="40"/>
      <c r="CB100" s="40"/>
      <c r="CC100" s="40"/>
      <c r="CD100" s="40"/>
      <c r="CE100" s="40"/>
      <c r="CF100" s="40"/>
      <c r="CG100" s="40"/>
      <c r="CH100" s="40"/>
      <c r="CI100" s="40"/>
      <c r="CJ100" s="40"/>
      <c r="CK100" s="40"/>
      <c r="CL100" s="40"/>
      <c r="CM100" s="40"/>
      <c r="CN100" s="40"/>
      <c r="CO100" s="40"/>
      <c r="CP100" s="40"/>
      <c r="CQ100" s="40"/>
      <c r="CR100" s="40"/>
      <c r="CS100" s="40"/>
      <c r="CT100" s="40"/>
      <c r="CU100" s="40"/>
      <c r="CV100" s="40"/>
      <c r="CW100" s="40"/>
      <c r="CX100" s="40"/>
      <c r="CY100" s="40"/>
      <c r="CZ100" s="40"/>
      <c r="DA100" s="40"/>
      <c r="DB100" s="40"/>
      <c r="DC100" s="40"/>
      <c r="DD100" s="40"/>
      <c r="DE100" s="40"/>
      <c r="DF100" s="40"/>
      <c r="DG100" s="40"/>
      <c r="DH100" s="40"/>
      <c r="DI100" s="40"/>
      <c r="DJ100" s="40"/>
      <c r="DK100" s="40"/>
      <c r="DL100" s="40"/>
      <c r="DM100" s="46"/>
      <c r="DN100" s="47"/>
    </row>
    <row r="101" spans="5:118" hidden="1" x14ac:dyDescent="0.35">
      <c r="E101" s="111"/>
      <c r="F101" s="112"/>
      <c r="G101" s="112"/>
      <c r="H101" s="116"/>
      <c r="I101" s="116"/>
      <c r="J101" s="122"/>
      <c r="K101" s="126" t="str">
        <f t="shared" si="22"/>
        <v>-</v>
      </c>
      <c r="L101" s="38">
        <f t="shared" si="23"/>
        <v>0</v>
      </c>
      <c r="M101" s="39">
        <f t="shared" si="21"/>
        <v>0</v>
      </c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  <c r="BA101" s="40"/>
      <c r="BB101" s="40"/>
      <c r="BC101" s="40"/>
      <c r="BD101" s="40"/>
      <c r="BE101" s="40"/>
      <c r="BF101" s="40"/>
      <c r="BG101" s="40"/>
      <c r="BH101" s="40"/>
      <c r="BI101" s="40"/>
      <c r="BJ101" s="40"/>
      <c r="BK101" s="40"/>
      <c r="BL101" s="40"/>
      <c r="BM101" s="40"/>
      <c r="BN101" s="40"/>
      <c r="BO101" s="40"/>
      <c r="BP101" s="40"/>
      <c r="BQ101" s="40"/>
      <c r="BR101" s="40"/>
      <c r="BS101" s="40"/>
      <c r="BT101" s="40"/>
      <c r="BU101" s="40"/>
      <c r="BV101" s="40"/>
      <c r="BW101" s="40"/>
      <c r="BX101" s="40"/>
      <c r="BY101" s="40"/>
      <c r="BZ101" s="40"/>
      <c r="CA101" s="40"/>
      <c r="CB101" s="40"/>
      <c r="CC101" s="40"/>
      <c r="CD101" s="40"/>
      <c r="CE101" s="40"/>
      <c r="CF101" s="40"/>
      <c r="CG101" s="40"/>
      <c r="CH101" s="40"/>
      <c r="CI101" s="40"/>
      <c r="CJ101" s="40"/>
      <c r="CK101" s="40"/>
      <c r="CL101" s="40"/>
      <c r="CM101" s="40"/>
      <c r="CN101" s="40"/>
      <c r="CO101" s="40"/>
      <c r="CP101" s="40"/>
      <c r="CQ101" s="40"/>
      <c r="CR101" s="40"/>
      <c r="CS101" s="40"/>
      <c r="CT101" s="40"/>
      <c r="CU101" s="40"/>
      <c r="CV101" s="40"/>
      <c r="CW101" s="40"/>
      <c r="CX101" s="40"/>
      <c r="CY101" s="40"/>
      <c r="CZ101" s="40"/>
      <c r="DA101" s="40"/>
      <c r="DB101" s="40"/>
      <c r="DC101" s="40"/>
      <c r="DD101" s="40"/>
      <c r="DE101" s="40"/>
      <c r="DF101" s="40"/>
      <c r="DG101" s="40"/>
      <c r="DH101" s="40"/>
      <c r="DI101" s="40"/>
      <c r="DJ101" s="40"/>
      <c r="DK101" s="40"/>
      <c r="DL101" s="40"/>
      <c r="DM101" s="46"/>
      <c r="DN101" s="47"/>
    </row>
    <row r="102" spans="5:118" hidden="1" x14ac:dyDescent="0.35">
      <c r="E102" s="111"/>
      <c r="F102" s="112"/>
      <c r="G102" s="112"/>
      <c r="H102" s="116"/>
      <c r="I102" s="116"/>
      <c r="J102" s="122"/>
      <c r="K102" s="126" t="str">
        <f t="shared" si="22"/>
        <v>-</v>
      </c>
      <c r="L102" s="38">
        <f t="shared" si="23"/>
        <v>0</v>
      </c>
      <c r="M102" s="39">
        <f t="shared" si="21"/>
        <v>0</v>
      </c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  <c r="BA102" s="40"/>
      <c r="BB102" s="40"/>
      <c r="BC102" s="40"/>
      <c r="BD102" s="40"/>
      <c r="BE102" s="40"/>
      <c r="BF102" s="40"/>
      <c r="BG102" s="40"/>
      <c r="BH102" s="40"/>
      <c r="BI102" s="40"/>
      <c r="BJ102" s="40"/>
      <c r="BK102" s="40"/>
      <c r="BL102" s="40"/>
      <c r="BM102" s="40"/>
      <c r="BN102" s="40"/>
      <c r="BO102" s="40"/>
      <c r="BP102" s="40"/>
      <c r="BQ102" s="40"/>
      <c r="BR102" s="40"/>
      <c r="BS102" s="40"/>
      <c r="BT102" s="40"/>
      <c r="BU102" s="40"/>
      <c r="BV102" s="40"/>
      <c r="BW102" s="40"/>
      <c r="BX102" s="40"/>
      <c r="BY102" s="40"/>
      <c r="BZ102" s="40"/>
      <c r="CA102" s="40"/>
      <c r="CB102" s="40"/>
      <c r="CC102" s="40"/>
      <c r="CD102" s="40"/>
      <c r="CE102" s="40"/>
      <c r="CF102" s="40"/>
      <c r="CG102" s="40"/>
      <c r="CH102" s="40"/>
      <c r="CI102" s="40"/>
      <c r="CJ102" s="40"/>
      <c r="CK102" s="40"/>
      <c r="CL102" s="40"/>
      <c r="CM102" s="40"/>
      <c r="CN102" s="40"/>
      <c r="CO102" s="40"/>
      <c r="CP102" s="40"/>
      <c r="CQ102" s="40"/>
      <c r="CR102" s="40"/>
      <c r="CS102" s="40"/>
      <c r="CT102" s="40"/>
      <c r="CU102" s="40"/>
      <c r="CV102" s="40"/>
      <c r="CW102" s="40"/>
      <c r="CX102" s="40"/>
      <c r="CY102" s="40"/>
      <c r="CZ102" s="40"/>
      <c r="DA102" s="40"/>
      <c r="DB102" s="40"/>
      <c r="DC102" s="40"/>
      <c r="DD102" s="40"/>
      <c r="DE102" s="40"/>
      <c r="DF102" s="40"/>
      <c r="DG102" s="40"/>
      <c r="DH102" s="40"/>
      <c r="DI102" s="40"/>
      <c r="DJ102" s="40"/>
      <c r="DK102" s="40"/>
      <c r="DL102" s="40"/>
      <c r="DM102" s="46"/>
      <c r="DN102" s="47"/>
    </row>
    <row r="103" spans="5:118" hidden="1" x14ac:dyDescent="0.35">
      <c r="E103" s="111"/>
      <c r="F103" s="112"/>
      <c r="G103" s="112"/>
      <c r="H103" s="116"/>
      <c r="I103" s="116"/>
      <c r="J103" s="122"/>
      <c r="K103" s="126" t="str">
        <f t="shared" si="22"/>
        <v>-</v>
      </c>
      <c r="L103" s="38">
        <f t="shared" si="23"/>
        <v>0</v>
      </c>
      <c r="M103" s="39">
        <f t="shared" si="21"/>
        <v>0</v>
      </c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  <c r="AV103" s="40"/>
      <c r="AW103" s="40"/>
      <c r="AX103" s="40"/>
      <c r="AY103" s="40"/>
      <c r="AZ103" s="40"/>
      <c r="BA103" s="40"/>
      <c r="BB103" s="40"/>
      <c r="BC103" s="40"/>
      <c r="BD103" s="40"/>
      <c r="BE103" s="40"/>
      <c r="BF103" s="40"/>
      <c r="BG103" s="40"/>
      <c r="BH103" s="40"/>
      <c r="BI103" s="40"/>
      <c r="BJ103" s="40"/>
      <c r="BK103" s="40"/>
      <c r="BL103" s="40"/>
      <c r="BM103" s="40"/>
      <c r="BN103" s="40"/>
      <c r="BO103" s="40"/>
      <c r="BP103" s="40"/>
      <c r="BQ103" s="40"/>
      <c r="BR103" s="40"/>
      <c r="BS103" s="40"/>
      <c r="BT103" s="40"/>
      <c r="BU103" s="40"/>
      <c r="BV103" s="40"/>
      <c r="BW103" s="40"/>
      <c r="BX103" s="40"/>
      <c r="BY103" s="40"/>
      <c r="BZ103" s="40"/>
      <c r="CA103" s="40"/>
      <c r="CB103" s="40"/>
      <c r="CC103" s="40"/>
      <c r="CD103" s="40"/>
      <c r="CE103" s="40"/>
      <c r="CF103" s="40"/>
      <c r="CG103" s="40"/>
      <c r="CH103" s="40"/>
      <c r="CI103" s="40"/>
      <c r="CJ103" s="40"/>
      <c r="CK103" s="40"/>
      <c r="CL103" s="40"/>
      <c r="CM103" s="40"/>
      <c r="CN103" s="40"/>
      <c r="CO103" s="40"/>
      <c r="CP103" s="40"/>
      <c r="CQ103" s="40"/>
      <c r="CR103" s="40"/>
      <c r="CS103" s="40"/>
      <c r="CT103" s="40"/>
      <c r="CU103" s="40"/>
      <c r="CV103" s="40"/>
      <c r="CW103" s="40"/>
      <c r="CX103" s="40"/>
      <c r="CY103" s="40"/>
      <c r="CZ103" s="40"/>
      <c r="DA103" s="40"/>
      <c r="DB103" s="40"/>
      <c r="DC103" s="40"/>
      <c r="DD103" s="40"/>
      <c r="DE103" s="40"/>
      <c r="DF103" s="40"/>
      <c r="DG103" s="40"/>
      <c r="DH103" s="40"/>
      <c r="DI103" s="40"/>
      <c r="DJ103" s="40"/>
      <c r="DK103" s="40"/>
      <c r="DL103" s="40"/>
      <c r="DM103" s="46"/>
      <c r="DN103" s="47"/>
    </row>
    <row r="104" spans="5:118" hidden="1" x14ac:dyDescent="0.35">
      <c r="E104" s="111"/>
      <c r="F104" s="112"/>
      <c r="G104" s="112"/>
      <c r="H104" s="116"/>
      <c r="I104" s="116"/>
      <c r="J104" s="122"/>
      <c r="K104" s="126" t="str">
        <f t="shared" si="22"/>
        <v>-</v>
      </c>
      <c r="L104" s="38">
        <f t="shared" si="23"/>
        <v>0</v>
      </c>
      <c r="M104" s="39">
        <f t="shared" si="21"/>
        <v>0</v>
      </c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  <c r="AO104" s="40"/>
      <c r="AP104" s="40"/>
      <c r="AQ104" s="40"/>
      <c r="AR104" s="40"/>
      <c r="AS104" s="40"/>
      <c r="AT104" s="40"/>
      <c r="AU104" s="40"/>
      <c r="AV104" s="40"/>
      <c r="AW104" s="40"/>
      <c r="AX104" s="40"/>
      <c r="AY104" s="40"/>
      <c r="AZ104" s="40"/>
      <c r="BA104" s="40"/>
      <c r="BB104" s="40"/>
      <c r="BC104" s="40"/>
      <c r="BD104" s="40"/>
      <c r="BE104" s="40"/>
      <c r="BF104" s="40"/>
      <c r="BG104" s="40"/>
      <c r="BH104" s="40"/>
      <c r="BI104" s="40"/>
      <c r="BJ104" s="40"/>
      <c r="BK104" s="40"/>
      <c r="BL104" s="40"/>
      <c r="BM104" s="40"/>
      <c r="BN104" s="40"/>
      <c r="BO104" s="40"/>
      <c r="BP104" s="40"/>
      <c r="BQ104" s="40"/>
      <c r="BR104" s="40"/>
      <c r="BS104" s="40"/>
      <c r="BT104" s="40"/>
      <c r="BU104" s="40"/>
      <c r="BV104" s="40"/>
      <c r="BW104" s="40"/>
      <c r="BX104" s="40"/>
      <c r="BY104" s="40"/>
      <c r="BZ104" s="40"/>
      <c r="CA104" s="40"/>
      <c r="CB104" s="40"/>
      <c r="CC104" s="40"/>
      <c r="CD104" s="40"/>
      <c r="CE104" s="40"/>
      <c r="CF104" s="40"/>
      <c r="CG104" s="40"/>
      <c r="CH104" s="40"/>
      <c r="CI104" s="40"/>
      <c r="CJ104" s="40"/>
      <c r="CK104" s="40"/>
      <c r="CL104" s="40"/>
      <c r="CM104" s="40"/>
      <c r="CN104" s="40"/>
      <c r="CO104" s="40"/>
      <c r="CP104" s="40"/>
      <c r="CQ104" s="40"/>
      <c r="CR104" s="40"/>
      <c r="CS104" s="40"/>
      <c r="CT104" s="40"/>
      <c r="CU104" s="40"/>
      <c r="CV104" s="40"/>
      <c r="CW104" s="40"/>
      <c r="CX104" s="40"/>
      <c r="CY104" s="40"/>
      <c r="CZ104" s="40"/>
      <c r="DA104" s="40"/>
      <c r="DB104" s="40"/>
      <c r="DC104" s="40"/>
      <c r="DD104" s="40"/>
      <c r="DE104" s="40"/>
      <c r="DF104" s="40"/>
      <c r="DG104" s="40"/>
      <c r="DH104" s="40"/>
      <c r="DI104" s="40"/>
      <c r="DJ104" s="40"/>
      <c r="DK104" s="40"/>
      <c r="DL104" s="40"/>
      <c r="DM104" s="46"/>
      <c r="DN104" s="47"/>
    </row>
    <row r="105" spans="5:118" hidden="1" x14ac:dyDescent="0.35">
      <c r="E105" s="111"/>
      <c r="F105" s="112"/>
      <c r="G105" s="112"/>
      <c r="H105" s="116"/>
      <c r="I105" s="116"/>
      <c r="J105" s="122"/>
      <c r="K105" s="126" t="str">
        <f t="shared" si="22"/>
        <v>-</v>
      </c>
      <c r="L105" s="38">
        <f t="shared" si="23"/>
        <v>0</v>
      </c>
      <c r="M105" s="39">
        <f t="shared" si="21"/>
        <v>0</v>
      </c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  <c r="AO105" s="40"/>
      <c r="AP105" s="40"/>
      <c r="AQ105" s="40"/>
      <c r="AR105" s="40"/>
      <c r="AS105" s="40"/>
      <c r="AT105" s="40"/>
      <c r="AU105" s="40"/>
      <c r="AV105" s="40"/>
      <c r="AW105" s="40"/>
      <c r="AX105" s="40"/>
      <c r="AY105" s="40"/>
      <c r="AZ105" s="40"/>
      <c r="BA105" s="40"/>
      <c r="BB105" s="40"/>
      <c r="BC105" s="40"/>
      <c r="BD105" s="40"/>
      <c r="BE105" s="40"/>
      <c r="BF105" s="40"/>
      <c r="BG105" s="40"/>
      <c r="BH105" s="40"/>
      <c r="BI105" s="40"/>
      <c r="BJ105" s="40"/>
      <c r="BK105" s="40"/>
      <c r="BL105" s="40"/>
      <c r="BM105" s="40"/>
      <c r="BN105" s="40"/>
      <c r="BO105" s="40"/>
      <c r="BP105" s="40"/>
      <c r="BQ105" s="40"/>
      <c r="BR105" s="40"/>
      <c r="BS105" s="40"/>
      <c r="BT105" s="40"/>
      <c r="BU105" s="40"/>
      <c r="BV105" s="40"/>
      <c r="BW105" s="40"/>
      <c r="BX105" s="40"/>
      <c r="BY105" s="40"/>
      <c r="BZ105" s="40"/>
      <c r="CA105" s="40"/>
      <c r="CB105" s="40"/>
      <c r="CC105" s="40"/>
      <c r="CD105" s="40"/>
      <c r="CE105" s="40"/>
      <c r="CF105" s="40"/>
      <c r="CG105" s="40"/>
      <c r="CH105" s="40"/>
      <c r="CI105" s="40"/>
      <c r="CJ105" s="40"/>
      <c r="CK105" s="40"/>
      <c r="CL105" s="40"/>
      <c r="CM105" s="40"/>
      <c r="CN105" s="40"/>
      <c r="CO105" s="40"/>
      <c r="CP105" s="40"/>
      <c r="CQ105" s="40"/>
      <c r="CR105" s="40"/>
      <c r="CS105" s="40"/>
      <c r="CT105" s="40"/>
      <c r="CU105" s="40"/>
      <c r="CV105" s="40"/>
      <c r="CW105" s="40"/>
      <c r="CX105" s="40"/>
      <c r="CY105" s="40"/>
      <c r="CZ105" s="40"/>
      <c r="DA105" s="40"/>
      <c r="DB105" s="40"/>
      <c r="DC105" s="40"/>
      <c r="DD105" s="40"/>
      <c r="DE105" s="40"/>
      <c r="DF105" s="40"/>
      <c r="DG105" s="40"/>
      <c r="DH105" s="40"/>
      <c r="DI105" s="40"/>
      <c r="DJ105" s="40"/>
      <c r="DK105" s="40"/>
      <c r="DL105" s="40"/>
      <c r="DM105" s="46"/>
      <c r="DN105" s="47"/>
    </row>
    <row r="106" spans="5:118" hidden="1" x14ac:dyDescent="0.35">
      <c r="E106" s="111"/>
      <c r="F106" s="112"/>
      <c r="G106" s="112"/>
      <c r="H106" s="116"/>
      <c r="I106" s="116"/>
      <c r="J106" s="122"/>
      <c r="K106" s="126" t="str">
        <f t="shared" si="22"/>
        <v>-</v>
      </c>
      <c r="L106" s="38">
        <f t="shared" si="23"/>
        <v>0</v>
      </c>
      <c r="M106" s="39">
        <f t="shared" si="21"/>
        <v>0</v>
      </c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  <c r="AO106" s="40"/>
      <c r="AP106" s="40"/>
      <c r="AQ106" s="40"/>
      <c r="AR106" s="40"/>
      <c r="AS106" s="40"/>
      <c r="AT106" s="40"/>
      <c r="AU106" s="40"/>
      <c r="AV106" s="40"/>
      <c r="AW106" s="40"/>
      <c r="AX106" s="40"/>
      <c r="AY106" s="40"/>
      <c r="AZ106" s="40"/>
      <c r="BA106" s="40"/>
      <c r="BB106" s="40"/>
      <c r="BC106" s="40"/>
      <c r="BD106" s="40"/>
      <c r="BE106" s="40"/>
      <c r="BF106" s="40"/>
      <c r="BG106" s="40"/>
      <c r="BH106" s="40"/>
      <c r="BI106" s="40"/>
      <c r="BJ106" s="40"/>
      <c r="BK106" s="40"/>
      <c r="BL106" s="40"/>
      <c r="BM106" s="40"/>
      <c r="BN106" s="40"/>
      <c r="BO106" s="40"/>
      <c r="BP106" s="40"/>
      <c r="BQ106" s="40"/>
      <c r="BR106" s="40"/>
      <c r="BS106" s="40"/>
      <c r="BT106" s="40"/>
      <c r="BU106" s="40"/>
      <c r="BV106" s="40"/>
      <c r="BW106" s="40"/>
      <c r="BX106" s="40"/>
      <c r="BY106" s="40"/>
      <c r="BZ106" s="40"/>
      <c r="CA106" s="40"/>
      <c r="CB106" s="40"/>
      <c r="CC106" s="40"/>
      <c r="CD106" s="40"/>
      <c r="CE106" s="40"/>
      <c r="CF106" s="40"/>
      <c r="CG106" s="40"/>
      <c r="CH106" s="40"/>
      <c r="CI106" s="40"/>
      <c r="CJ106" s="40"/>
      <c r="CK106" s="40"/>
      <c r="CL106" s="40"/>
      <c r="CM106" s="40"/>
      <c r="CN106" s="40"/>
      <c r="CO106" s="40"/>
      <c r="CP106" s="40"/>
      <c r="CQ106" s="40"/>
      <c r="CR106" s="40"/>
      <c r="CS106" s="40"/>
      <c r="CT106" s="40"/>
      <c r="CU106" s="40"/>
      <c r="CV106" s="40"/>
      <c r="CW106" s="40"/>
      <c r="CX106" s="40"/>
      <c r="CY106" s="40"/>
      <c r="CZ106" s="40"/>
      <c r="DA106" s="40"/>
      <c r="DB106" s="40"/>
      <c r="DC106" s="40"/>
      <c r="DD106" s="40"/>
      <c r="DE106" s="40"/>
      <c r="DF106" s="40"/>
      <c r="DG106" s="40"/>
      <c r="DH106" s="40"/>
      <c r="DI106" s="40"/>
      <c r="DJ106" s="40"/>
      <c r="DK106" s="40"/>
      <c r="DL106" s="40"/>
      <c r="DM106" s="46"/>
      <c r="DN106" s="47"/>
    </row>
    <row r="107" spans="5:118" hidden="1" x14ac:dyDescent="0.35">
      <c r="E107" s="111"/>
      <c r="F107" s="112"/>
      <c r="G107" s="112"/>
      <c r="H107" s="116"/>
      <c r="I107" s="116"/>
      <c r="J107" s="122"/>
      <c r="K107" s="126" t="str">
        <f t="shared" si="22"/>
        <v>-</v>
      </c>
      <c r="L107" s="38">
        <f t="shared" si="23"/>
        <v>0</v>
      </c>
      <c r="M107" s="39">
        <f t="shared" si="21"/>
        <v>0</v>
      </c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  <c r="AO107" s="40"/>
      <c r="AP107" s="40"/>
      <c r="AQ107" s="40"/>
      <c r="AR107" s="40"/>
      <c r="AS107" s="40"/>
      <c r="AT107" s="40"/>
      <c r="AU107" s="40"/>
      <c r="AV107" s="40"/>
      <c r="AW107" s="40"/>
      <c r="AX107" s="40"/>
      <c r="AY107" s="40"/>
      <c r="AZ107" s="40"/>
      <c r="BA107" s="40"/>
      <c r="BB107" s="40"/>
      <c r="BC107" s="40"/>
      <c r="BD107" s="40"/>
      <c r="BE107" s="40"/>
      <c r="BF107" s="40"/>
      <c r="BG107" s="40"/>
      <c r="BH107" s="40"/>
      <c r="BI107" s="40"/>
      <c r="BJ107" s="40"/>
      <c r="BK107" s="40"/>
      <c r="BL107" s="40"/>
      <c r="BM107" s="40"/>
      <c r="BN107" s="40"/>
      <c r="BO107" s="40"/>
      <c r="BP107" s="40"/>
      <c r="BQ107" s="40"/>
      <c r="BR107" s="40"/>
      <c r="BS107" s="40"/>
      <c r="BT107" s="40"/>
      <c r="BU107" s="40"/>
      <c r="BV107" s="40"/>
      <c r="BW107" s="40"/>
      <c r="BX107" s="40"/>
      <c r="BY107" s="40"/>
      <c r="BZ107" s="40"/>
      <c r="CA107" s="40"/>
      <c r="CB107" s="40"/>
      <c r="CC107" s="40"/>
      <c r="CD107" s="40"/>
      <c r="CE107" s="40"/>
      <c r="CF107" s="40"/>
      <c r="CG107" s="40"/>
      <c r="CH107" s="40"/>
      <c r="CI107" s="40"/>
      <c r="CJ107" s="40"/>
      <c r="CK107" s="40"/>
      <c r="CL107" s="40"/>
      <c r="CM107" s="40"/>
      <c r="CN107" s="40"/>
      <c r="CO107" s="40"/>
      <c r="CP107" s="40"/>
      <c r="CQ107" s="40"/>
      <c r="CR107" s="40"/>
      <c r="CS107" s="40"/>
      <c r="CT107" s="40"/>
      <c r="CU107" s="40"/>
      <c r="CV107" s="40"/>
      <c r="CW107" s="40"/>
      <c r="CX107" s="40"/>
      <c r="CY107" s="40"/>
      <c r="CZ107" s="40"/>
      <c r="DA107" s="40"/>
      <c r="DB107" s="40"/>
      <c r="DC107" s="40"/>
      <c r="DD107" s="40"/>
      <c r="DE107" s="40"/>
      <c r="DF107" s="40"/>
      <c r="DG107" s="40"/>
      <c r="DH107" s="40"/>
      <c r="DI107" s="40"/>
      <c r="DJ107" s="40"/>
      <c r="DK107" s="40"/>
      <c r="DL107" s="40"/>
      <c r="DM107" s="46"/>
      <c r="DN107" s="47"/>
    </row>
    <row r="108" spans="5:118" hidden="1" x14ac:dyDescent="0.35">
      <c r="E108" s="111"/>
      <c r="F108" s="112"/>
      <c r="G108" s="112"/>
      <c r="H108" s="116"/>
      <c r="I108" s="116"/>
      <c r="J108" s="122"/>
      <c r="K108" s="126" t="str">
        <f t="shared" si="22"/>
        <v>-</v>
      </c>
      <c r="L108" s="38">
        <f t="shared" si="23"/>
        <v>0</v>
      </c>
      <c r="M108" s="39">
        <f t="shared" si="21"/>
        <v>0</v>
      </c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40"/>
      <c r="Y108" s="40"/>
      <c r="Z108" s="40"/>
      <c r="AA108" s="40"/>
      <c r="AB108" s="40"/>
      <c r="AC108" s="40"/>
      <c r="AD108" s="40"/>
      <c r="AE108" s="40"/>
      <c r="AF108" s="40"/>
      <c r="AG108" s="40"/>
      <c r="AH108" s="40"/>
      <c r="AI108" s="40"/>
      <c r="AJ108" s="40"/>
      <c r="AK108" s="40"/>
      <c r="AL108" s="40"/>
      <c r="AM108" s="40"/>
      <c r="AN108" s="40"/>
      <c r="AO108" s="40"/>
      <c r="AP108" s="40"/>
      <c r="AQ108" s="40"/>
      <c r="AR108" s="40"/>
      <c r="AS108" s="40"/>
      <c r="AT108" s="40"/>
      <c r="AU108" s="40"/>
      <c r="AV108" s="40"/>
      <c r="AW108" s="40"/>
      <c r="AX108" s="40"/>
      <c r="AY108" s="40"/>
      <c r="AZ108" s="40"/>
      <c r="BA108" s="40"/>
      <c r="BB108" s="40"/>
      <c r="BC108" s="40"/>
      <c r="BD108" s="40"/>
      <c r="BE108" s="40"/>
      <c r="BF108" s="40"/>
      <c r="BG108" s="40"/>
      <c r="BH108" s="40"/>
      <c r="BI108" s="40"/>
      <c r="BJ108" s="40"/>
      <c r="BK108" s="40"/>
      <c r="BL108" s="40"/>
      <c r="BM108" s="40"/>
      <c r="BN108" s="40"/>
      <c r="BO108" s="40"/>
      <c r="BP108" s="40"/>
      <c r="BQ108" s="40"/>
      <c r="BR108" s="40"/>
      <c r="BS108" s="40"/>
      <c r="BT108" s="40"/>
      <c r="BU108" s="40"/>
      <c r="BV108" s="40"/>
      <c r="BW108" s="40"/>
      <c r="BX108" s="40"/>
      <c r="BY108" s="40"/>
      <c r="BZ108" s="40"/>
      <c r="CA108" s="40"/>
      <c r="CB108" s="40"/>
      <c r="CC108" s="40"/>
      <c r="CD108" s="40"/>
      <c r="CE108" s="40"/>
      <c r="CF108" s="40"/>
      <c r="CG108" s="40"/>
      <c r="CH108" s="40"/>
      <c r="CI108" s="40"/>
      <c r="CJ108" s="40"/>
      <c r="CK108" s="40"/>
      <c r="CL108" s="40"/>
      <c r="CM108" s="40"/>
      <c r="CN108" s="40"/>
      <c r="CO108" s="40"/>
      <c r="CP108" s="40"/>
      <c r="CQ108" s="40"/>
      <c r="CR108" s="40"/>
      <c r="CS108" s="40"/>
      <c r="CT108" s="40"/>
      <c r="CU108" s="40"/>
      <c r="CV108" s="40"/>
      <c r="CW108" s="40"/>
      <c r="CX108" s="40"/>
      <c r="CY108" s="40"/>
      <c r="CZ108" s="40"/>
      <c r="DA108" s="40"/>
      <c r="DB108" s="40"/>
      <c r="DC108" s="40"/>
      <c r="DD108" s="40"/>
      <c r="DE108" s="40"/>
      <c r="DF108" s="40"/>
      <c r="DG108" s="40"/>
      <c r="DH108" s="40"/>
      <c r="DI108" s="40"/>
      <c r="DJ108" s="40"/>
      <c r="DK108" s="40"/>
      <c r="DL108" s="40"/>
      <c r="DM108" s="46"/>
      <c r="DN108" s="47"/>
    </row>
    <row r="109" spans="5:118" hidden="1" x14ac:dyDescent="0.35">
      <c r="E109" s="111"/>
      <c r="F109" s="112"/>
      <c r="G109" s="112"/>
      <c r="H109" s="116"/>
      <c r="I109" s="116"/>
      <c r="J109" s="122"/>
      <c r="K109" s="126" t="str">
        <f t="shared" si="22"/>
        <v>-</v>
      </c>
      <c r="L109" s="38">
        <f t="shared" si="23"/>
        <v>0</v>
      </c>
      <c r="M109" s="39">
        <f t="shared" si="21"/>
        <v>0</v>
      </c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  <c r="AF109" s="40"/>
      <c r="AG109" s="40"/>
      <c r="AH109" s="40"/>
      <c r="AI109" s="40"/>
      <c r="AJ109" s="40"/>
      <c r="AK109" s="40"/>
      <c r="AL109" s="40"/>
      <c r="AM109" s="40"/>
      <c r="AN109" s="40"/>
      <c r="AO109" s="40"/>
      <c r="AP109" s="40"/>
      <c r="AQ109" s="40"/>
      <c r="AR109" s="40"/>
      <c r="AS109" s="40"/>
      <c r="AT109" s="40"/>
      <c r="AU109" s="40"/>
      <c r="AV109" s="40"/>
      <c r="AW109" s="40"/>
      <c r="AX109" s="40"/>
      <c r="AY109" s="40"/>
      <c r="AZ109" s="40"/>
      <c r="BA109" s="40"/>
      <c r="BB109" s="40"/>
      <c r="BC109" s="40"/>
      <c r="BD109" s="40"/>
      <c r="BE109" s="40"/>
      <c r="BF109" s="40"/>
      <c r="BG109" s="40"/>
      <c r="BH109" s="40"/>
      <c r="BI109" s="40"/>
      <c r="BJ109" s="40"/>
      <c r="BK109" s="40"/>
      <c r="BL109" s="40"/>
      <c r="BM109" s="40"/>
      <c r="BN109" s="40"/>
      <c r="BO109" s="40"/>
      <c r="BP109" s="40"/>
      <c r="BQ109" s="40"/>
      <c r="BR109" s="40"/>
      <c r="BS109" s="40"/>
      <c r="BT109" s="40"/>
      <c r="BU109" s="40"/>
      <c r="BV109" s="40"/>
      <c r="BW109" s="40"/>
      <c r="BX109" s="40"/>
      <c r="BY109" s="40"/>
      <c r="BZ109" s="40"/>
      <c r="CA109" s="40"/>
      <c r="CB109" s="40"/>
      <c r="CC109" s="40"/>
      <c r="CD109" s="40"/>
      <c r="CE109" s="40"/>
      <c r="CF109" s="40"/>
      <c r="CG109" s="40"/>
      <c r="CH109" s="40"/>
      <c r="CI109" s="40"/>
      <c r="CJ109" s="40"/>
      <c r="CK109" s="40"/>
      <c r="CL109" s="40"/>
      <c r="CM109" s="40"/>
      <c r="CN109" s="40"/>
      <c r="CO109" s="40"/>
      <c r="CP109" s="40"/>
      <c r="CQ109" s="40"/>
      <c r="CR109" s="40"/>
      <c r="CS109" s="40"/>
      <c r="CT109" s="40"/>
      <c r="CU109" s="40"/>
      <c r="CV109" s="40"/>
      <c r="CW109" s="40"/>
      <c r="CX109" s="40"/>
      <c r="CY109" s="40"/>
      <c r="CZ109" s="40"/>
      <c r="DA109" s="40"/>
      <c r="DB109" s="40"/>
      <c r="DC109" s="40"/>
      <c r="DD109" s="40"/>
      <c r="DE109" s="40"/>
      <c r="DF109" s="40"/>
      <c r="DG109" s="40"/>
      <c r="DH109" s="40"/>
      <c r="DI109" s="40"/>
      <c r="DJ109" s="40"/>
      <c r="DK109" s="40"/>
      <c r="DL109" s="40"/>
      <c r="DM109" s="46"/>
      <c r="DN109" s="47"/>
    </row>
    <row r="110" spans="5:118" hidden="1" x14ac:dyDescent="0.35">
      <c r="E110" s="111"/>
      <c r="F110" s="112"/>
      <c r="G110" s="112"/>
      <c r="H110" s="116"/>
      <c r="I110" s="116"/>
      <c r="J110" s="122"/>
      <c r="K110" s="126" t="str">
        <f t="shared" si="22"/>
        <v>-</v>
      </c>
      <c r="L110" s="38">
        <f t="shared" si="23"/>
        <v>0</v>
      </c>
      <c r="M110" s="39">
        <f t="shared" si="21"/>
        <v>0</v>
      </c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  <c r="AF110" s="40"/>
      <c r="AG110" s="40"/>
      <c r="AH110" s="40"/>
      <c r="AI110" s="40"/>
      <c r="AJ110" s="40"/>
      <c r="AK110" s="40"/>
      <c r="AL110" s="40"/>
      <c r="AM110" s="40"/>
      <c r="AN110" s="40"/>
      <c r="AO110" s="40"/>
      <c r="AP110" s="40"/>
      <c r="AQ110" s="40"/>
      <c r="AR110" s="40"/>
      <c r="AS110" s="40"/>
      <c r="AT110" s="40"/>
      <c r="AU110" s="40"/>
      <c r="AV110" s="40"/>
      <c r="AW110" s="40"/>
      <c r="AX110" s="40"/>
      <c r="AY110" s="40"/>
      <c r="AZ110" s="40"/>
      <c r="BA110" s="40"/>
      <c r="BB110" s="40"/>
      <c r="BC110" s="40"/>
      <c r="BD110" s="40"/>
      <c r="BE110" s="40"/>
      <c r="BF110" s="40"/>
      <c r="BG110" s="40"/>
      <c r="BH110" s="40"/>
      <c r="BI110" s="40"/>
      <c r="BJ110" s="40"/>
      <c r="BK110" s="40"/>
      <c r="BL110" s="40"/>
      <c r="BM110" s="40"/>
      <c r="BN110" s="40"/>
      <c r="BO110" s="40"/>
      <c r="BP110" s="40"/>
      <c r="BQ110" s="40"/>
      <c r="BR110" s="40"/>
      <c r="BS110" s="40"/>
      <c r="BT110" s="40"/>
      <c r="BU110" s="40"/>
      <c r="BV110" s="40"/>
      <c r="BW110" s="40"/>
      <c r="BX110" s="40"/>
      <c r="BY110" s="40"/>
      <c r="BZ110" s="40"/>
      <c r="CA110" s="40"/>
      <c r="CB110" s="40"/>
      <c r="CC110" s="40"/>
      <c r="CD110" s="40"/>
      <c r="CE110" s="40"/>
      <c r="CF110" s="40"/>
      <c r="CG110" s="40"/>
      <c r="CH110" s="40"/>
      <c r="CI110" s="40"/>
      <c r="CJ110" s="40"/>
      <c r="CK110" s="40"/>
      <c r="CL110" s="40"/>
      <c r="CM110" s="40"/>
      <c r="CN110" s="40"/>
      <c r="CO110" s="40"/>
      <c r="CP110" s="40"/>
      <c r="CQ110" s="40"/>
      <c r="CR110" s="40"/>
      <c r="CS110" s="40"/>
      <c r="CT110" s="40"/>
      <c r="CU110" s="40"/>
      <c r="CV110" s="40"/>
      <c r="CW110" s="40"/>
      <c r="CX110" s="40"/>
      <c r="CY110" s="40"/>
      <c r="CZ110" s="40"/>
      <c r="DA110" s="40"/>
      <c r="DB110" s="40"/>
      <c r="DC110" s="40"/>
      <c r="DD110" s="40"/>
      <c r="DE110" s="40"/>
      <c r="DF110" s="40"/>
      <c r="DG110" s="40"/>
      <c r="DH110" s="40"/>
      <c r="DI110" s="40"/>
      <c r="DJ110" s="40"/>
      <c r="DK110" s="40"/>
      <c r="DL110" s="40"/>
      <c r="DM110" s="46"/>
      <c r="DN110" s="47"/>
    </row>
    <row r="111" spans="5:118" hidden="1" x14ac:dyDescent="0.35">
      <c r="E111" s="111"/>
      <c r="F111" s="112"/>
      <c r="G111" s="112"/>
      <c r="H111" s="116"/>
      <c r="I111" s="116"/>
      <c r="J111" s="122"/>
      <c r="K111" s="126" t="str">
        <f t="shared" si="22"/>
        <v>-</v>
      </c>
      <c r="L111" s="38">
        <f t="shared" si="23"/>
        <v>0</v>
      </c>
      <c r="M111" s="39">
        <f t="shared" si="21"/>
        <v>0</v>
      </c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  <c r="AH111" s="40"/>
      <c r="AI111" s="40"/>
      <c r="AJ111" s="40"/>
      <c r="AK111" s="40"/>
      <c r="AL111" s="40"/>
      <c r="AM111" s="40"/>
      <c r="AN111" s="40"/>
      <c r="AO111" s="40"/>
      <c r="AP111" s="40"/>
      <c r="AQ111" s="40"/>
      <c r="AR111" s="40"/>
      <c r="AS111" s="40"/>
      <c r="AT111" s="40"/>
      <c r="AU111" s="40"/>
      <c r="AV111" s="40"/>
      <c r="AW111" s="40"/>
      <c r="AX111" s="40"/>
      <c r="AY111" s="40"/>
      <c r="AZ111" s="40"/>
      <c r="BA111" s="40"/>
      <c r="BB111" s="40"/>
      <c r="BC111" s="40"/>
      <c r="BD111" s="40"/>
      <c r="BE111" s="40"/>
      <c r="BF111" s="40"/>
      <c r="BG111" s="40"/>
      <c r="BH111" s="40"/>
      <c r="BI111" s="40"/>
      <c r="BJ111" s="40"/>
      <c r="BK111" s="40"/>
      <c r="BL111" s="40"/>
      <c r="BM111" s="40"/>
      <c r="BN111" s="40"/>
      <c r="BO111" s="40"/>
      <c r="BP111" s="40"/>
      <c r="BQ111" s="40"/>
      <c r="BR111" s="40"/>
      <c r="BS111" s="40"/>
      <c r="BT111" s="40"/>
      <c r="BU111" s="40"/>
      <c r="BV111" s="40"/>
      <c r="BW111" s="40"/>
      <c r="BX111" s="40"/>
      <c r="BY111" s="40"/>
      <c r="BZ111" s="40"/>
      <c r="CA111" s="40"/>
      <c r="CB111" s="40"/>
      <c r="CC111" s="40"/>
      <c r="CD111" s="40"/>
      <c r="CE111" s="40"/>
      <c r="CF111" s="40"/>
      <c r="CG111" s="40"/>
      <c r="CH111" s="40"/>
      <c r="CI111" s="40"/>
      <c r="CJ111" s="40"/>
      <c r="CK111" s="40"/>
      <c r="CL111" s="40"/>
      <c r="CM111" s="40"/>
      <c r="CN111" s="40"/>
      <c r="CO111" s="40"/>
      <c r="CP111" s="40"/>
      <c r="CQ111" s="40"/>
      <c r="CR111" s="40"/>
      <c r="CS111" s="40"/>
      <c r="CT111" s="40"/>
      <c r="CU111" s="40"/>
      <c r="CV111" s="40"/>
      <c r="CW111" s="40"/>
      <c r="CX111" s="40"/>
      <c r="CY111" s="40"/>
      <c r="CZ111" s="40"/>
      <c r="DA111" s="40"/>
      <c r="DB111" s="40"/>
      <c r="DC111" s="40"/>
      <c r="DD111" s="40"/>
      <c r="DE111" s="40"/>
      <c r="DF111" s="40"/>
      <c r="DG111" s="40"/>
      <c r="DH111" s="40"/>
      <c r="DI111" s="40"/>
      <c r="DJ111" s="40"/>
      <c r="DK111" s="40"/>
      <c r="DL111" s="40"/>
      <c r="DM111" s="46"/>
      <c r="DN111" s="47"/>
    </row>
    <row r="112" spans="5:118" hidden="1" x14ac:dyDescent="0.35">
      <c r="E112" s="111"/>
      <c r="F112" s="112"/>
      <c r="G112" s="112"/>
      <c r="H112" s="116"/>
      <c r="I112" s="116"/>
      <c r="J112" s="122"/>
      <c r="K112" s="126" t="str">
        <f t="shared" si="22"/>
        <v>-</v>
      </c>
      <c r="L112" s="38">
        <f t="shared" si="23"/>
        <v>0</v>
      </c>
      <c r="M112" s="39">
        <f t="shared" si="21"/>
        <v>0</v>
      </c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  <c r="AF112" s="40"/>
      <c r="AG112" s="40"/>
      <c r="AH112" s="40"/>
      <c r="AI112" s="40"/>
      <c r="AJ112" s="40"/>
      <c r="AK112" s="40"/>
      <c r="AL112" s="40"/>
      <c r="AM112" s="40"/>
      <c r="AN112" s="40"/>
      <c r="AO112" s="40"/>
      <c r="AP112" s="40"/>
      <c r="AQ112" s="40"/>
      <c r="AR112" s="40"/>
      <c r="AS112" s="40"/>
      <c r="AT112" s="40"/>
      <c r="AU112" s="40"/>
      <c r="AV112" s="40"/>
      <c r="AW112" s="40"/>
      <c r="AX112" s="40"/>
      <c r="AY112" s="40"/>
      <c r="AZ112" s="40"/>
      <c r="BA112" s="40"/>
      <c r="BB112" s="40"/>
      <c r="BC112" s="40"/>
      <c r="BD112" s="40"/>
      <c r="BE112" s="40"/>
      <c r="BF112" s="40"/>
      <c r="BG112" s="40"/>
      <c r="BH112" s="40"/>
      <c r="BI112" s="40"/>
      <c r="BJ112" s="40"/>
      <c r="BK112" s="40"/>
      <c r="BL112" s="40"/>
      <c r="BM112" s="40"/>
      <c r="BN112" s="40"/>
      <c r="BO112" s="40"/>
      <c r="BP112" s="40"/>
      <c r="BQ112" s="40"/>
      <c r="BR112" s="40"/>
      <c r="BS112" s="40"/>
      <c r="BT112" s="40"/>
      <c r="BU112" s="40"/>
      <c r="BV112" s="40"/>
      <c r="BW112" s="40"/>
      <c r="BX112" s="40"/>
      <c r="BY112" s="40"/>
      <c r="BZ112" s="40"/>
      <c r="CA112" s="40"/>
      <c r="CB112" s="40"/>
      <c r="CC112" s="40"/>
      <c r="CD112" s="40"/>
      <c r="CE112" s="40"/>
      <c r="CF112" s="40"/>
      <c r="CG112" s="40"/>
      <c r="CH112" s="40"/>
      <c r="CI112" s="40"/>
      <c r="CJ112" s="40"/>
      <c r="CK112" s="40"/>
      <c r="CL112" s="40"/>
      <c r="CM112" s="40"/>
      <c r="CN112" s="40"/>
      <c r="CO112" s="40"/>
      <c r="CP112" s="40"/>
      <c r="CQ112" s="40"/>
      <c r="CR112" s="40"/>
      <c r="CS112" s="40"/>
      <c r="CT112" s="40"/>
      <c r="CU112" s="40"/>
      <c r="CV112" s="40"/>
      <c r="CW112" s="40"/>
      <c r="CX112" s="40"/>
      <c r="CY112" s="40"/>
      <c r="CZ112" s="40"/>
      <c r="DA112" s="40"/>
      <c r="DB112" s="40"/>
      <c r="DC112" s="40"/>
      <c r="DD112" s="40"/>
      <c r="DE112" s="40"/>
      <c r="DF112" s="40"/>
      <c r="DG112" s="40"/>
      <c r="DH112" s="40"/>
      <c r="DI112" s="40"/>
      <c r="DJ112" s="40"/>
      <c r="DK112" s="40"/>
      <c r="DL112" s="40"/>
      <c r="DM112" s="46"/>
      <c r="DN112" s="47"/>
    </row>
    <row r="113" spans="5:118" hidden="1" x14ac:dyDescent="0.35">
      <c r="E113" s="111"/>
      <c r="F113" s="112"/>
      <c r="G113" s="112"/>
      <c r="H113" s="116"/>
      <c r="I113" s="116"/>
      <c r="J113" s="122"/>
      <c r="K113" s="126" t="str">
        <f t="shared" si="22"/>
        <v>-</v>
      </c>
      <c r="L113" s="38">
        <f t="shared" si="23"/>
        <v>0</v>
      </c>
      <c r="M113" s="39">
        <f t="shared" si="21"/>
        <v>0</v>
      </c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40"/>
      <c r="AR113" s="40"/>
      <c r="AS113" s="40"/>
      <c r="AT113" s="40"/>
      <c r="AU113" s="40"/>
      <c r="AV113" s="40"/>
      <c r="AW113" s="40"/>
      <c r="AX113" s="40"/>
      <c r="AY113" s="40"/>
      <c r="AZ113" s="40"/>
      <c r="BA113" s="40"/>
      <c r="BB113" s="40"/>
      <c r="BC113" s="40"/>
      <c r="BD113" s="40"/>
      <c r="BE113" s="40"/>
      <c r="BF113" s="40"/>
      <c r="BG113" s="40"/>
      <c r="BH113" s="40"/>
      <c r="BI113" s="40"/>
      <c r="BJ113" s="40"/>
      <c r="BK113" s="40"/>
      <c r="BL113" s="40"/>
      <c r="BM113" s="40"/>
      <c r="BN113" s="40"/>
      <c r="BO113" s="40"/>
      <c r="BP113" s="40"/>
      <c r="BQ113" s="40"/>
      <c r="BR113" s="40"/>
      <c r="BS113" s="40"/>
      <c r="BT113" s="40"/>
      <c r="BU113" s="40"/>
      <c r="BV113" s="40"/>
      <c r="BW113" s="40"/>
      <c r="BX113" s="40"/>
      <c r="BY113" s="40"/>
      <c r="BZ113" s="40"/>
      <c r="CA113" s="40"/>
      <c r="CB113" s="40"/>
      <c r="CC113" s="40"/>
      <c r="CD113" s="40"/>
      <c r="CE113" s="40"/>
      <c r="CF113" s="40"/>
      <c r="CG113" s="40"/>
      <c r="CH113" s="40"/>
      <c r="CI113" s="40"/>
      <c r="CJ113" s="40"/>
      <c r="CK113" s="40"/>
      <c r="CL113" s="40"/>
      <c r="CM113" s="40"/>
      <c r="CN113" s="40"/>
      <c r="CO113" s="40"/>
      <c r="CP113" s="40"/>
      <c r="CQ113" s="40"/>
      <c r="CR113" s="40"/>
      <c r="CS113" s="40"/>
      <c r="CT113" s="40"/>
      <c r="CU113" s="40"/>
      <c r="CV113" s="40"/>
      <c r="CW113" s="40"/>
      <c r="CX113" s="40"/>
      <c r="CY113" s="40"/>
      <c r="CZ113" s="40"/>
      <c r="DA113" s="40"/>
      <c r="DB113" s="40"/>
      <c r="DC113" s="40"/>
      <c r="DD113" s="40"/>
      <c r="DE113" s="40"/>
      <c r="DF113" s="40"/>
      <c r="DG113" s="40"/>
      <c r="DH113" s="40"/>
      <c r="DI113" s="40"/>
      <c r="DJ113" s="40"/>
      <c r="DK113" s="40"/>
      <c r="DL113" s="40"/>
      <c r="DM113" s="46"/>
      <c r="DN113" s="47"/>
    </row>
    <row r="114" spans="5:118" hidden="1" x14ac:dyDescent="0.35">
      <c r="E114" s="111"/>
      <c r="F114" s="112"/>
      <c r="G114" s="112"/>
      <c r="H114" s="116"/>
      <c r="I114" s="116"/>
      <c r="J114" s="122"/>
      <c r="K114" s="126" t="str">
        <f t="shared" si="22"/>
        <v>-</v>
      </c>
      <c r="L114" s="38">
        <f t="shared" si="23"/>
        <v>0</v>
      </c>
      <c r="M114" s="39">
        <f t="shared" si="21"/>
        <v>0</v>
      </c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0"/>
      <c r="AJ114" s="40"/>
      <c r="AK114" s="40"/>
      <c r="AL114" s="40"/>
      <c r="AM114" s="40"/>
      <c r="AN114" s="40"/>
      <c r="AO114" s="40"/>
      <c r="AP114" s="40"/>
      <c r="AQ114" s="40"/>
      <c r="AR114" s="40"/>
      <c r="AS114" s="40"/>
      <c r="AT114" s="40"/>
      <c r="AU114" s="40"/>
      <c r="AV114" s="40"/>
      <c r="AW114" s="40"/>
      <c r="AX114" s="40"/>
      <c r="AY114" s="40"/>
      <c r="AZ114" s="40"/>
      <c r="BA114" s="40"/>
      <c r="BB114" s="40"/>
      <c r="BC114" s="40"/>
      <c r="BD114" s="40"/>
      <c r="BE114" s="40"/>
      <c r="BF114" s="40"/>
      <c r="BG114" s="40"/>
      <c r="BH114" s="40"/>
      <c r="BI114" s="40"/>
      <c r="BJ114" s="40"/>
      <c r="BK114" s="40"/>
      <c r="BL114" s="40"/>
      <c r="BM114" s="40"/>
      <c r="BN114" s="40"/>
      <c r="BO114" s="40"/>
      <c r="BP114" s="40"/>
      <c r="BQ114" s="40"/>
      <c r="BR114" s="40"/>
      <c r="BS114" s="40"/>
      <c r="BT114" s="40"/>
      <c r="BU114" s="40"/>
      <c r="BV114" s="40"/>
      <c r="BW114" s="40"/>
      <c r="BX114" s="40"/>
      <c r="BY114" s="40"/>
      <c r="BZ114" s="40"/>
      <c r="CA114" s="40"/>
      <c r="CB114" s="40"/>
      <c r="CC114" s="40"/>
      <c r="CD114" s="40"/>
      <c r="CE114" s="40"/>
      <c r="CF114" s="40"/>
      <c r="CG114" s="40"/>
      <c r="CH114" s="40"/>
      <c r="CI114" s="40"/>
      <c r="CJ114" s="40"/>
      <c r="CK114" s="40"/>
      <c r="CL114" s="40"/>
      <c r="CM114" s="40"/>
      <c r="CN114" s="40"/>
      <c r="CO114" s="40"/>
      <c r="CP114" s="40"/>
      <c r="CQ114" s="40"/>
      <c r="CR114" s="40"/>
      <c r="CS114" s="40"/>
      <c r="CT114" s="40"/>
      <c r="CU114" s="40"/>
      <c r="CV114" s="40"/>
      <c r="CW114" s="40"/>
      <c r="CX114" s="40"/>
      <c r="CY114" s="40"/>
      <c r="CZ114" s="40"/>
      <c r="DA114" s="40"/>
      <c r="DB114" s="40"/>
      <c r="DC114" s="40"/>
      <c r="DD114" s="40"/>
      <c r="DE114" s="40"/>
      <c r="DF114" s="40"/>
      <c r="DG114" s="40"/>
      <c r="DH114" s="40"/>
      <c r="DI114" s="40"/>
      <c r="DJ114" s="40"/>
      <c r="DK114" s="40"/>
      <c r="DL114" s="40"/>
      <c r="DM114" s="46"/>
      <c r="DN114" s="47"/>
    </row>
    <row r="115" spans="5:118" hidden="1" x14ac:dyDescent="0.35">
      <c r="E115" s="111"/>
      <c r="F115" s="112"/>
      <c r="G115" s="112"/>
      <c r="H115" s="116"/>
      <c r="I115" s="116"/>
      <c r="J115" s="122"/>
      <c r="K115" s="126" t="str">
        <f t="shared" si="22"/>
        <v>-</v>
      </c>
      <c r="L115" s="38">
        <f t="shared" si="23"/>
        <v>0</v>
      </c>
      <c r="M115" s="39">
        <f t="shared" si="21"/>
        <v>0</v>
      </c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  <c r="AF115" s="40"/>
      <c r="AG115" s="40"/>
      <c r="AH115" s="40"/>
      <c r="AI115" s="40"/>
      <c r="AJ115" s="40"/>
      <c r="AK115" s="40"/>
      <c r="AL115" s="40"/>
      <c r="AM115" s="40"/>
      <c r="AN115" s="40"/>
      <c r="AO115" s="40"/>
      <c r="AP115" s="40"/>
      <c r="AQ115" s="40"/>
      <c r="AR115" s="40"/>
      <c r="AS115" s="40"/>
      <c r="AT115" s="40"/>
      <c r="AU115" s="40"/>
      <c r="AV115" s="40"/>
      <c r="AW115" s="40"/>
      <c r="AX115" s="40"/>
      <c r="AY115" s="40"/>
      <c r="AZ115" s="40"/>
      <c r="BA115" s="40"/>
      <c r="BB115" s="40"/>
      <c r="BC115" s="40"/>
      <c r="BD115" s="40"/>
      <c r="BE115" s="40"/>
      <c r="BF115" s="40"/>
      <c r="BG115" s="40"/>
      <c r="BH115" s="40"/>
      <c r="BI115" s="40"/>
      <c r="BJ115" s="40"/>
      <c r="BK115" s="40"/>
      <c r="BL115" s="40"/>
      <c r="BM115" s="40"/>
      <c r="BN115" s="40"/>
      <c r="BO115" s="40"/>
      <c r="BP115" s="40"/>
      <c r="BQ115" s="40"/>
      <c r="BR115" s="40"/>
      <c r="BS115" s="40"/>
      <c r="BT115" s="40"/>
      <c r="BU115" s="40"/>
      <c r="BV115" s="40"/>
      <c r="BW115" s="40"/>
      <c r="BX115" s="40"/>
      <c r="BY115" s="40"/>
      <c r="BZ115" s="40"/>
      <c r="CA115" s="40"/>
      <c r="CB115" s="40"/>
      <c r="CC115" s="40"/>
      <c r="CD115" s="40"/>
      <c r="CE115" s="40"/>
      <c r="CF115" s="40"/>
      <c r="CG115" s="40"/>
      <c r="CH115" s="40"/>
      <c r="CI115" s="40"/>
      <c r="CJ115" s="40"/>
      <c r="CK115" s="40"/>
      <c r="CL115" s="40"/>
      <c r="CM115" s="40"/>
      <c r="CN115" s="40"/>
      <c r="CO115" s="40"/>
      <c r="CP115" s="40"/>
      <c r="CQ115" s="40"/>
      <c r="CR115" s="40"/>
      <c r="CS115" s="40"/>
      <c r="CT115" s="40"/>
      <c r="CU115" s="40"/>
      <c r="CV115" s="40"/>
      <c r="CW115" s="40"/>
      <c r="CX115" s="40"/>
      <c r="CY115" s="40"/>
      <c r="CZ115" s="40"/>
      <c r="DA115" s="40"/>
      <c r="DB115" s="40"/>
      <c r="DC115" s="40"/>
      <c r="DD115" s="40"/>
      <c r="DE115" s="40"/>
      <c r="DF115" s="40"/>
      <c r="DG115" s="40"/>
      <c r="DH115" s="40"/>
      <c r="DI115" s="40"/>
      <c r="DJ115" s="40"/>
      <c r="DK115" s="40"/>
      <c r="DL115" s="40"/>
      <c r="DM115" s="46"/>
      <c r="DN115" s="47"/>
    </row>
    <row r="116" spans="5:118" hidden="1" x14ac:dyDescent="0.35">
      <c r="E116" s="111"/>
      <c r="F116" s="112"/>
      <c r="G116" s="112"/>
      <c r="H116" s="116"/>
      <c r="I116" s="116"/>
      <c r="J116" s="122"/>
      <c r="K116" s="126" t="str">
        <f t="shared" si="22"/>
        <v>-</v>
      </c>
      <c r="L116" s="38">
        <f t="shared" si="23"/>
        <v>0</v>
      </c>
      <c r="M116" s="39">
        <f t="shared" si="21"/>
        <v>0</v>
      </c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  <c r="AJ116" s="40"/>
      <c r="AK116" s="40"/>
      <c r="AL116" s="40"/>
      <c r="AM116" s="40"/>
      <c r="AN116" s="40"/>
      <c r="AO116" s="40"/>
      <c r="AP116" s="40"/>
      <c r="AQ116" s="40"/>
      <c r="AR116" s="40"/>
      <c r="AS116" s="40"/>
      <c r="AT116" s="40"/>
      <c r="AU116" s="40"/>
      <c r="AV116" s="40"/>
      <c r="AW116" s="40"/>
      <c r="AX116" s="40"/>
      <c r="AY116" s="40"/>
      <c r="AZ116" s="40"/>
      <c r="BA116" s="40"/>
      <c r="BB116" s="40"/>
      <c r="BC116" s="40"/>
      <c r="BD116" s="40"/>
      <c r="BE116" s="40"/>
      <c r="BF116" s="40"/>
      <c r="BG116" s="40"/>
      <c r="BH116" s="40"/>
      <c r="BI116" s="40"/>
      <c r="BJ116" s="40"/>
      <c r="BK116" s="40"/>
      <c r="BL116" s="40"/>
      <c r="BM116" s="40"/>
      <c r="BN116" s="40"/>
      <c r="BO116" s="40"/>
      <c r="BP116" s="40"/>
      <c r="BQ116" s="40"/>
      <c r="BR116" s="40"/>
      <c r="BS116" s="40"/>
      <c r="BT116" s="40"/>
      <c r="BU116" s="40"/>
      <c r="BV116" s="40"/>
      <c r="BW116" s="40"/>
      <c r="BX116" s="40"/>
      <c r="BY116" s="40"/>
      <c r="BZ116" s="40"/>
      <c r="CA116" s="40"/>
      <c r="CB116" s="40"/>
      <c r="CC116" s="40"/>
      <c r="CD116" s="40"/>
      <c r="CE116" s="40"/>
      <c r="CF116" s="40"/>
      <c r="CG116" s="40"/>
      <c r="CH116" s="40"/>
      <c r="CI116" s="40"/>
      <c r="CJ116" s="40"/>
      <c r="CK116" s="40"/>
      <c r="CL116" s="40"/>
      <c r="CM116" s="40"/>
      <c r="CN116" s="40"/>
      <c r="CO116" s="40"/>
      <c r="CP116" s="40"/>
      <c r="CQ116" s="40"/>
      <c r="CR116" s="40"/>
      <c r="CS116" s="40"/>
      <c r="CT116" s="40"/>
      <c r="CU116" s="40"/>
      <c r="CV116" s="40"/>
      <c r="CW116" s="40"/>
      <c r="CX116" s="40"/>
      <c r="CY116" s="40"/>
      <c r="CZ116" s="40"/>
      <c r="DA116" s="40"/>
      <c r="DB116" s="40"/>
      <c r="DC116" s="40"/>
      <c r="DD116" s="40"/>
      <c r="DE116" s="40"/>
      <c r="DF116" s="40"/>
      <c r="DG116" s="40"/>
      <c r="DH116" s="40"/>
      <c r="DI116" s="40"/>
      <c r="DJ116" s="40"/>
      <c r="DK116" s="40"/>
      <c r="DL116" s="40"/>
      <c r="DM116" s="46"/>
      <c r="DN116" s="47"/>
    </row>
    <row r="117" spans="5:118" hidden="1" x14ac:dyDescent="0.35">
      <c r="E117" s="111"/>
      <c r="F117" s="112"/>
      <c r="G117" s="112"/>
      <c r="H117" s="116"/>
      <c r="I117" s="116"/>
      <c r="J117" s="122"/>
      <c r="K117" s="126" t="str">
        <f t="shared" si="22"/>
        <v>-</v>
      </c>
      <c r="L117" s="38">
        <f t="shared" si="23"/>
        <v>0</v>
      </c>
      <c r="M117" s="39">
        <f t="shared" si="21"/>
        <v>0</v>
      </c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0"/>
      <c r="AK117" s="40"/>
      <c r="AL117" s="40"/>
      <c r="AM117" s="40"/>
      <c r="AN117" s="40"/>
      <c r="AO117" s="40"/>
      <c r="AP117" s="40"/>
      <c r="AQ117" s="40"/>
      <c r="AR117" s="40"/>
      <c r="AS117" s="40"/>
      <c r="AT117" s="40"/>
      <c r="AU117" s="40"/>
      <c r="AV117" s="40"/>
      <c r="AW117" s="40"/>
      <c r="AX117" s="40"/>
      <c r="AY117" s="40"/>
      <c r="AZ117" s="40"/>
      <c r="BA117" s="40"/>
      <c r="BB117" s="40"/>
      <c r="BC117" s="40"/>
      <c r="BD117" s="40"/>
      <c r="BE117" s="40"/>
      <c r="BF117" s="40"/>
      <c r="BG117" s="40"/>
      <c r="BH117" s="40"/>
      <c r="BI117" s="40"/>
      <c r="BJ117" s="40"/>
      <c r="BK117" s="40"/>
      <c r="BL117" s="40"/>
      <c r="BM117" s="40"/>
      <c r="BN117" s="40"/>
      <c r="BO117" s="40"/>
      <c r="BP117" s="40"/>
      <c r="BQ117" s="40"/>
      <c r="BR117" s="40"/>
      <c r="BS117" s="40"/>
      <c r="BT117" s="40"/>
      <c r="BU117" s="40"/>
      <c r="BV117" s="40"/>
      <c r="BW117" s="40"/>
      <c r="BX117" s="40"/>
      <c r="BY117" s="40"/>
      <c r="BZ117" s="40"/>
      <c r="CA117" s="40"/>
      <c r="CB117" s="40"/>
      <c r="CC117" s="40"/>
      <c r="CD117" s="40"/>
      <c r="CE117" s="40"/>
      <c r="CF117" s="40"/>
      <c r="CG117" s="40"/>
      <c r="CH117" s="40"/>
      <c r="CI117" s="40"/>
      <c r="CJ117" s="40"/>
      <c r="CK117" s="40"/>
      <c r="CL117" s="40"/>
      <c r="CM117" s="40"/>
      <c r="CN117" s="40"/>
      <c r="CO117" s="40"/>
      <c r="CP117" s="40"/>
      <c r="CQ117" s="40"/>
      <c r="CR117" s="40"/>
      <c r="CS117" s="40"/>
      <c r="CT117" s="40"/>
      <c r="CU117" s="40"/>
      <c r="CV117" s="40"/>
      <c r="CW117" s="40"/>
      <c r="CX117" s="40"/>
      <c r="CY117" s="40"/>
      <c r="CZ117" s="40"/>
      <c r="DA117" s="40"/>
      <c r="DB117" s="40"/>
      <c r="DC117" s="40"/>
      <c r="DD117" s="40"/>
      <c r="DE117" s="40"/>
      <c r="DF117" s="40"/>
      <c r="DG117" s="40"/>
      <c r="DH117" s="40"/>
      <c r="DI117" s="40"/>
      <c r="DJ117" s="40"/>
      <c r="DK117" s="40"/>
      <c r="DL117" s="40"/>
      <c r="DM117" s="46"/>
      <c r="DN117" s="47"/>
    </row>
    <row r="118" spans="5:118" hidden="1" x14ac:dyDescent="0.35">
      <c r="E118" s="111"/>
      <c r="F118" s="112"/>
      <c r="G118" s="112"/>
      <c r="H118" s="116"/>
      <c r="I118" s="116"/>
      <c r="J118" s="122"/>
      <c r="K118" s="126" t="str">
        <f t="shared" si="22"/>
        <v>-</v>
      </c>
      <c r="L118" s="38">
        <f t="shared" si="23"/>
        <v>0</v>
      </c>
      <c r="M118" s="39">
        <f t="shared" si="21"/>
        <v>0</v>
      </c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0"/>
      <c r="AJ118" s="40"/>
      <c r="AK118" s="40"/>
      <c r="AL118" s="40"/>
      <c r="AM118" s="40"/>
      <c r="AN118" s="40"/>
      <c r="AO118" s="40"/>
      <c r="AP118" s="40"/>
      <c r="AQ118" s="40"/>
      <c r="AR118" s="40"/>
      <c r="AS118" s="40"/>
      <c r="AT118" s="40"/>
      <c r="AU118" s="40"/>
      <c r="AV118" s="40"/>
      <c r="AW118" s="40"/>
      <c r="AX118" s="40"/>
      <c r="AY118" s="40"/>
      <c r="AZ118" s="40"/>
      <c r="BA118" s="40"/>
      <c r="BB118" s="40"/>
      <c r="BC118" s="40"/>
      <c r="BD118" s="40"/>
      <c r="BE118" s="40"/>
      <c r="BF118" s="40"/>
      <c r="BG118" s="40"/>
      <c r="BH118" s="40"/>
      <c r="BI118" s="40"/>
      <c r="BJ118" s="40"/>
      <c r="BK118" s="40"/>
      <c r="BL118" s="40"/>
      <c r="BM118" s="40"/>
      <c r="BN118" s="40"/>
      <c r="BO118" s="40"/>
      <c r="BP118" s="40"/>
      <c r="BQ118" s="40"/>
      <c r="BR118" s="40"/>
      <c r="BS118" s="40"/>
      <c r="BT118" s="40"/>
      <c r="BU118" s="40"/>
      <c r="BV118" s="40"/>
      <c r="BW118" s="40"/>
      <c r="BX118" s="40"/>
      <c r="BY118" s="40"/>
      <c r="BZ118" s="40"/>
      <c r="CA118" s="40"/>
      <c r="CB118" s="40"/>
      <c r="CC118" s="40"/>
      <c r="CD118" s="40"/>
      <c r="CE118" s="40"/>
      <c r="CF118" s="40"/>
      <c r="CG118" s="40"/>
      <c r="CH118" s="40"/>
      <c r="CI118" s="40"/>
      <c r="CJ118" s="40"/>
      <c r="CK118" s="40"/>
      <c r="CL118" s="40"/>
      <c r="CM118" s="40"/>
      <c r="CN118" s="40"/>
      <c r="CO118" s="40"/>
      <c r="CP118" s="40"/>
      <c r="CQ118" s="40"/>
      <c r="CR118" s="40"/>
      <c r="CS118" s="40"/>
      <c r="CT118" s="40"/>
      <c r="CU118" s="40"/>
      <c r="CV118" s="40"/>
      <c r="CW118" s="40"/>
      <c r="CX118" s="40"/>
      <c r="CY118" s="40"/>
      <c r="CZ118" s="40"/>
      <c r="DA118" s="40"/>
      <c r="DB118" s="40"/>
      <c r="DC118" s="40"/>
      <c r="DD118" s="40"/>
      <c r="DE118" s="40"/>
      <c r="DF118" s="40"/>
      <c r="DG118" s="40"/>
      <c r="DH118" s="40"/>
      <c r="DI118" s="40"/>
      <c r="DJ118" s="40"/>
      <c r="DK118" s="40"/>
      <c r="DL118" s="40"/>
      <c r="DM118" s="46"/>
      <c r="DN118" s="47"/>
    </row>
    <row r="119" spans="5:118" x14ac:dyDescent="0.35">
      <c r="E119" s="111"/>
      <c r="F119" s="112"/>
      <c r="G119" s="112"/>
      <c r="H119" s="116"/>
      <c r="I119" s="116"/>
      <c r="J119" s="122"/>
      <c r="K119" s="126" t="str">
        <f t="shared" si="22"/>
        <v>-</v>
      </c>
      <c r="L119" s="38">
        <f t="shared" si="23"/>
        <v>0</v>
      </c>
      <c r="M119" s="39">
        <f t="shared" si="21"/>
        <v>0</v>
      </c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0"/>
      <c r="AJ119" s="40"/>
      <c r="AK119" s="40"/>
      <c r="AL119" s="40"/>
      <c r="AM119" s="40"/>
      <c r="AN119" s="40"/>
      <c r="AO119" s="40"/>
      <c r="AP119" s="40"/>
      <c r="AQ119" s="40"/>
      <c r="AR119" s="40"/>
      <c r="AS119" s="40"/>
      <c r="AT119" s="40"/>
      <c r="AU119" s="40"/>
      <c r="AV119" s="40"/>
      <c r="AW119" s="40"/>
      <c r="AX119" s="40"/>
      <c r="AY119" s="40"/>
      <c r="AZ119" s="40"/>
      <c r="BA119" s="40"/>
      <c r="BB119" s="40"/>
      <c r="BC119" s="40"/>
      <c r="BD119" s="40"/>
      <c r="BE119" s="40"/>
      <c r="BF119" s="40"/>
      <c r="BG119" s="40"/>
      <c r="BH119" s="40"/>
      <c r="BI119" s="40"/>
      <c r="BJ119" s="40"/>
      <c r="BK119" s="40"/>
      <c r="BL119" s="40"/>
      <c r="BM119" s="40"/>
      <c r="BN119" s="40"/>
      <c r="BO119" s="40"/>
      <c r="BP119" s="40"/>
      <c r="BQ119" s="40"/>
      <c r="BR119" s="40"/>
      <c r="BS119" s="40"/>
      <c r="BT119" s="40"/>
      <c r="BU119" s="40"/>
      <c r="BV119" s="40"/>
      <c r="BW119" s="40"/>
      <c r="BX119" s="40"/>
      <c r="BY119" s="40"/>
      <c r="BZ119" s="40"/>
      <c r="CA119" s="40"/>
      <c r="CB119" s="40"/>
      <c r="CC119" s="40"/>
      <c r="CD119" s="40"/>
      <c r="CE119" s="40"/>
      <c r="CF119" s="40"/>
      <c r="CG119" s="40"/>
      <c r="CH119" s="40"/>
      <c r="CI119" s="40"/>
      <c r="CJ119" s="40"/>
      <c r="CK119" s="40"/>
      <c r="CL119" s="40"/>
      <c r="CM119" s="40"/>
      <c r="CN119" s="40"/>
      <c r="CO119" s="40"/>
      <c r="CP119" s="40"/>
      <c r="CQ119" s="40"/>
      <c r="CR119" s="40"/>
      <c r="CS119" s="40"/>
      <c r="CT119" s="40"/>
      <c r="CU119" s="40"/>
      <c r="CV119" s="40"/>
      <c r="CW119" s="40"/>
      <c r="CX119" s="40"/>
      <c r="CY119" s="40"/>
      <c r="CZ119" s="40"/>
      <c r="DA119" s="40"/>
      <c r="DB119" s="40"/>
      <c r="DC119" s="40"/>
      <c r="DD119" s="40"/>
      <c r="DE119" s="40"/>
      <c r="DF119" s="40"/>
      <c r="DG119" s="40"/>
      <c r="DH119" s="40"/>
      <c r="DI119" s="40"/>
      <c r="DJ119" s="40"/>
      <c r="DK119" s="40"/>
      <c r="DL119" s="40"/>
      <c r="DM119" s="46"/>
      <c r="DN119" s="47"/>
    </row>
    <row r="120" spans="5:118" ht="15" thickBot="1" x14ac:dyDescent="0.4">
      <c r="E120" s="3" t="s">
        <v>313</v>
      </c>
      <c r="F120" s="41"/>
      <c r="G120" s="41"/>
      <c r="H120" s="41"/>
      <c r="I120" s="133">
        <f>SUMPRODUCT(I90:I119,M90:M119)</f>
        <v>0</v>
      </c>
      <c r="J120" s="123" t="s">
        <v>150</v>
      </c>
      <c r="K120" s="127" t="str">
        <f>IFERROR(1-(L120/SUMPRODUCT(H90:H119,M90:M119)),"-")</f>
        <v>-</v>
      </c>
      <c r="L120" s="98">
        <f>SUM(L90:L119)</f>
        <v>0</v>
      </c>
      <c r="M120" s="99">
        <f>SUM(M90:M119)</f>
        <v>0</v>
      </c>
      <c r="N120" s="4">
        <f>SUM(N90:N119)</f>
        <v>0</v>
      </c>
      <c r="O120" s="4">
        <f t="shared" ref="O120:BZ120" si="24">SUM(O90:O119)</f>
        <v>0</v>
      </c>
      <c r="P120" s="4">
        <f t="shared" si="24"/>
        <v>0</v>
      </c>
      <c r="Q120" s="4">
        <f t="shared" si="24"/>
        <v>0</v>
      </c>
      <c r="R120" s="4">
        <f t="shared" si="24"/>
        <v>0</v>
      </c>
      <c r="S120" s="4">
        <f t="shared" si="24"/>
        <v>0</v>
      </c>
      <c r="T120" s="4">
        <f t="shared" si="24"/>
        <v>0</v>
      </c>
      <c r="U120" s="4">
        <f t="shared" si="24"/>
        <v>0</v>
      </c>
      <c r="V120" s="4">
        <f t="shared" si="24"/>
        <v>0</v>
      </c>
      <c r="W120" s="4">
        <f t="shared" si="24"/>
        <v>0</v>
      </c>
      <c r="X120" s="4">
        <f t="shared" si="24"/>
        <v>0</v>
      </c>
      <c r="Y120" s="4">
        <f t="shared" si="24"/>
        <v>0</v>
      </c>
      <c r="Z120" s="4">
        <f t="shared" si="24"/>
        <v>0</v>
      </c>
      <c r="AA120" s="4">
        <f t="shared" si="24"/>
        <v>0</v>
      </c>
      <c r="AB120" s="4">
        <f t="shared" si="24"/>
        <v>0</v>
      </c>
      <c r="AC120" s="4">
        <f t="shared" si="24"/>
        <v>0</v>
      </c>
      <c r="AD120" s="4">
        <f t="shared" si="24"/>
        <v>0</v>
      </c>
      <c r="AE120" s="4">
        <f t="shared" si="24"/>
        <v>0</v>
      </c>
      <c r="AF120" s="4">
        <f t="shared" si="24"/>
        <v>0</v>
      </c>
      <c r="AG120" s="4">
        <f t="shared" si="24"/>
        <v>0</v>
      </c>
      <c r="AH120" s="4">
        <f t="shared" si="24"/>
        <v>0</v>
      </c>
      <c r="AI120" s="4">
        <f t="shared" si="24"/>
        <v>0</v>
      </c>
      <c r="AJ120" s="4">
        <f t="shared" si="24"/>
        <v>0</v>
      </c>
      <c r="AK120" s="4">
        <f t="shared" si="24"/>
        <v>0</v>
      </c>
      <c r="AL120" s="4">
        <f t="shared" si="24"/>
        <v>0</v>
      </c>
      <c r="AM120" s="4">
        <f t="shared" si="24"/>
        <v>0</v>
      </c>
      <c r="AN120" s="4">
        <f t="shared" si="24"/>
        <v>0</v>
      </c>
      <c r="AO120" s="4">
        <f t="shared" si="24"/>
        <v>0</v>
      </c>
      <c r="AP120" s="4">
        <f t="shared" si="24"/>
        <v>0</v>
      </c>
      <c r="AQ120" s="4">
        <f t="shared" si="24"/>
        <v>0</v>
      </c>
      <c r="AR120" s="4">
        <f t="shared" si="24"/>
        <v>0</v>
      </c>
      <c r="AS120" s="4">
        <f t="shared" si="24"/>
        <v>0</v>
      </c>
      <c r="AT120" s="4">
        <f t="shared" si="24"/>
        <v>0</v>
      </c>
      <c r="AU120" s="4">
        <f t="shared" si="24"/>
        <v>0</v>
      </c>
      <c r="AV120" s="4">
        <f t="shared" si="24"/>
        <v>0</v>
      </c>
      <c r="AW120" s="4">
        <f t="shared" si="24"/>
        <v>0</v>
      </c>
      <c r="AX120" s="4">
        <f t="shared" si="24"/>
        <v>0</v>
      </c>
      <c r="AY120" s="4">
        <f t="shared" si="24"/>
        <v>0</v>
      </c>
      <c r="AZ120" s="4">
        <f t="shared" si="24"/>
        <v>0</v>
      </c>
      <c r="BA120" s="4">
        <f t="shared" si="24"/>
        <v>0</v>
      </c>
      <c r="BB120" s="4">
        <f t="shared" si="24"/>
        <v>0</v>
      </c>
      <c r="BC120" s="4">
        <f t="shared" si="24"/>
        <v>0</v>
      </c>
      <c r="BD120" s="4">
        <f t="shared" si="24"/>
        <v>0</v>
      </c>
      <c r="BE120" s="4">
        <f t="shared" si="24"/>
        <v>0</v>
      </c>
      <c r="BF120" s="4">
        <f t="shared" si="24"/>
        <v>0</v>
      </c>
      <c r="BG120" s="4">
        <f t="shared" si="24"/>
        <v>0</v>
      </c>
      <c r="BH120" s="4">
        <f t="shared" si="24"/>
        <v>0</v>
      </c>
      <c r="BI120" s="4">
        <f t="shared" si="24"/>
        <v>0</v>
      </c>
      <c r="BJ120" s="4">
        <f t="shared" si="24"/>
        <v>0</v>
      </c>
      <c r="BK120" s="4">
        <f t="shared" si="24"/>
        <v>0</v>
      </c>
      <c r="BL120" s="4">
        <f t="shared" si="24"/>
        <v>0</v>
      </c>
      <c r="BM120" s="4">
        <f t="shared" si="24"/>
        <v>0</v>
      </c>
      <c r="BN120" s="4">
        <f t="shared" si="24"/>
        <v>0</v>
      </c>
      <c r="BO120" s="4">
        <f t="shared" si="24"/>
        <v>0</v>
      </c>
      <c r="BP120" s="4">
        <f t="shared" si="24"/>
        <v>0</v>
      </c>
      <c r="BQ120" s="4">
        <f t="shared" si="24"/>
        <v>0</v>
      </c>
      <c r="BR120" s="4">
        <f t="shared" si="24"/>
        <v>0</v>
      </c>
      <c r="BS120" s="4">
        <f t="shared" si="24"/>
        <v>0</v>
      </c>
      <c r="BT120" s="4">
        <f t="shared" si="24"/>
        <v>0</v>
      </c>
      <c r="BU120" s="4">
        <f t="shared" si="24"/>
        <v>0</v>
      </c>
      <c r="BV120" s="4">
        <f t="shared" si="24"/>
        <v>0</v>
      </c>
      <c r="BW120" s="4">
        <f t="shared" si="24"/>
        <v>0</v>
      </c>
      <c r="BX120" s="4">
        <f t="shared" si="24"/>
        <v>0</v>
      </c>
      <c r="BY120" s="4">
        <f t="shared" si="24"/>
        <v>0</v>
      </c>
      <c r="BZ120" s="4">
        <f t="shared" si="24"/>
        <v>0</v>
      </c>
      <c r="CA120" s="4">
        <f t="shared" ref="CA120:DM120" si="25">SUM(CA90:CA119)</f>
        <v>0</v>
      </c>
      <c r="CB120" s="4">
        <f t="shared" si="25"/>
        <v>0</v>
      </c>
      <c r="CC120" s="4">
        <f t="shared" si="25"/>
        <v>0</v>
      </c>
      <c r="CD120" s="4">
        <f t="shared" si="25"/>
        <v>0</v>
      </c>
      <c r="CE120" s="4">
        <f t="shared" si="25"/>
        <v>0</v>
      </c>
      <c r="CF120" s="4">
        <f t="shared" si="25"/>
        <v>0</v>
      </c>
      <c r="CG120" s="4">
        <f t="shared" si="25"/>
        <v>0</v>
      </c>
      <c r="CH120" s="4">
        <f t="shared" si="25"/>
        <v>0</v>
      </c>
      <c r="CI120" s="4">
        <f t="shared" si="25"/>
        <v>0</v>
      </c>
      <c r="CJ120" s="4">
        <f t="shared" si="25"/>
        <v>0</v>
      </c>
      <c r="CK120" s="4">
        <f t="shared" si="25"/>
        <v>0</v>
      </c>
      <c r="CL120" s="4">
        <f t="shared" si="25"/>
        <v>0</v>
      </c>
      <c r="CM120" s="4">
        <f t="shared" si="25"/>
        <v>0</v>
      </c>
      <c r="CN120" s="4">
        <f t="shared" si="25"/>
        <v>0</v>
      </c>
      <c r="CO120" s="4">
        <f t="shared" si="25"/>
        <v>0</v>
      </c>
      <c r="CP120" s="4">
        <f t="shared" si="25"/>
        <v>0</v>
      </c>
      <c r="CQ120" s="4">
        <f t="shared" si="25"/>
        <v>0</v>
      </c>
      <c r="CR120" s="4">
        <f t="shared" si="25"/>
        <v>0</v>
      </c>
      <c r="CS120" s="4">
        <f t="shared" si="25"/>
        <v>0</v>
      </c>
      <c r="CT120" s="4">
        <f t="shared" si="25"/>
        <v>0</v>
      </c>
      <c r="CU120" s="4">
        <f t="shared" si="25"/>
        <v>0</v>
      </c>
      <c r="CV120" s="4">
        <f t="shared" si="25"/>
        <v>0</v>
      </c>
      <c r="CW120" s="4">
        <f t="shared" si="25"/>
        <v>0</v>
      </c>
      <c r="CX120" s="4">
        <f t="shared" si="25"/>
        <v>0</v>
      </c>
      <c r="CY120" s="4">
        <f t="shared" si="25"/>
        <v>0</v>
      </c>
      <c r="CZ120" s="4">
        <f t="shared" si="25"/>
        <v>0</v>
      </c>
      <c r="DA120" s="4">
        <f t="shared" si="25"/>
        <v>0</v>
      </c>
      <c r="DB120" s="4">
        <f t="shared" si="25"/>
        <v>0</v>
      </c>
      <c r="DC120" s="4">
        <f t="shared" si="25"/>
        <v>0</v>
      </c>
      <c r="DD120" s="4">
        <f t="shared" si="25"/>
        <v>0</v>
      </c>
      <c r="DE120" s="4">
        <f t="shared" si="25"/>
        <v>0</v>
      </c>
      <c r="DF120" s="4">
        <f t="shared" si="25"/>
        <v>0</v>
      </c>
      <c r="DG120" s="4">
        <f t="shared" si="25"/>
        <v>0</v>
      </c>
      <c r="DH120" s="4">
        <f t="shared" si="25"/>
        <v>0</v>
      </c>
      <c r="DI120" s="4">
        <f t="shared" si="25"/>
        <v>0</v>
      </c>
      <c r="DJ120" s="4">
        <f t="shared" si="25"/>
        <v>0</v>
      </c>
      <c r="DK120" s="4">
        <f t="shared" si="25"/>
        <v>0</v>
      </c>
      <c r="DL120" s="4">
        <f t="shared" si="25"/>
        <v>0</v>
      </c>
      <c r="DM120" s="4">
        <f t="shared" si="25"/>
        <v>0</v>
      </c>
      <c r="DN120" s="47"/>
    </row>
    <row r="121" spans="5:118" ht="15" thickBot="1" x14ac:dyDescent="0.4"/>
    <row r="122" spans="5:118" ht="15" thickBot="1" x14ac:dyDescent="0.4">
      <c r="E122" s="43" t="s">
        <v>263</v>
      </c>
      <c r="J122" s="48"/>
      <c r="N122" s="48"/>
    </row>
    <row r="123" spans="5:118" x14ac:dyDescent="0.35">
      <c r="E123" s="28" t="s">
        <v>29</v>
      </c>
      <c r="F123" s="32" t="s">
        <v>145</v>
      </c>
      <c r="G123" s="32" t="s">
        <v>265</v>
      </c>
      <c r="H123" s="32" t="s">
        <v>143</v>
      </c>
      <c r="I123" s="66" t="s">
        <v>264</v>
      </c>
      <c r="J123" s="69"/>
      <c r="K123" s="61" t="s">
        <v>258</v>
      </c>
      <c r="L123" s="33" t="s">
        <v>142</v>
      </c>
      <c r="M123" s="33" t="s">
        <v>34</v>
      </c>
      <c r="N123" s="34" t="s">
        <v>35</v>
      </c>
      <c r="O123" s="33" t="s">
        <v>36</v>
      </c>
      <c r="P123" s="33" t="s">
        <v>37</v>
      </c>
      <c r="Q123" s="33" t="s">
        <v>38</v>
      </c>
      <c r="R123" s="33" t="s">
        <v>39</v>
      </c>
      <c r="S123" s="33" t="s">
        <v>40</v>
      </c>
      <c r="T123" s="33" t="s">
        <v>41</v>
      </c>
      <c r="U123" s="33" t="s">
        <v>42</v>
      </c>
      <c r="V123" s="33" t="s">
        <v>43</v>
      </c>
      <c r="W123" s="33" t="s">
        <v>44</v>
      </c>
      <c r="X123" s="33" t="s">
        <v>45</v>
      </c>
      <c r="Y123" s="33" t="s">
        <v>46</v>
      </c>
      <c r="Z123" s="33" t="s">
        <v>47</v>
      </c>
      <c r="AA123" s="33" t="s">
        <v>48</v>
      </c>
      <c r="AB123" s="33" t="s">
        <v>49</v>
      </c>
      <c r="AC123" s="33" t="s">
        <v>50</v>
      </c>
      <c r="AD123" s="33" t="s">
        <v>51</v>
      </c>
      <c r="AE123" s="33" t="s">
        <v>52</v>
      </c>
      <c r="AF123" s="33" t="s">
        <v>53</v>
      </c>
      <c r="AG123" s="33" t="s">
        <v>54</v>
      </c>
      <c r="AH123" s="33" t="s">
        <v>55</v>
      </c>
      <c r="AI123" s="33" t="s">
        <v>56</v>
      </c>
      <c r="AJ123" s="33" t="s">
        <v>57</v>
      </c>
      <c r="AK123" s="33" t="s">
        <v>58</v>
      </c>
      <c r="AL123" s="33" t="s">
        <v>59</v>
      </c>
      <c r="AM123" s="33" t="s">
        <v>60</v>
      </c>
      <c r="AN123" s="33" t="s">
        <v>61</v>
      </c>
      <c r="AO123" s="33" t="s">
        <v>62</v>
      </c>
      <c r="AP123" s="33" t="s">
        <v>63</v>
      </c>
      <c r="AQ123" s="33" t="s">
        <v>64</v>
      </c>
      <c r="AR123" s="33" t="s">
        <v>65</v>
      </c>
      <c r="AS123" s="33" t="s">
        <v>66</v>
      </c>
      <c r="AT123" s="33" t="s">
        <v>67</v>
      </c>
      <c r="AU123" s="33" t="s">
        <v>68</v>
      </c>
      <c r="AV123" s="33" t="s">
        <v>69</v>
      </c>
      <c r="AW123" s="33" t="s">
        <v>70</v>
      </c>
      <c r="AX123" s="33" t="s">
        <v>71</v>
      </c>
      <c r="AY123" s="33" t="s">
        <v>72</v>
      </c>
      <c r="AZ123" s="33" t="s">
        <v>73</v>
      </c>
      <c r="BA123" s="33" t="s">
        <v>74</v>
      </c>
      <c r="BB123" s="33" t="s">
        <v>75</v>
      </c>
      <c r="BC123" s="33" t="s">
        <v>76</v>
      </c>
      <c r="BD123" s="33" t="s">
        <v>77</v>
      </c>
      <c r="BE123" s="33" t="s">
        <v>78</v>
      </c>
      <c r="BF123" s="33" t="s">
        <v>79</v>
      </c>
      <c r="BG123" s="33" t="s">
        <v>80</v>
      </c>
      <c r="BH123" s="33" t="s">
        <v>81</v>
      </c>
      <c r="BI123" s="33" t="s">
        <v>82</v>
      </c>
      <c r="BJ123" s="33" t="s">
        <v>83</v>
      </c>
      <c r="BK123" s="33" t="s">
        <v>84</v>
      </c>
      <c r="BL123" s="33" t="s">
        <v>85</v>
      </c>
      <c r="BM123" s="33" t="s">
        <v>86</v>
      </c>
      <c r="BN123" s="33" t="s">
        <v>87</v>
      </c>
      <c r="BO123" s="33" t="s">
        <v>88</v>
      </c>
      <c r="BP123" s="33" t="s">
        <v>89</v>
      </c>
      <c r="BQ123" s="33" t="s">
        <v>90</v>
      </c>
      <c r="BR123" s="33" t="s">
        <v>91</v>
      </c>
      <c r="BS123" s="33" t="s">
        <v>92</v>
      </c>
      <c r="BT123" s="33" t="s">
        <v>93</v>
      </c>
      <c r="BU123" s="33" t="s">
        <v>94</v>
      </c>
      <c r="BV123" s="33" t="s">
        <v>95</v>
      </c>
      <c r="BW123" s="33" t="s">
        <v>96</v>
      </c>
      <c r="BX123" s="33" t="s">
        <v>97</v>
      </c>
      <c r="BY123" s="33" t="s">
        <v>98</v>
      </c>
      <c r="BZ123" s="33" t="s">
        <v>99</v>
      </c>
      <c r="CA123" s="33" t="s">
        <v>100</v>
      </c>
      <c r="CB123" s="33" t="s">
        <v>101</v>
      </c>
      <c r="CC123" s="33" t="s">
        <v>102</v>
      </c>
      <c r="CD123" s="33" t="s">
        <v>103</v>
      </c>
      <c r="CE123" s="33" t="s">
        <v>104</v>
      </c>
      <c r="CF123" s="33" t="s">
        <v>105</v>
      </c>
      <c r="CG123" s="33" t="s">
        <v>106</v>
      </c>
      <c r="CH123" s="33" t="s">
        <v>107</v>
      </c>
      <c r="CI123" s="33" t="s">
        <v>108</v>
      </c>
      <c r="CJ123" s="33" t="s">
        <v>109</v>
      </c>
      <c r="CK123" s="33" t="s">
        <v>110</v>
      </c>
      <c r="CL123" s="33" t="s">
        <v>111</v>
      </c>
      <c r="CM123" s="33" t="s">
        <v>112</v>
      </c>
      <c r="CN123" s="33" t="s">
        <v>113</v>
      </c>
      <c r="CO123" s="33" t="s">
        <v>114</v>
      </c>
      <c r="CP123" s="33" t="s">
        <v>115</v>
      </c>
      <c r="CQ123" s="33" t="s">
        <v>116</v>
      </c>
      <c r="CR123" s="33" t="s">
        <v>117</v>
      </c>
      <c r="CS123" s="33" t="s">
        <v>118</v>
      </c>
      <c r="CT123" s="33" t="s">
        <v>119</v>
      </c>
      <c r="CU123" s="33" t="s">
        <v>120</v>
      </c>
      <c r="CV123" s="33" t="s">
        <v>121</v>
      </c>
      <c r="CW123" s="33" t="s">
        <v>122</v>
      </c>
      <c r="CX123" s="33" t="s">
        <v>123</v>
      </c>
      <c r="CY123" s="33" t="s">
        <v>124</v>
      </c>
      <c r="CZ123" s="33" t="s">
        <v>125</v>
      </c>
      <c r="DA123" s="33" t="s">
        <v>126</v>
      </c>
      <c r="DB123" s="33" t="s">
        <v>127</v>
      </c>
      <c r="DC123" s="33" t="s">
        <v>128</v>
      </c>
      <c r="DD123" s="33" t="s">
        <v>129</v>
      </c>
      <c r="DE123" s="33" t="s">
        <v>130</v>
      </c>
      <c r="DF123" s="33" t="s">
        <v>131</v>
      </c>
      <c r="DG123" s="33" t="s">
        <v>132</v>
      </c>
      <c r="DH123" s="33" t="s">
        <v>133</v>
      </c>
      <c r="DI123" s="33" t="s">
        <v>134</v>
      </c>
      <c r="DJ123" s="33" t="s">
        <v>135</v>
      </c>
      <c r="DK123" s="33" t="s">
        <v>136</v>
      </c>
      <c r="DL123" s="33" t="s">
        <v>137</v>
      </c>
      <c r="DM123" s="33" t="s">
        <v>138</v>
      </c>
      <c r="DN123" s="45"/>
    </row>
    <row r="124" spans="5:118" x14ac:dyDescent="0.35">
      <c r="E124" s="111"/>
      <c r="F124" s="112"/>
      <c r="G124" s="112"/>
      <c r="H124" s="116"/>
      <c r="I124" s="115"/>
      <c r="J124" s="70"/>
      <c r="K124" s="68">
        <f>H124*N124</f>
        <v>0</v>
      </c>
      <c r="L124" s="38">
        <f>I124*M124</f>
        <v>0</v>
      </c>
      <c r="M124" s="39">
        <f t="shared" ref="M124:M153" si="26">SUM(N124:DM124)</f>
        <v>0</v>
      </c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113"/>
      <c r="Y124" s="113"/>
      <c r="Z124" s="113"/>
      <c r="AA124" s="113"/>
      <c r="AB124" s="113"/>
      <c r="AC124" s="113"/>
      <c r="AD124" s="113"/>
      <c r="AE124" s="113"/>
      <c r="AF124" s="113"/>
      <c r="AG124" s="113"/>
      <c r="AH124" s="113"/>
      <c r="AI124" s="113"/>
      <c r="AJ124" s="113"/>
      <c r="AK124" s="113"/>
      <c r="AL124" s="113"/>
      <c r="AM124" s="113"/>
      <c r="AN124" s="113"/>
      <c r="AO124" s="113"/>
      <c r="AP124" s="113"/>
      <c r="AQ124" s="113"/>
      <c r="AR124" s="113"/>
      <c r="AS124" s="113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  <c r="BU124" s="113"/>
      <c r="BV124" s="113"/>
      <c r="BW124" s="113"/>
      <c r="BX124" s="113"/>
      <c r="BY124" s="113"/>
      <c r="BZ124" s="113"/>
      <c r="CA124" s="113"/>
      <c r="CB124" s="113"/>
      <c r="CC124" s="113"/>
      <c r="CD124" s="113"/>
      <c r="CE124" s="113"/>
      <c r="CF124" s="113"/>
      <c r="CG124" s="113"/>
      <c r="CH124" s="113"/>
      <c r="CI124" s="113"/>
      <c r="CJ124" s="113"/>
      <c r="CK124" s="113"/>
      <c r="CL124" s="113"/>
      <c r="CM124" s="113"/>
      <c r="CN124" s="113"/>
      <c r="CO124" s="113"/>
      <c r="CP124" s="113"/>
      <c r="CQ124" s="113"/>
      <c r="CR124" s="113"/>
      <c r="CS124" s="113"/>
      <c r="CT124" s="113"/>
      <c r="CU124" s="113"/>
      <c r="CV124" s="113"/>
      <c r="CW124" s="113"/>
      <c r="CX124" s="113"/>
      <c r="CY124" s="113"/>
      <c r="CZ124" s="113"/>
      <c r="DA124" s="113"/>
      <c r="DB124" s="113"/>
      <c r="DC124" s="113"/>
      <c r="DD124" s="113"/>
      <c r="DE124" s="113"/>
      <c r="DF124" s="113"/>
      <c r="DG124" s="113"/>
      <c r="DH124" s="113"/>
      <c r="DI124" s="113"/>
      <c r="DJ124" s="113"/>
      <c r="DK124" s="113"/>
      <c r="DL124" s="113"/>
      <c r="DM124" s="114"/>
      <c r="DN124" s="47"/>
    </row>
    <row r="125" spans="5:118" x14ac:dyDescent="0.35">
      <c r="E125" s="111"/>
      <c r="F125" s="112"/>
      <c r="G125" s="112"/>
      <c r="H125" s="116"/>
      <c r="I125" s="115"/>
      <c r="J125" s="70"/>
      <c r="K125" s="68">
        <f t="shared" ref="K125:K153" si="27">H125*N125</f>
        <v>0</v>
      </c>
      <c r="L125" s="38">
        <f t="shared" ref="L125:L153" si="28">I125*M125</f>
        <v>0</v>
      </c>
      <c r="M125" s="39">
        <f t="shared" si="26"/>
        <v>0</v>
      </c>
      <c r="N125" s="113"/>
      <c r="O125" s="113"/>
      <c r="P125" s="113"/>
      <c r="Q125" s="113"/>
      <c r="R125" s="113"/>
      <c r="S125" s="113"/>
      <c r="T125" s="113"/>
      <c r="U125" s="113"/>
      <c r="V125" s="113"/>
      <c r="W125" s="113"/>
      <c r="X125" s="113"/>
      <c r="Y125" s="113"/>
      <c r="Z125" s="113"/>
      <c r="AA125" s="113"/>
      <c r="AB125" s="113"/>
      <c r="AC125" s="113"/>
      <c r="AD125" s="113"/>
      <c r="AE125" s="113"/>
      <c r="AF125" s="113"/>
      <c r="AG125" s="113"/>
      <c r="AH125" s="113"/>
      <c r="AI125" s="113"/>
      <c r="AJ125" s="113"/>
      <c r="AK125" s="113"/>
      <c r="AL125" s="113"/>
      <c r="AM125" s="113"/>
      <c r="AN125" s="113"/>
      <c r="AO125" s="113"/>
      <c r="AP125" s="113"/>
      <c r="AQ125" s="113"/>
      <c r="AR125" s="113"/>
      <c r="AS125" s="113"/>
      <c r="AT125" s="113"/>
      <c r="AU125" s="113"/>
      <c r="AV125" s="113"/>
      <c r="AW125" s="113"/>
      <c r="AX125" s="113"/>
      <c r="AY125" s="113"/>
      <c r="AZ125" s="113"/>
      <c r="BA125" s="113"/>
      <c r="BB125" s="113"/>
      <c r="BC125" s="113"/>
      <c r="BD125" s="113"/>
      <c r="BE125" s="113"/>
      <c r="BF125" s="113"/>
      <c r="BG125" s="113"/>
      <c r="BH125" s="113"/>
      <c r="BI125" s="113"/>
      <c r="BJ125" s="113"/>
      <c r="BK125" s="113"/>
      <c r="BL125" s="113"/>
      <c r="BM125" s="113"/>
      <c r="BN125" s="113"/>
      <c r="BO125" s="113"/>
      <c r="BP125" s="113"/>
      <c r="BQ125" s="113"/>
      <c r="BR125" s="113"/>
      <c r="BS125" s="113"/>
      <c r="BT125" s="113"/>
      <c r="BU125" s="113"/>
      <c r="BV125" s="113"/>
      <c r="BW125" s="113"/>
      <c r="BX125" s="113"/>
      <c r="BY125" s="113"/>
      <c r="BZ125" s="113"/>
      <c r="CA125" s="113"/>
      <c r="CB125" s="113"/>
      <c r="CC125" s="113"/>
      <c r="CD125" s="113"/>
      <c r="CE125" s="113"/>
      <c r="CF125" s="113"/>
      <c r="CG125" s="113"/>
      <c r="CH125" s="113"/>
      <c r="CI125" s="113"/>
      <c r="CJ125" s="113"/>
      <c r="CK125" s="113"/>
      <c r="CL125" s="113"/>
      <c r="CM125" s="113"/>
      <c r="CN125" s="113"/>
      <c r="CO125" s="113"/>
      <c r="CP125" s="113"/>
      <c r="CQ125" s="113"/>
      <c r="CR125" s="113"/>
      <c r="CS125" s="113"/>
      <c r="CT125" s="113"/>
      <c r="CU125" s="113"/>
      <c r="CV125" s="113"/>
      <c r="CW125" s="113"/>
      <c r="CX125" s="113"/>
      <c r="CY125" s="113"/>
      <c r="CZ125" s="113"/>
      <c r="DA125" s="113"/>
      <c r="DB125" s="113"/>
      <c r="DC125" s="113"/>
      <c r="DD125" s="113"/>
      <c r="DE125" s="113"/>
      <c r="DF125" s="113"/>
      <c r="DG125" s="113"/>
      <c r="DH125" s="113"/>
      <c r="DI125" s="113"/>
      <c r="DJ125" s="113"/>
      <c r="DK125" s="113"/>
      <c r="DL125" s="113"/>
      <c r="DM125" s="114"/>
      <c r="DN125" s="47"/>
    </row>
    <row r="126" spans="5:118" x14ac:dyDescent="0.35">
      <c r="E126" s="111"/>
      <c r="F126" s="112"/>
      <c r="G126" s="112"/>
      <c r="H126" s="116"/>
      <c r="I126" s="115"/>
      <c r="J126" s="70"/>
      <c r="K126" s="68">
        <f t="shared" si="27"/>
        <v>0</v>
      </c>
      <c r="L126" s="38">
        <f t="shared" si="28"/>
        <v>0</v>
      </c>
      <c r="M126" s="39">
        <f t="shared" si="26"/>
        <v>0</v>
      </c>
      <c r="N126" s="113"/>
      <c r="O126" s="113"/>
      <c r="P126" s="113"/>
      <c r="Q126" s="113"/>
      <c r="R126" s="113"/>
      <c r="S126" s="113"/>
      <c r="T126" s="113"/>
      <c r="U126" s="113"/>
      <c r="V126" s="113"/>
      <c r="W126" s="113"/>
      <c r="X126" s="113"/>
      <c r="Y126" s="113"/>
      <c r="Z126" s="113"/>
      <c r="AA126" s="113"/>
      <c r="AB126" s="113"/>
      <c r="AC126" s="113"/>
      <c r="AD126" s="113"/>
      <c r="AE126" s="113"/>
      <c r="AF126" s="113"/>
      <c r="AG126" s="113"/>
      <c r="AH126" s="113"/>
      <c r="AI126" s="113"/>
      <c r="AJ126" s="113"/>
      <c r="AK126" s="113"/>
      <c r="AL126" s="113"/>
      <c r="AM126" s="113"/>
      <c r="AN126" s="113"/>
      <c r="AO126" s="113"/>
      <c r="AP126" s="113"/>
      <c r="AQ126" s="113"/>
      <c r="AR126" s="113"/>
      <c r="AS126" s="113"/>
      <c r="AT126" s="113"/>
      <c r="AU126" s="113"/>
      <c r="AV126" s="113"/>
      <c r="AW126" s="113"/>
      <c r="AX126" s="113"/>
      <c r="AY126" s="113"/>
      <c r="AZ126" s="113"/>
      <c r="BA126" s="113"/>
      <c r="BB126" s="113"/>
      <c r="BC126" s="113"/>
      <c r="BD126" s="113"/>
      <c r="BE126" s="113"/>
      <c r="BF126" s="113"/>
      <c r="BG126" s="113"/>
      <c r="BH126" s="113"/>
      <c r="BI126" s="113"/>
      <c r="BJ126" s="113"/>
      <c r="BK126" s="113"/>
      <c r="BL126" s="113"/>
      <c r="BM126" s="113"/>
      <c r="BN126" s="113"/>
      <c r="BO126" s="113"/>
      <c r="BP126" s="113"/>
      <c r="BQ126" s="113"/>
      <c r="BR126" s="113"/>
      <c r="BS126" s="113"/>
      <c r="BT126" s="113"/>
      <c r="BU126" s="113"/>
      <c r="BV126" s="113"/>
      <c r="BW126" s="113"/>
      <c r="BX126" s="113"/>
      <c r="BY126" s="113"/>
      <c r="BZ126" s="113"/>
      <c r="CA126" s="113"/>
      <c r="CB126" s="113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  <c r="CN126" s="113"/>
      <c r="CO126" s="113"/>
      <c r="CP126" s="113"/>
      <c r="CQ126" s="113"/>
      <c r="CR126" s="113"/>
      <c r="CS126" s="113"/>
      <c r="CT126" s="113"/>
      <c r="CU126" s="113"/>
      <c r="CV126" s="113"/>
      <c r="CW126" s="113"/>
      <c r="CX126" s="113"/>
      <c r="CY126" s="113"/>
      <c r="CZ126" s="113"/>
      <c r="DA126" s="113"/>
      <c r="DB126" s="113"/>
      <c r="DC126" s="113"/>
      <c r="DD126" s="113"/>
      <c r="DE126" s="113"/>
      <c r="DF126" s="113"/>
      <c r="DG126" s="113"/>
      <c r="DH126" s="113"/>
      <c r="DI126" s="113"/>
      <c r="DJ126" s="113"/>
      <c r="DK126" s="113"/>
      <c r="DL126" s="113"/>
      <c r="DM126" s="114"/>
      <c r="DN126" s="47"/>
    </row>
    <row r="127" spans="5:118" x14ac:dyDescent="0.35">
      <c r="E127" s="111"/>
      <c r="F127" s="112"/>
      <c r="G127" s="112"/>
      <c r="H127" s="116"/>
      <c r="I127" s="115"/>
      <c r="J127" s="70"/>
      <c r="K127" s="68">
        <f t="shared" si="27"/>
        <v>0</v>
      </c>
      <c r="L127" s="38">
        <f t="shared" si="28"/>
        <v>0</v>
      </c>
      <c r="M127" s="39">
        <f t="shared" si="26"/>
        <v>0</v>
      </c>
      <c r="N127" s="113"/>
      <c r="O127" s="113"/>
      <c r="P127" s="113"/>
      <c r="Q127" s="113"/>
      <c r="R127" s="113"/>
      <c r="S127" s="113"/>
      <c r="T127" s="113"/>
      <c r="U127" s="113"/>
      <c r="V127" s="113"/>
      <c r="W127" s="113"/>
      <c r="X127" s="113"/>
      <c r="Y127" s="113"/>
      <c r="Z127" s="113"/>
      <c r="AA127" s="113"/>
      <c r="AB127" s="113"/>
      <c r="AC127" s="113"/>
      <c r="AD127" s="113"/>
      <c r="AE127" s="113"/>
      <c r="AF127" s="113"/>
      <c r="AG127" s="113"/>
      <c r="AH127" s="113"/>
      <c r="AI127" s="113"/>
      <c r="AJ127" s="113"/>
      <c r="AK127" s="113"/>
      <c r="AL127" s="113"/>
      <c r="AM127" s="113"/>
      <c r="AN127" s="113"/>
      <c r="AO127" s="113"/>
      <c r="AP127" s="113"/>
      <c r="AQ127" s="113"/>
      <c r="AR127" s="113"/>
      <c r="AS127" s="113"/>
      <c r="AT127" s="113"/>
      <c r="AU127" s="113"/>
      <c r="AV127" s="113"/>
      <c r="AW127" s="113"/>
      <c r="AX127" s="113"/>
      <c r="AY127" s="113"/>
      <c r="AZ127" s="113"/>
      <c r="BA127" s="113"/>
      <c r="BB127" s="113"/>
      <c r="BC127" s="113"/>
      <c r="BD127" s="113"/>
      <c r="BE127" s="113"/>
      <c r="BF127" s="113"/>
      <c r="BG127" s="113"/>
      <c r="BH127" s="113"/>
      <c r="BI127" s="113"/>
      <c r="BJ127" s="113"/>
      <c r="BK127" s="113"/>
      <c r="BL127" s="113"/>
      <c r="BM127" s="113"/>
      <c r="BN127" s="113"/>
      <c r="BO127" s="113"/>
      <c r="BP127" s="113"/>
      <c r="BQ127" s="113"/>
      <c r="BR127" s="113"/>
      <c r="BS127" s="113"/>
      <c r="BT127" s="113"/>
      <c r="BU127" s="113"/>
      <c r="BV127" s="113"/>
      <c r="BW127" s="113"/>
      <c r="BX127" s="113"/>
      <c r="BY127" s="113"/>
      <c r="BZ127" s="113"/>
      <c r="CA127" s="113"/>
      <c r="CB127" s="113"/>
      <c r="CC127" s="113"/>
      <c r="CD127" s="113"/>
      <c r="CE127" s="113"/>
      <c r="CF127" s="113"/>
      <c r="CG127" s="113"/>
      <c r="CH127" s="113"/>
      <c r="CI127" s="113"/>
      <c r="CJ127" s="113"/>
      <c r="CK127" s="113"/>
      <c r="CL127" s="113"/>
      <c r="CM127" s="113"/>
      <c r="CN127" s="113"/>
      <c r="CO127" s="113"/>
      <c r="CP127" s="113"/>
      <c r="CQ127" s="113"/>
      <c r="CR127" s="113"/>
      <c r="CS127" s="113"/>
      <c r="CT127" s="113"/>
      <c r="CU127" s="113"/>
      <c r="CV127" s="113"/>
      <c r="CW127" s="113"/>
      <c r="CX127" s="113"/>
      <c r="CY127" s="113"/>
      <c r="CZ127" s="113"/>
      <c r="DA127" s="113"/>
      <c r="DB127" s="113"/>
      <c r="DC127" s="113"/>
      <c r="DD127" s="113"/>
      <c r="DE127" s="113"/>
      <c r="DF127" s="113"/>
      <c r="DG127" s="113"/>
      <c r="DH127" s="113"/>
      <c r="DI127" s="113"/>
      <c r="DJ127" s="113"/>
      <c r="DK127" s="113"/>
      <c r="DL127" s="113"/>
      <c r="DM127" s="114"/>
      <c r="DN127" s="47"/>
    </row>
    <row r="128" spans="5:118" x14ac:dyDescent="0.35">
      <c r="E128" s="111"/>
      <c r="F128" s="112"/>
      <c r="G128" s="112"/>
      <c r="H128" s="116"/>
      <c r="I128" s="115"/>
      <c r="J128" s="70"/>
      <c r="K128" s="68">
        <f t="shared" si="27"/>
        <v>0</v>
      </c>
      <c r="L128" s="38">
        <f t="shared" si="28"/>
        <v>0</v>
      </c>
      <c r="M128" s="39">
        <f t="shared" si="26"/>
        <v>0</v>
      </c>
      <c r="N128" s="113"/>
      <c r="O128" s="113"/>
      <c r="P128" s="113"/>
      <c r="Q128" s="113"/>
      <c r="R128" s="113"/>
      <c r="S128" s="113"/>
      <c r="T128" s="113"/>
      <c r="U128" s="113"/>
      <c r="V128" s="113"/>
      <c r="W128" s="113"/>
      <c r="X128" s="113"/>
      <c r="Y128" s="113"/>
      <c r="Z128" s="113"/>
      <c r="AA128" s="113"/>
      <c r="AB128" s="113"/>
      <c r="AC128" s="113"/>
      <c r="AD128" s="113"/>
      <c r="AE128" s="113"/>
      <c r="AF128" s="113"/>
      <c r="AG128" s="113"/>
      <c r="AH128" s="113"/>
      <c r="AI128" s="113"/>
      <c r="AJ128" s="113"/>
      <c r="AK128" s="113"/>
      <c r="AL128" s="113"/>
      <c r="AM128" s="113"/>
      <c r="AN128" s="113"/>
      <c r="AO128" s="113"/>
      <c r="AP128" s="113"/>
      <c r="AQ128" s="113"/>
      <c r="AR128" s="113"/>
      <c r="AS128" s="113"/>
      <c r="AT128" s="113"/>
      <c r="AU128" s="113"/>
      <c r="AV128" s="113"/>
      <c r="AW128" s="113"/>
      <c r="AX128" s="113"/>
      <c r="AY128" s="113"/>
      <c r="AZ128" s="113"/>
      <c r="BA128" s="113"/>
      <c r="BB128" s="113"/>
      <c r="BC128" s="113"/>
      <c r="BD128" s="113"/>
      <c r="BE128" s="113"/>
      <c r="BF128" s="113"/>
      <c r="BG128" s="113"/>
      <c r="BH128" s="113"/>
      <c r="BI128" s="113"/>
      <c r="BJ128" s="113"/>
      <c r="BK128" s="113"/>
      <c r="BL128" s="113"/>
      <c r="BM128" s="113"/>
      <c r="BN128" s="113"/>
      <c r="BO128" s="113"/>
      <c r="BP128" s="113"/>
      <c r="BQ128" s="113"/>
      <c r="BR128" s="113"/>
      <c r="BS128" s="113"/>
      <c r="BT128" s="113"/>
      <c r="BU128" s="113"/>
      <c r="BV128" s="113"/>
      <c r="BW128" s="113"/>
      <c r="BX128" s="113"/>
      <c r="BY128" s="113"/>
      <c r="BZ128" s="113"/>
      <c r="CA128" s="113"/>
      <c r="CB128" s="113"/>
      <c r="CC128" s="113"/>
      <c r="CD128" s="113"/>
      <c r="CE128" s="113"/>
      <c r="CF128" s="113"/>
      <c r="CG128" s="113"/>
      <c r="CH128" s="113"/>
      <c r="CI128" s="113"/>
      <c r="CJ128" s="113"/>
      <c r="CK128" s="113"/>
      <c r="CL128" s="113"/>
      <c r="CM128" s="113"/>
      <c r="CN128" s="113"/>
      <c r="CO128" s="113"/>
      <c r="CP128" s="113"/>
      <c r="CQ128" s="113"/>
      <c r="CR128" s="113"/>
      <c r="CS128" s="113"/>
      <c r="CT128" s="113"/>
      <c r="CU128" s="113"/>
      <c r="CV128" s="113"/>
      <c r="CW128" s="113"/>
      <c r="CX128" s="113"/>
      <c r="CY128" s="113"/>
      <c r="CZ128" s="113"/>
      <c r="DA128" s="113"/>
      <c r="DB128" s="113"/>
      <c r="DC128" s="113"/>
      <c r="DD128" s="113"/>
      <c r="DE128" s="113"/>
      <c r="DF128" s="113"/>
      <c r="DG128" s="113"/>
      <c r="DH128" s="113"/>
      <c r="DI128" s="113"/>
      <c r="DJ128" s="113"/>
      <c r="DK128" s="113"/>
      <c r="DL128" s="113"/>
      <c r="DM128" s="114"/>
      <c r="DN128" s="47"/>
    </row>
    <row r="129" spans="5:118" x14ac:dyDescent="0.35">
      <c r="E129" s="111"/>
      <c r="F129" s="112"/>
      <c r="G129" s="112"/>
      <c r="H129" s="116"/>
      <c r="I129" s="115"/>
      <c r="J129" s="70"/>
      <c r="K129" s="68">
        <f t="shared" si="27"/>
        <v>0</v>
      </c>
      <c r="L129" s="38">
        <f t="shared" si="28"/>
        <v>0</v>
      </c>
      <c r="M129" s="39">
        <f t="shared" si="26"/>
        <v>0</v>
      </c>
      <c r="N129" s="113"/>
      <c r="O129" s="113"/>
      <c r="P129" s="113"/>
      <c r="Q129" s="113"/>
      <c r="R129" s="113"/>
      <c r="S129" s="113"/>
      <c r="T129" s="113"/>
      <c r="U129" s="113"/>
      <c r="V129" s="113"/>
      <c r="W129" s="113"/>
      <c r="X129" s="113"/>
      <c r="Y129" s="113"/>
      <c r="Z129" s="113"/>
      <c r="AA129" s="113"/>
      <c r="AB129" s="113"/>
      <c r="AC129" s="113"/>
      <c r="AD129" s="113"/>
      <c r="AE129" s="113"/>
      <c r="AF129" s="113"/>
      <c r="AG129" s="113"/>
      <c r="AH129" s="113"/>
      <c r="AI129" s="113"/>
      <c r="AJ129" s="113"/>
      <c r="AK129" s="113"/>
      <c r="AL129" s="113"/>
      <c r="AM129" s="113"/>
      <c r="AN129" s="113"/>
      <c r="AO129" s="113"/>
      <c r="AP129" s="113"/>
      <c r="AQ129" s="113"/>
      <c r="AR129" s="113"/>
      <c r="AS129" s="113"/>
      <c r="AT129" s="113"/>
      <c r="AU129" s="113"/>
      <c r="AV129" s="113"/>
      <c r="AW129" s="113"/>
      <c r="AX129" s="113"/>
      <c r="AY129" s="113"/>
      <c r="AZ129" s="113"/>
      <c r="BA129" s="113"/>
      <c r="BB129" s="113"/>
      <c r="BC129" s="113"/>
      <c r="BD129" s="113"/>
      <c r="BE129" s="113"/>
      <c r="BF129" s="113"/>
      <c r="BG129" s="113"/>
      <c r="BH129" s="113"/>
      <c r="BI129" s="113"/>
      <c r="BJ129" s="113"/>
      <c r="BK129" s="113"/>
      <c r="BL129" s="113"/>
      <c r="BM129" s="113"/>
      <c r="BN129" s="113"/>
      <c r="BO129" s="113"/>
      <c r="BP129" s="113"/>
      <c r="BQ129" s="113"/>
      <c r="BR129" s="113"/>
      <c r="BS129" s="113"/>
      <c r="BT129" s="113"/>
      <c r="BU129" s="113"/>
      <c r="BV129" s="113"/>
      <c r="BW129" s="113"/>
      <c r="BX129" s="113"/>
      <c r="BY129" s="113"/>
      <c r="BZ129" s="113"/>
      <c r="CA129" s="113"/>
      <c r="CB129" s="113"/>
      <c r="CC129" s="113"/>
      <c r="CD129" s="113"/>
      <c r="CE129" s="113"/>
      <c r="CF129" s="113"/>
      <c r="CG129" s="113"/>
      <c r="CH129" s="113"/>
      <c r="CI129" s="113"/>
      <c r="CJ129" s="113"/>
      <c r="CK129" s="113"/>
      <c r="CL129" s="113"/>
      <c r="CM129" s="113"/>
      <c r="CN129" s="113"/>
      <c r="CO129" s="113"/>
      <c r="CP129" s="113"/>
      <c r="CQ129" s="113"/>
      <c r="CR129" s="113"/>
      <c r="CS129" s="113"/>
      <c r="CT129" s="113"/>
      <c r="CU129" s="113"/>
      <c r="CV129" s="113"/>
      <c r="CW129" s="113"/>
      <c r="CX129" s="113"/>
      <c r="CY129" s="113"/>
      <c r="CZ129" s="113"/>
      <c r="DA129" s="113"/>
      <c r="DB129" s="113"/>
      <c r="DC129" s="113"/>
      <c r="DD129" s="113"/>
      <c r="DE129" s="113"/>
      <c r="DF129" s="113"/>
      <c r="DG129" s="113"/>
      <c r="DH129" s="113"/>
      <c r="DI129" s="113"/>
      <c r="DJ129" s="113"/>
      <c r="DK129" s="113"/>
      <c r="DL129" s="113"/>
      <c r="DM129" s="114"/>
      <c r="DN129" s="47"/>
    </row>
    <row r="130" spans="5:118" x14ac:dyDescent="0.35">
      <c r="E130" s="111"/>
      <c r="F130" s="112"/>
      <c r="G130" s="112"/>
      <c r="H130" s="116"/>
      <c r="I130" s="115"/>
      <c r="J130" s="70"/>
      <c r="K130" s="68">
        <f t="shared" si="27"/>
        <v>0</v>
      </c>
      <c r="L130" s="38">
        <f t="shared" si="28"/>
        <v>0</v>
      </c>
      <c r="M130" s="39">
        <f t="shared" si="26"/>
        <v>0</v>
      </c>
      <c r="N130" s="113"/>
      <c r="O130" s="113"/>
      <c r="P130" s="113"/>
      <c r="Q130" s="113"/>
      <c r="R130" s="113"/>
      <c r="S130" s="113"/>
      <c r="T130" s="113"/>
      <c r="U130" s="113"/>
      <c r="V130" s="113"/>
      <c r="W130" s="113"/>
      <c r="X130" s="113"/>
      <c r="Y130" s="113"/>
      <c r="Z130" s="113"/>
      <c r="AA130" s="113"/>
      <c r="AB130" s="113"/>
      <c r="AC130" s="113"/>
      <c r="AD130" s="113"/>
      <c r="AE130" s="113"/>
      <c r="AF130" s="113"/>
      <c r="AG130" s="113"/>
      <c r="AH130" s="113"/>
      <c r="AI130" s="113"/>
      <c r="AJ130" s="113"/>
      <c r="AK130" s="113"/>
      <c r="AL130" s="113"/>
      <c r="AM130" s="113"/>
      <c r="AN130" s="113"/>
      <c r="AO130" s="113"/>
      <c r="AP130" s="113"/>
      <c r="AQ130" s="113"/>
      <c r="AR130" s="113"/>
      <c r="AS130" s="113"/>
      <c r="AT130" s="113"/>
      <c r="AU130" s="113"/>
      <c r="AV130" s="113"/>
      <c r="AW130" s="113"/>
      <c r="AX130" s="113"/>
      <c r="AY130" s="113"/>
      <c r="AZ130" s="113"/>
      <c r="BA130" s="113"/>
      <c r="BB130" s="113"/>
      <c r="BC130" s="113"/>
      <c r="BD130" s="113"/>
      <c r="BE130" s="113"/>
      <c r="BF130" s="113"/>
      <c r="BG130" s="113"/>
      <c r="BH130" s="113"/>
      <c r="BI130" s="113"/>
      <c r="BJ130" s="113"/>
      <c r="BK130" s="113"/>
      <c r="BL130" s="113"/>
      <c r="BM130" s="113"/>
      <c r="BN130" s="113"/>
      <c r="BO130" s="113"/>
      <c r="BP130" s="113"/>
      <c r="BQ130" s="113"/>
      <c r="BR130" s="113"/>
      <c r="BS130" s="113"/>
      <c r="BT130" s="113"/>
      <c r="BU130" s="113"/>
      <c r="BV130" s="113"/>
      <c r="BW130" s="113"/>
      <c r="BX130" s="113"/>
      <c r="BY130" s="113"/>
      <c r="BZ130" s="113"/>
      <c r="CA130" s="113"/>
      <c r="CB130" s="113"/>
      <c r="CC130" s="113"/>
      <c r="CD130" s="113"/>
      <c r="CE130" s="113"/>
      <c r="CF130" s="113"/>
      <c r="CG130" s="113"/>
      <c r="CH130" s="113"/>
      <c r="CI130" s="113"/>
      <c r="CJ130" s="113"/>
      <c r="CK130" s="113"/>
      <c r="CL130" s="113"/>
      <c r="CM130" s="113"/>
      <c r="CN130" s="113"/>
      <c r="CO130" s="113"/>
      <c r="CP130" s="113"/>
      <c r="CQ130" s="113"/>
      <c r="CR130" s="113"/>
      <c r="CS130" s="113"/>
      <c r="CT130" s="113"/>
      <c r="CU130" s="113"/>
      <c r="CV130" s="113"/>
      <c r="CW130" s="113"/>
      <c r="CX130" s="113"/>
      <c r="CY130" s="113"/>
      <c r="CZ130" s="113"/>
      <c r="DA130" s="113"/>
      <c r="DB130" s="113"/>
      <c r="DC130" s="113"/>
      <c r="DD130" s="113"/>
      <c r="DE130" s="113"/>
      <c r="DF130" s="113"/>
      <c r="DG130" s="113"/>
      <c r="DH130" s="113"/>
      <c r="DI130" s="113"/>
      <c r="DJ130" s="113"/>
      <c r="DK130" s="113"/>
      <c r="DL130" s="113"/>
      <c r="DM130" s="114"/>
      <c r="DN130" s="47"/>
    </row>
    <row r="131" spans="5:118" x14ac:dyDescent="0.35">
      <c r="E131" s="111"/>
      <c r="F131" s="112"/>
      <c r="G131" s="112"/>
      <c r="H131" s="116"/>
      <c r="I131" s="115"/>
      <c r="J131" s="70"/>
      <c r="K131" s="68">
        <f t="shared" si="27"/>
        <v>0</v>
      </c>
      <c r="L131" s="38">
        <f t="shared" si="28"/>
        <v>0</v>
      </c>
      <c r="M131" s="39">
        <f t="shared" si="26"/>
        <v>0</v>
      </c>
      <c r="N131" s="113"/>
      <c r="O131" s="113"/>
      <c r="P131" s="113"/>
      <c r="Q131" s="113"/>
      <c r="R131" s="113"/>
      <c r="S131" s="113"/>
      <c r="T131" s="113"/>
      <c r="U131" s="113"/>
      <c r="V131" s="113"/>
      <c r="W131" s="113"/>
      <c r="X131" s="113"/>
      <c r="Y131" s="113"/>
      <c r="Z131" s="113"/>
      <c r="AA131" s="113"/>
      <c r="AB131" s="113"/>
      <c r="AC131" s="113"/>
      <c r="AD131" s="113"/>
      <c r="AE131" s="113"/>
      <c r="AF131" s="113"/>
      <c r="AG131" s="113"/>
      <c r="AH131" s="113"/>
      <c r="AI131" s="113"/>
      <c r="AJ131" s="113"/>
      <c r="AK131" s="113"/>
      <c r="AL131" s="113"/>
      <c r="AM131" s="113"/>
      <c r="AN131" s="113"/>
      <c r="AO131" s="113"/>
      <c r="AP131" s="113"/>
      <c r="AQ131" s="113"/>
      <c r="AR131" s="113"/>
      <c r="AS131" s="113"/>
      <c r="AT131" s="113"/>
      <c r="AU131" s="113"/>
      <c r="AV131" s="113"/>
      <c r="AW131" s="113"/>
      <c r="AX131" s="113"/>
      <c r="AY131" s="113"/>
      <c r="AZ131" s="113"/>
      <c r="BA131" s="113"/>
      <c r="BB131" s="113"/>
      <c r="BC131" s="113"/>
      <c r="BD131" s="113"/>
      <c r="BE131" s="113"/>
      <c r="BF131" s="113"/>
      <c r="BG131" s="113"/>
      <c r="BH131" s="113"/>
      <c r="BI131" s="113"/>
      <c r="BJ131" s="113"/>
      <c r="BK131" s="113"/>
      <c r="BL131" s="113"/>
      <c r="BM131" s="113"/>
      <c r="BN131" s="113"/>
      <c r="BO131" s="113"/>
      <c r="BP131" s="113"/>
      <c r="BQ131" s="113"/>
      <c r="BR131" s="113"/>
      <c r="BS131" s="113"/>
      <c r="BT131" s="113"/>
      <c r="BU131" s="113"/>
      <c r="BV131" s="113"/>
      <c r="BW131" s="113"/>
      <c r="BX131" s="113"/>
      <c r="BY131" s="113"/>
      <c r="BZ131" s="113"/>
      <c r="CA131" s="113"/>
      <c r="CB131" s="113"/>
      <c r="CC131" s="113"/>
      <c r="CD131" s="113"/>
      <c r="CE131" s="113"/>
      <c r="CF131" s="113"/>
      <c r="CG131" s="113"/>
      <c r="CH131" s="113"/>
      <c r="CI131" s="113"/>
      <c r="CJ131" s="113"/>
      <c r="CK131" s="113"/>
      <c r="CL131" s="113"/>
      <c r="CM131" s="113"/>
      <c r="CN131" s="113"/>
      <c r="CO131" s="113"/>
      <c r="CP131" s="113"/>
      <c r="CQ131" s="113"/>
      <c r="CR131" s="113"/>
      <c r="CS131" s="113"/>
      <c r="CT131" s="113"/>
      <c r="CU131" s="113"/>
      <c r="CV131" s="113"/>
      <c r="CW131" s="113"/>
      <c r="CX131" s="113"/>
      <c r="CY131" s="113"/>
      <c r="CZ131" s="113"/>
      <c r="DA131" s="113"/>
      <c r="DB131" s="113"/>
      <c r="DC131" s="113"/>
      <c r="DD131" s="113"/>
      <c r="DE131" s="113"/>
      <c r="DF131" s="113"/>
      <c r="DG131" s="113"/>
      <c r="DH131" s="113"/>
      <c r="DI131" s="113"/>
      <c r="DJ131" s="113"/>
      <c r="DK131" s="113"/>
      <c r="DL131" s="113"/>
      <c r="DM131" s="114"/>
      <c r="DN131" s="47"/>
    </row>
    <row r="132" spans="5:118" x14ac:dyDescent="0.35">
      <c r="E132" s="111"/>
      <c r="F132" s="112"/>
      <c r="G132" s="112"/>
      <c r="H132" s="116"/>
      <c r="I132" s="115"/>
      <c r="J132" s="70"/>
      <c r="K132" s="68">
        <f t="shared" si="27"/>
        <v>0</v>
      </c>
      <c r="L132" s="38">
        <f t="shared" si="28"/>
        <v>0</v>
      </c>
      <c r="M132" s="39">
        <f t="shared" si="26"/>
        <v>0</v>
      </c>
      <c r="N132" s="113"/>
      <c r="O132" s="113"/>
      <c r="P132" s="113"/>
      <c r="Q132" s="113"/>
      <c r="R132" s="113"/>
      <c r="S132" s="113"/>
      <c r="T132" s="113"/>
      <c r="U132" s="113"/>
      <c r="V132" s="113"/>
      <c r="W132" s="113"/>
      <c r="X132" s="113"/>
      <c r="Y132" s="113"/>
      <c r="Z132" s="113"/>
      <c r="AA132" s="113"/>
      <c r="AB132" s="113"/>
      <c r="AC132" s="113"/>
      <c r="AD132" s="113"/>
      <c r="AE132" s="113"/>
      <c r="AF132" s="113"/>
      <c r="AG132" s="113"/>
      <c r="AH132" s="113"/>
      <c r="AI132" s="113"/>
      <c r="AJ132" s="113"/>
      <c r="AK132" s="113"/>
      <c r="AL132" s="113"/>
      <c r="AM132" s="113"/>
      <c r="AN132" s="113"/>
      <c r="AO132" s="113"/>
      <c r="AP132" s="113"/>
      <c r="AQ132" s="113"/>
      <c r="AR132" s="113"/>
      <c r="AS132" s="113"/>
      <c r="AT132" s="113"/>
      <c r="AU132" s="113"/>
      <c r="AV132" s="113"/>
      <c r="AW132" s="113"/>
      <c r="AX132" s="113"/>
      <c r="AY132" s="113"/>
      <c r="AZ132" s="113"/>
      <c r="BA132" s="113"/>
      <c r="BB132" s="113"/>
      <c r="BC132" s="113"/>
      <c r="BD132" s="113"/>
      <c r="BE132" s="113"/>
      <c r="BF132" s="113"/>
      <c r="BG132" s="113"/>
      <c r="BH132" s="113"/>
      <c r="BI132" s="113"/>
      <c r="BJ132" s="113"/>
      <c r="BK132" s="113"/>
      <c r="BL132" s="113"/>
      <c r="BM132" s="113"/>
      <c r="BN132" s="113"/>
      <c r="BO132" s="113"/>
      <c r="BP132" s="113"/>
      <c r="BQ132" s="113"/>
      <c r="BR132" s="113"/>
      <c r="BS132" s="113"/>
      <c r="BT132" s="113"/>
      <c r="BU132" s="113"/>
      <c r="BV132" s="113"/>
      <c r="BW132" s="113"/>
      <c r="BX132" s="113"/>
      <c r="BY132" s="113"/>
      <c r="BZ132" s="113"/>
      <c r="CA132" s="113"/>
      <c r="CB132" s="113"/>
      <c r="CC132" s="113"/>
      <c r="CD132" s="113"/>
      <c r="CE132" s="113"/>
      <c r="CF132" s="113"/>
      <c r="CG132" s="113"/>
      <c r="CH132" s="113"/>
      <c r="CI132" s="113"/>
      <c r="CJ132" s="113"/>
      <c r="CK132" s="113"/>
      <c r="CL132" s="113"/>
      <c r="CM132" s="113"/>
      <c r="CN132" s="113"/>
      <c r="CO132" s="113"/>
      <c r="CP132" s="113"/>
      <c r="CQ132" s="113"/>
      <c r="CR132" s="113"/>
      <c r="CS132" s="113"/>
      <c r="CT132" s="113"/>
      <c r="CU132" s="113"/>
      <c r="CV132" s="113"/>
      <c r="CW132" s="113"/>
      <c r="CX132" s="113"/>
      <c r="CY132" s="113"/>
      <c r="CZ132" s="113"/>
      <c r="DA132" s="113"/>
      <c r="DB132" s="113"/>
      <c r="DC132" s="113"/>
      <c r="DD132" s="113"/>
      <c r="DE132" s="113"/>
      <c r="DF132" s="113"/>
      <c r="DG132" s="113"/>
      <c r="DH132" s="113"/>
      <c r="DI132" s="113"/>
      <c r="DJ132" s="113"/>
      <c r="DK132" s="113"/>
      <c r="DL132" s="113"/>
      <c r="DM132" s="114"/>
      <c r="DN132" s="47"/>
    </row>
    <row r="133" spans="5:118" x14ac:dyDescent="0.35">
      <c r="E133" s="111"/>
      <c r="F133" s="112"/>
      <c r="G133" s="112"/>
      <c r="H133" s="116"/>
      <c r="I133" s="115"/>
      <c r="J133" s="70"/>
      <c r="K133" s="68">
        <f t="shared" si="27"/>
        <v>0</v>
      </c>
      <c r="L133" s="38">
        <f t="shared" si="28"/>
        <v>0</v>
      </c>
      <c r="M133" s="39">
        <f t="shared" si="26"/>
        <v>0</v>
      </c>
      <c r="N133" s="113"/>
      <c r="O133" s="113"/>
      <c r="P133" s="113"/>
      <c r="Q133" s="113"/>
      <c r="R133" s="113"/>
      <c r="S133" s="113"/>
      <c r="T133" s="113"/>
      <c r="U133" s="113"/>
      <c r="V133" s="113"/>
      <c r="W133" s="113"/>
      <c r="X133" s="113"/>
      <c r="Y133" s="113"/>
      <c r="Z133" s="113"/>
      <c r="AA133" s="113"/>
      <c r="AB133" s="113"/>
      <c r="AC133" s="113"/>
      <c r="AD133" s="113"/>
      <c r="AE133" s="113"/>
      <c r="AF133" s="113"/>
      <c r="AG133" s="113"/>
      <c r="AH133" s="113"/>
      <c r="AI133" s="113"/>
      <c r="AJ133" s="113"/>
      <c r="AK133" s="113"/>
      <c r="AL133" s="113"/>
      <c r="AM133" s="113"/>
      <c r="AN133" s="113"/>
      <c r="AO133" s="113"/>
      <c r="AP133" s="113"/>
      <c r="AQ133" s="113"/>
      <c r="AR133" s="113"/>
      <c r="AS133" s="113"/>
      <c r="AT133" s="113"/>
      <c r="AU133" s="113"/>
      <c r="AV133" s="113"/>
      <c r="AW133" s="113"/>
      <c r="AX133" s="113"/>
      <c r="AY133" s="113"/>
      <c r="AZ133" s="113"/>
      <c r="BA133" s="113"/>
      <c r="BB133" s="113"/>
      <c r="BC133" s="113"/>
      <c r="BD133" s="113"/>
      <c r="BE133" s="113"/>
      <c r="BF133" s="113"/>
      <c r="BG133" s="113"/>
      <c r="BH133" s="113"/>
      <c r="BI133" s="113"/>
      <c r="BJ133" s="113"/>
      <c r="BK133" s="113"/>
      <c r="BL133" s="113"/>
      <c r="BM133" s="113"/>
      <c r="BN133" s="113"/>
      <c r="BO133" s="113"/>
      <c r="BP133" s="113"/>
      <c r="BQ133" s="113"/>
      <c r="BR133" s="113"/>
      <c r="BS133" s="113"/>
      <c r="BT133" s="113"/>
      <c r="BU133" s="113"/>
      <c r="BV133" s="113"/>
      <c r="BW133" s="113"/>
      <c r="BX133" s="113"/>
      <c r="BY133" s="113"/>
      <c r="BZ133" s="113"/>
      <c r="CA133" s="113"/>
      <c r="CB133" s="113"/>
      <c r="CC133" s="113"/>
      <c r="CD133" s="113"/>
      <c r="CE133" s="113"/>
      <c r="CF133" s="113"/>
      <c r="CG133" s="113"/>
      <c r="CH133" s="113"/>
      <c r="CI133" s="113"/>
      <c r="CJ133" s="113"/>
      <c r="CK133" s="113"/>
      <c r="CL133" s="113"/>
      <c r="CM133" s="113"/>
      <c r="CN133" s="113"/>
      <c r="CO133" s="113"/>
      <c r="CP133" s="113"/>
      <c r="CQ133" s="113"/>
      <c r="CR133" s="113"/>
      <c r="CS133" s="113"/>
      <c r="CT133" s="113"/>
      <c r="CU133" s="113"/>
      <c r="CV133" s="113"/>
      <c r="CW133" s="113"/>
      <c r="CX133" s="113"/>
      <c r="CY133" s="113"/>
      <c r="CZ133" s="113"/>
      <c r="DA133" s="113"/>
      <c r="DB133" s="113"/>
      <c r="DC133" s="113"/>
      <c r="DD133" s="113"/>
      <c r="DE133" s="113"/>
      <c r="DF133" s="113"/>
      <c r="DG133" s="113"/>
      <c r="DH133" s="113"/>
      <c r="DI133" s="113"/>
      <c r="DJ133" s="113"/>
      <c r="DK133" s="113"/>
      <c r="DL133" s="113"/>
      <c r="DM133" s="114"/>
      <c r="DN133" s="47"/>
    </row>
    <row r="134" spans="5:118" x14ac:dyDescent="0.35">
      <c r="E134" s="111"/>
      <c r="F134" s="112"/>
      <c r="G134" s="112"/>
      <c r="H134" s="116"/>
      <c r="I134" s="115"/>
      <c r="J134" s="70"/>
      <c r="K134" s="68">
        <f t="shared" si="27"/>
        <v>0</v>
      </c>
      <c r="L134" s="38">
        <f t="shared" si="28"/>
        <v>0</v>
      </c>
      <c r="M134" s="39">
        <f t="shared" si="26"/>
        <v>0</v>
      </c>
      <c r="N134" s="113"/>
      <c r="O134" s="113"/>
      <c r="P134" s="113"/>
      <c r="Q134" s="113"/>
      <c r="R134" s="113"/>
      <c r="S134" s="113"/>
      <c r="T134" s="113"/>
      <c r="U134" s="113"/>
      <c r="V134" s="113"/>
      <c r="W134" s="113"/>
      <c r="X134" s="113"/>
      <c r="Y134" s="113"/>
      <c r="Z134" s="113"/>
      <c r="AA134" s="113"/>
      <c r="AB134" s="113"/>
      <c r="AC134" s="113"/>
      <c r="AD134" s="113"/>
      <c r="AE134" s="113"/>
      <c r="AF134" s="113"/>
      <c r="AG134" s="113"/>
      <c r="AH134" s="113"/>
      <c r="AI134" s="113"/>
      <c r="AJ134" s="113"/>
      <c r="AK134" s="113"/>
      <c r="AL134" s="113"/>
      <c r="AM134" s="113"/>
      <c r="AN134" s="113"/>
      <c r="AO134" s="113"/>
      <c r="AP134" s="113"/>
      <c r="AQ134" s="113"/>
      <c r="AR134" s="113"/>
      <c r="AS134" s="113"/>
      <c r="AT134" s="113"/>
      <c r="AU134" s="113"/>
      <c r="AV134" s="113"/>
      <c r="AW134" s="113"/>
      <c r="AX134" s="113"/>
      <c r="AY134" s="113"/>
      <c r="AZ134" s="113"/>
      <c r="BA134" s="113"/>
      <c r="BB134" s="113"/>
      <c r="BC134" s="113"/>
      <c r="BD134" s="113"/>
      <c r="BE134" s="113"/>
      <c r="BF134" s="113"/>
      <c r="BG134" s="113"/>
      <c r="BH134" s="113"/>
      <c r="BI134" s="113"/>
      <c r="BJ134" s="113"/>
      <c r="BK134" s="113"/>
      <c r="BL134" s="113"/>
      <c r="BM134" s="113"/>
      <c r="BN134" s="113"/>
      <c r="BO134" s="113"/>
      <c r="BP134" s="113"/>
      <c r="BQ134" s="113"/>
      <c r="BR134" s="113"/>
      <c r="BS134" s="113"/>
      <c r="BT134" s="113"/>
      <c r="BU134" s="113"/>
      <c r="BV134" s="113"/>
      <c r="BW134" s="113"/>
      <c r="BX134" s="113"/>
      <c r="BY134" s="113"/>
      <c r="BZ134" s="113"/>
      <c r="CA134" s="113"/>
      <c r="CB134" s="113"/>
      <c r="CC134" s="113"/>
      <c r="CD134" s="113"/>
      <c r="CE134" s="113"/>
      <c r="CF134" s="113"/>
      <c r="CG134" s="113"/>
      <c r="CH134" s="113"/>
      <c r="CI134" s="113"/>
      <c r="CJ134" s="113"/>
      <c r="CK134" s="113"/>
      <c r="CL134" s="113"/>
      <c r="CM134" s="113"/>
      <c r="CN134" s="113"/>
      <c r="CO134" s="113"/>
      <c r="CP134" s="113"/>
      <c r="CQ134" s="113"/>
      <c r="CR134" s="113"/>
      <c r="CS134" s="113"/>
      <c r="CT134" s="113"/>
      <c r="CU134" s="113"/>
      <c r="CV134" s="113"/>
      <c r="CW134" s="113"/>
      <c r="CX134" s="113"/>
      <c r="CY134" s="113"/>
      <c r="CZ134" s="113"/>
      <c r="DA134" s="113"/>
      <c r="DB134" s="113"/>
      <c r="DC134" s="113"/>
      <c r="DD134" s="113"/>
      <c r="DE134" s="113"/>
      <c r="DF134" s="113"/>
      <c r="DG134" s="113"/>
      <c r="DH134" s="113"/>
      <c r="DI134" s="113"/>
      <c r="DJ134" s="113"/>
      <c r="DK134" s="113"/>
      <c r="DL134" s="113"/>
      <c r="DM134" s="114"/>
      <c r="DN134" s="47"/>
    </row>
    <row r="135" spans="5:118" hidden="1" x14ac:dyDescent="0.35">
      <c r="E135" s="111"/>
      <c r="F135" s="112"/>
      <c r="G135" s="112"/>
      <c r="H135" s="116"/>
      <c r="I135" s="116"/>
      <c r="J135" s="121"/>
      <c r="K135" s="38">
        <f t="shared" si="27"/>
        <v>0</v>
      </c>
      <c r="L135" s="38">
        <f t="shared" si="28"/>
        <v>0</v>
      </c>
      <c r="M135" s="39">
        <f t="shared" si="26"/>
        <v>0</v>
      </c>
      <c r="N135" s="113"/>
      <c r="O135" s="113"/>
      <c r="P135" s="113"/>
      <c r="Q135" s="113"/>
      <c r="R135" s="113"/>
      <c r="S135" s="113"/>
      <c r="T135" s="113"/>
      <c r="U135" s="113"/>
      <c r="V135" s="113"/>
      <c r="W135" s="113"/>
      <c r="X135" s="113"/>
      <c r="Y135" s="113"/>
      <c r="Z135" s="113"/>
      <c r="AA135" s="113"/>
      <c r="AB135" s="113"/>
      <c r="AC135" s="113"/>
      <c r="AD135" s="113"/>
      <c r="AE135" s="113"/>
      <c r="AF135" s="113"/>
      <c r="AG135" s="113"/>
      <c r="AH135" s="113"/>
      <c r="AI135" s="113"/>
      <c r="AJ135" s="113"/>
      <c r="AK135" s="113"/>
      <c r="AL135" s="113"/>
      <c r="AM135" s="113"/>
      <c r="AN135" s="113"/>
      <c r="AO135" s="113"/>
      <c r="AP135" s="113"/>
      <c r="AQ135" s="113"/>
      <c r="AR135" s="113"/>
      <c r="AS135" s="113"/>
      <c r="AT135" s="113"/>
      <c r="AU135" s="113"/>
      <c r="AV135" s="113"/>
      <c r="AW135" s="113"/>
      <c r="AX135" s="113"/>
      <c r="AY135" s="113"/>
      <c r="AZ135" s="113"/>
      <c r="BA135" s="113"/>
      <c r="BB135" s="113"/>
      <c r="BC135" s="113"/>
      <c r="BD135" s="113"/>
      <c r="BE135" s="113"/>
      <c r="BF135" s="113"/>
      <c r="BG135" s="113"/>
      <c r="BH135" s="113"/>
      <c r="BI135" s="113"/>
      <c r="BJ135" s="113"/>
      <c r="BK135" s="113"/>
      <c r="BL135" s="113"/>
      <c r="BM135" s="113"/>
      <c r="BN135" s="113"/>
      <c r="BO135" s="113"/>
      <c r="BP135" s="113"/>
      <c r="BQ135" s="113"/>
      <c r="BR135" s="113"/>
      <c r="BS135" s="113"/>
      <c r="BT135" s="113"/>
      <c r="BU135" s="113"/>
      <c r="BV135" s="113"/>
      <c r="BW135" s="113"/>
      <c r="BX135" s="113"/>
      <c r="BY135" s="113"/>
      <c r="BZ135" s="113"/>
      <c r="CA135" s="113"/>
      <c r="CB135" s="113"/>
      <c r="CC135" s="113"/>
      <c r="CD135" s="113"/>
      <c r="CE135" s="113"/>
      <c r="CF135" s="113"/>
      <c r="CG135" s="113"/>
      <c r="CH135" s="113"/>
      <c r="CI135" s="113"/>
      <c r="CJ135" s="113"/>
      <c r="CK135" s="113"/>
      <c r="CL135" s="113"/>
      <c r="CM135" s="113"/>
      <c r="CN135" s="113"/>
      <c r="CO135" s="113"/>
      <c r="CP135" s="113"/>
      <c r="CQ135" s="113"/>
      <c r="CR135" s="113"/>
      <c r="CS135" s="113"/>
      <c r="CT135" s="113"/>
      <c r="CU135" s="113"/>
      <c r="CV135" s="113"/>
      <c r="CW135" s="113"/>
      <c r="CX135" s="113"/>
      <c r="CY135" s="113"/>
      <c r="CZ135" s="113"/>
      <c r="DA135" s="113"/>
      <c r="DB135" s="113"/>
      <c r="DC135" s="113"/>
      <c r="DD135" s="113"/>
      <c r="DE135" s="113"/>
      <c r="DF135" s="113"/>
      <c r="DG135" s="113"/>
      <c r="DH135" s="113"/>
      <c r="DI135" s="113"/>
      <c r="DJ135" s="113"/>
      <c r="DK135" s="113"/>
      <c r="DL135" s="113"/>
      <c r="DM135" s="114"/>
      <c r="DN135" s="47"/>
    </row>
    <row r="136" spans="5:118" hidden="1" x14ac:dyDescent="0.35">
      <c r="E136" s="111"/>
      <c r="F136" s="112"/>
      <c r="G136" s="112"/>
      <c r="H136" s="116"/>
      <c r="I136" s="116"/>
      <c r="J136" s="122"/>
      <c r="K136" s="38">
        <f t="shared" si="27"/>
        <v>0</v>
      </c>
      <c r="L136" s="38">
        <f t="shared" si="28"/>
        <v>0</v>
      </c>
      <c r="M136" s="39">
        <f t="shared" si="26"/>
        <v>0</v>
      </c>
      <c r="N136" s="113"/>
      <c r="O136" s="113"/>
      <c r="P136" s="113"/>
      <c r="Q136" s="113"/>
      <c r="R136" s="113"/>
      <c r="S136" s="113"/>
      <c r="T136" s="113"/>
      <c r="U136" s="113"/>
      <c r="V136" s="113"/>
      <c r="W136" s="113"/>
      <c r="X136" s="113"/>
      <c r="Y136" s="113"/>
      <c r="Z136" s="113"/>
      <c r="AA136" s="113"/>
      <c r="AB136" s="113"/>
      <c r="AC136" s="113"/>
      <c r="AD136" s="113"/>
      <c r="AE136" s="113"/>
      <c r="AF136" s="113"/>
      <c r="AG136" s="113"/>
      <c r="AH136" s="113"/>
      <c r="AI136" s="113"/>
      <c r="AJ136" s="113"/>
      <c r="AK136" s="113"/>
      <c r="AL136" s="113"/>
      <c r="AM136" s="113"/>
      <c r="AN136" s="113"/>
      <c r="AO136" s="113"/>
      <c r="AP136" s="113"/>
      <c r="AQ136" s="113"/>
      <c r="AR136" s="113"/>
      <c r="AS136" s="113"/>
      <c r="AT136" s="113"/>
      <c r="AU136" s="113"/>
      <c r="AV136" s="113"/>
      <c r="AW136" s="113"/>
      <c r="AX136" s="113"/>
      <c r="AY136" s="113"/>
      <c r="AZ136" s="113"/>
      <c r="BA136" s="113"/>
      <c r="BB136" s="113"/>
      <c r="BC136" s="113"/>
      <c r="BD136" s="113"/>
      <c r="BE136" s="113"/>
      <c r="BF136" s="113"/>
      <c r="BG136" s="113"/>
      <c r="BH136" s="113"/>
      <c r="BI136" s="113"/>
      <c r="BJ136" s="113"/>
      <c r="BK136" s="113"/>
      <c r="BL136" s="113"/>
      <c r="BM136" s="113"/>
      <c r="BN136" s="113"/>
      <c r="BO136" s="113"/>
      <c r="BP136" s="113"/>
      <c r="BQ136" s="113"/>
      <c r="BR136" s="113"/>
      <c r="BS136" s="113"/>
      <c r="BT136" s="113"/>
      <c r="BU136" s="113"/>
      <c r="BV136" s="113"/>
      <c r="BW136" s="113"/>
      <c r="BX136" s="113"/>
      <c r="BY136" s="113"/>
      <c r="BZ136" s="113"/>
      <c r="CA136" s="113"/>
      <c r="CB136" s="113"/>
      <c r="CC136" s="113"/>
      <c r="CD136" s="113"/>
      <c r="CE136" s="113"/>
      <c r="CF136" s="113"/>
      <c r="CG136" s="113"/>
      <c r="CH136" s="113"/>
      <c r="CI136" s="113"/>
      <c r="CJ136" s="113"/>
      <c r="CK136" s="113"/>
      <c r="CL136" s="113"/>
      <c r="CM136" s="113"/>
      <c r="CN136" s="113"/>
      <c r="CO136" s="113"/>
      <c r="CP136" s="113"/>
      <c r="CQ136" s="113"/>
      <c r="CR136" s="113"/>
      <c r="CS136" s="113"/>
      <c r="CT136" s="113"/>
      <c r="CU136" s="113"/>
      <c r="CV136" s="113"/>
      <c r="CW136" s="113"/>
      <c r="CX136" s="113"/>
      <c r="CY136" s="113"/>
      <c r="CZ136" s="113"/>
      <c r="DA136" s="113"/>
      <c r="DB136" s="113"/>
      <c r="DC136" s="113"/>
      <c r="DD136" s="113"/>
      <c r="DE136" s="113"/>
      <c r="DF136" s="113"/>
      <c r="DG136" s="113"/>
      <c r="DH136" s="113"/>
      <c r="DI136" s="113"/>
      <c r="DJ136" s="113"/>
      <c r="DK136" s="113"/>
      <c r="DL136" s="113"/>
      <c r="DM136" s="114"/>
      <c r="DN136" s="47"/>
    </row>
    <row r="137" spans="5:118" hidden="1" x14ac:dyDescent="0.35">
      <c r="E137" s="111"/>
      <c r="F137" s="112"/>
      <c r="G137" s="112"/>
      <c r="H137" s="116"/>
      <c r="I137" s="116"/>
      <c r="J137" s="122"/>
      <c r="K137" s="38">
        <f t="shared" si="27"/>
        <v>0</v>
      </c>
      <c r="L137" s="38">
        <f t="shared" si="28"/>
        <v>0</v>
      </c>
      <c r="M137" s="39">
        <f t="shared" si="26"/>
        <v>0</v>
      </c>
      <c r="N137" s="113"/>
      <c r="O137" s="113"/>
      <c r="P137" s="113"/>
      <c r="Q137" s="113"/>
      <c r="R137" s="113"/>
      <c r="S137" s="113"/>
      <c r="T137" s="113"/>
      <c r="U137" s="113"/>
      <c r="V137" s="113"/>
      <c r="W137" s="113"/>
      <c r="X137" s="113"/>
      <c r="Y137" s="113"/>
      <c r="Z137" s="113"/>
      <c r="AA137" s="113"/>
      <c r="AB137" s="113"/>
      <c r="AC137" s="113"/>
      <c r="AD137" s="113"/>
      <c r="AE137" s="113"/>
      <c r="AF137" s="113"/>
      <c r="AG137" s="113"/>
      <c r="AH137" s="113"/>
      <c r="AI137" s="113"/>
      <c r="AJ137" s="113"/>
      <c r="AK137" s="113"/>
      <c r="AL137" s="113"/>
      <c r="AM137" s="113"/>
      <c r="AN137" s="113"/>
      <c r="AO137" s="113"/>
      <c r="AP137" s="113"/>
      <c r="AQ137" s="113"/>
      <c r="AR137" s="113"/>
      <c r="AS137" s="113"/>
      <c r="AT137" s="113"/>
      <c r="AU137" s="113"/>
      <c r="AV137" s="113"/>
      <c r="AW137" s="113"/>
      <c r="AX137" s="113"/>
      <c r="AY137" s="113"/>
      <c r="AZ137" s="113"/>
      <c r="BA137" s="113"/>
      <c r="BB137" s="113"/>
      <c r="BC137" s="113"/>
      <c r="BD137" s="113"/>
      <c r="BE137" s="113"/>
      <c r="BF137" s="113"/>
      <c r="BG137" s="113"/>
      <c r="BH137" s="113"/>
      <c r="BI137" s="113"/>
      <c r="BJ137" s="113"/>
      <c r="BK137" s="113"/>
      <c r="BL137" s="113"/>
      <c r="BM137" s="113"/>
      <c r="BN137" s="113"/>
      <c r="BO137" s="113"/>
      <c r="BP137" s="113"/>
      <c r="BQ137" s="113"/>
      <c r="BR137" s="113"/>
      <c r="BS137" s="113"/>
      <c r="BT137" s="113"/>
      <c r="BU137" s="113"/>
      <c r="BV137" s="113"/>
      <c r="BW137" s="113"/>
      <c r="BX137" s="113"/>
      <c r="BY137" s="113"/>
      <c r="BZ137" s="113"/>
      <c r="CA137" s="113"/>
      <c r="CB137" s="113"/>
      <c r="CC137" s="113"/>
      <c r="CD137" s="113"/>
      <c r="CE137" s="113"/>
      <c r="CF137" s="113"/>
      <c r="CG137" s="113"/>
      <c r="CH137" s="113"/>
      <c r="CI137" s="113"/>
      <c r="CJ137" s="113"/>
      <c r="CK137" s="113"/>
      <c r="CL137" s="113"/>
      <c r="CM137" s="113"/>
      <c r="CN137" s="113"/>
      <c r="CO137" s="113"/>
      <c r="CP137" s="113"/>
      <c r="CQ137" s="113"/>
      <c r="CR137" s="113"/>
      <c r="CS137" s="113"/>
      <c r="CT137" s="113"/>
      <c r="CU137" s="113"/>
      <c r="CV137" s="113"/>
      <c r="CW137" s="113"/>
      <c r="CX137" s="113"/>
      <c r="CY137" s="113"/>
      <c r="CZ137" s="113"/>
      <c r="DA137" s="113"/>
      <c r="DB137" s="113"/>
      <c r="DC137" s="113"/>
      <c r="DD137" s="113"/>
      <c r="DE137" s="113"/>
      <c r="DF137" s="113"/>
      <c r="DG137" s="113"/>
      <c r="DH137" s="113"/>
      <c r="DI137" s="113"/>
      <c r="DJ137" s="113"/>
      <c r="DK137" s="113"/>
      <c r="DL137" s="113"/>
      <c r="DM137" s="114"/>
      <c r="DN137" s="47"/>
    </row>
    <row r="138" spans="5:118" hidden="1" x14ac:dyDescent="0.35">
      <c r="E138" s="111"/>
      <c r="F138" s="112"/>
      <c r="G138" s="112"/>
      <c r="H138" s="116"/>
      <c r="I138" s="116"/>
      <c r="J138" s="122"/>
      <c r="K138" s="38">
        <f t="shared" si="27"/>
        <v>0</v>
      </c>
      <c r="L138" s="38">
        <f t="shared" si="28"/>
        <v>0</v>
      </c>
      <c r="M138" s="39">
        <f t="shared" si="26"/>
        <v>0</v>
      </c>
      <c r="N138" s="113"/>
      <c r="O138" s="113"/>
      <c r="P138" s="113"/>
      <c r="Q138" s="113"/>
      <c r="R138" s="113"/>
      <c r="S138" s="113"/>
      <c r="T138" s="113"/>
      <c r="U138" s="113"/>
      <c r="V138" s="113"/>
      <c r="W138" s="113"/>
      <c r="X138" s="113"/>
      <c r="Y138" s="113"/>
      <c r="Z138" s="113"/>
      <c r="AA138" s="113"/>
      <c r="AB138" s="113"/>
      <c r="AC138" s="113"/>
      <c r="AD138" s="113"/>
      <c r="AE138" s="113"/>
      <c r="AF138" s="113"/>
      <c r="AG138" s="113"/>
      <c r="AH138" s="113"/>
      <c r="AI138" s="113"/>
      <c r="AJ138" s="113"/>
      <c r="AK138" s="113"/>
      <c r="AL138" s="113"/>
      <c r="AM138" s="113"/>
      <c r="AN138" s="113"/>
      <c r="AO138" s="113"/>
      <c r="AP138" s="113"/>
      <c r="AQ138" s="113"/>
      <c r="AR138" s="113"/>
      <c r="AS138" s="113"/>
      <c r="AT138" s="113"/>
      <c r="AU138" s="113"/>
      <c r="AV138" s="113"/>
      <c r="AW138" s="113"/>
      <c r="AX138" s="113"/>
      <c r="AY138" s="113"/>
      <c r="AZ138" s="113"/>
      <c r="BA138" s="113"/>
      <c r="BB138" s="113"/>
      <c r="BC138" s="113"/>
      <c r="BD138" s="113"/>
      <c r="BE138" s="113"/>
      <c r="BF138" s="113"/>
      <c r="BG138" s="113"/>
      <c r="BH138" s="113"/>
      <c r="BI138" s="113"/>
      <c r="BJ138" s="113"/>
      <c r="BK138" s="113"/>
      <c r="BL138" s="113"/>
      <c r="BM138" s="113"/>
      <c r="BN138" s="113"/>
      <c r="BO138" s="113"/>
      <c r="BP138" s="113"/>
      <c r="BQ138" s="113"/>
      <c r="BR138" s="113"/>
      <c r="BS138" s="113"/>
      <c r="BT138" s="113"/>
      <c r="BU138" s="113"/>
      <c r="BV138" s="113"/>
      <c r="BW138" s="113"/>
      <c r="BX138" s="113"/>
      <c r="BY138" s="113"/>
      <c r="BZ138" s="113"/>
      <c r="CA138" s="113"/>
      <c r="CB138" s="113"/>
      <c r="CC138" s="113"/>
      <c r="CD138" s="113"/>
      <c r="CE138" s="113"/>
      <c r="CF138" s="113"/>
      <c r="CG138" s="113"/>
      <c r="CH138" s="113"/>
      <c r="CI138" s="113"/>
      <c r="CJ138" s="113"/>
      <c r="CK138" s="113"/>
      <c r="CL138" s="113"/>
      <c r="CM138" s="113"/>
      <c r="CN138" s="113"/>
      <c r="CO138" s="113"/>
      <c r="CP138" s="113"/>
      <c r="CQ138" s="113"/>
      <c r="CR138" s="113"/>
      <c r="CS138" s="113"/>
      <c r="CT138" s="113"/>
      <c r="CU138" s="113"/>
      <c r="CV138" s="113"/>
      <c r="CW138" s="113"/>
      <c r="CX138" s="113"/>
      <c r="CY138" s="113"/>
      <c r="CZ138" s="113"/>
      <c r="DA138" s="113"/>
      <c r="DB138" s="113"/>
      <c r="DC138" s="113"/>
      <c r="DD138" s="113"/>
      <c r="DE138" s="113"/>
      <c r="DF138" s="113"/>
      <c r="DG138" s="113"/>
      <c r="DH138" s="113"/>
      <c r="DI138" s="113"/>
      <c r="DJ138" s="113"/>
      <c r="DK138" s="113"/>
      <c r="DL138" s="113"/>
      <c r="DM138" s="114"/>
      <c r="DN138" s="47"/>
    </row>
    <row r="139" spans="5:118" hidden="1" x14ac:dyDescent="0.35">
      <c r="E139" s="111"/>
      <c r="F139" s="112"/>
      <c r="G139" s="112"/>
      <c r="H139" s="116"/>
      <c r="I139" s="116"/>
      <c r="J139" s="122"/>
      <c r="K139" s="38">
        <f t="shared" si="27"/>
        <v>0</v>
      </c>
      <c r="L139" s="38">
        <f t="shared" si="28"/>
        <v>0</v>
      </c>
      <c r="M139" s="39">
        <f t="shared" si="26"/>
        <v>0</v>
      </c>
      <c r="N139" s="113"/>
      <c r="O139" s="113"/>
      <c r="P139" s="113"/>
      <c r="Q139" s="113"/>
      <c r="R139" s="113"/>
      <c r="S139" s="113"/>
      <c r="T139" s="113"/>
      <c r="U139" s="113"/>
      <c r="V139" s="113"/>
      <c r="W139" s="113"/>
      <c r="X139" s="113"/>
      <c r="Y139" s="113"/>
      <c r="Z139" s="113"/>
      <c r="AA139" s="113"/>
      <c r="AB139" s="113"/>
      <c r="AC139" s="113"/>
      <c r="AD139" s="113"/>
      <c r="AE139" s="113"/>
      <c r="AF139" s="113"/>
      <c r="AG139" s="113"/>
      <c r="AH139" s="113"/>
      <c r="AI139" s="113"/>
      <c r="AJ139" s="113"/>
      <c r="AK139" s="113"/>
      <c r="AL139" s="113"/>
      <c r="AM139" s="113"/>
      <c r="AN139" s="113"/>
      <c r="AO139" s="113"/>
      <c r="AP139" s="113"/>
      <c r="AQ139" s="113"/>
      <c r="AR139" s="113"/>
      <c r="AS139" s="113"/>
      <c r="AT139" s="113"/>
      <c r="AU139" s="113"/>
      <c r="AV139" s="113"/>
      <c r="AW139" s="113"/>
      <c r="AX139" s="113"/>
      <c r="AY139" s="113"/>
      <c r="AZ139" s="113"/>
      <c r="BA139" s="113"/>
      <c r="BB139" s="113"/>
      <c r="BC139" s="113"/>
      <c r="BD139" s="113"/>
      <c r="BE139" s="113"/>
      <c r="BF139" s="113"/>
      <c r="BG139" s="113"/>
      <c r="BH139" s="113"/>
      <c r="BI139" s="113"/>
      <c r="BJ139" s="113"/>
      <c r="BK139" s="113"/>
      <c r="BL139" s="113"/>
      <c r="BM139" s="113"/>
      <c r="BN139" s="113"/>
      <c r="BO139" s="113"/>
      <c r="BP139" s="113"/>
      <c r="BQ139" s="113"/>
      <c r="BR139" s="113"/>
      <c r="BS139" s="113"/>
      <c r="BT139" s="113"/>
      <c r="BU139" s="113"/>
      <c r="BV139" s="113"/>
      <c r="BW139" s="113"/>
      <c r="BX139" s="113"/>
      <c r="BY139" s="113"/>
      <c r="BZ139" s="113"/>
      <c r="CA139" s="113"/>
      <c r="CB139" s="113"/>
      <c r="CC139" s="113"/>
      <c r="CD139" s="113"/>
      <c r="CE139" s="113"/>
      <c r="CF139" s="113"/>
      <c r="CG139" s="113"/>
      <c r="CH139" s="113"/>
      <c r="CI139" s="113"/>
      <c r="CJ139" s="113"/>
      <c r="CK139" s="113"/>
      <c r="CL139" s="113"/>
      <c r="CM139" s="113"/>
      <c r="CN139" s="113"/>
      <c r="CO139" s="113"/>
      <c r="CP139" s="113"/>
      <c r="CQ139" s="113"/>
      <c r="CR139" s="113"/>
      <c r="CS139" s="113"/>
      <c r="CT139" s="113"/>
      <c r="CU139" s="113"/>
      <c r="CV139" s="113"/>
      <c r="CW139" s="113"/>
      <c r="CX139" s="113"/>
      <c r="CY139" s="113"/>
      <c r="CZ139" s="113"/>
      <c r="DA139" s="113"/>
      <c r="DB139" s="113"/>
      <c r="DC139" s="113"/>
      <c r="DD139" s="113"/>
      <c r="DE139" s="113"/>
      <c r="DF139" s="113"/>
      <c r="DG139" s="113"/>
      <c r="DH139" s="113"/>
      <c r="DI139" s="113"/>
      <c r="DJ139" s="113"/>
      <c r="DK139" s="113"/>
      <c r="DL139" s="113"/>
      <c r="DM139" s="114"/>
      <c r="DN139" s="47"/>
    </row>
    <row r="140" spans="5:118" hidden="1" x14ac:dyDescent="0.35">
      <c r="E140" s="111"/>
      <c r="F140" s="112"/>
      <c r="G140" s="112"/>
      <c r="H140" s="116"/>
      <c r="I140" s="116"/>
      <c r="J140" s="122"/>
      <c r="K140" s="38">
        <f t="shared" si="27"/>
        <v>0</v>
      </c>
      <c r="L140" s="38">
        <f t="shared" si="28"/>
        <v>0</v>
      </c>
      <c r="M140" s="39">
        <f t="shared" si="26"/>
        <v>0</v>
      </c>
      <c r="N140" s="113"/>
      <c r="O140" s="113"/>
      <c r="P140" s="113"/>
      <c r="Q140" s="113"/>
      <c r="R140" s="113"/>
      <c r="S140" s="113"/>
      <c r="T140" s="113"/>
      <c r="U140" s="113"/>
      <c r="V140" s="113"/>
      <c r="W140" s="113"/>
      <c r="X140" s="113"/>
      <c r="Y140" s="113"/>
      <c r="Z140" s="113"/>
      <c r="AA140" s="113"/>
      <c r="AB140" s="113"/>
      <c r="AC140" s="113"/>
      <c r="AD140" s="113"/>
      <c r="AE140" s="113"/>
      <c r="AF140" s="113"/>
      <c r="AG140" s="113"/>
      <c r="AH140" s="113"/>
      <c r="AI140" s="113"/>
      <c r="AJ140" s="113"/>
      <c r="AK140" s="113"/>
      <c r="AL140" s="113"/>
      <c r="AM140" s="113"/>
      <c r="AN140" s="113"/>
      <c r="AO140" s="113"/>
      <c r="AP140" s="113"/>
      <c r="AQ140" s="113"/>
      <c r="AR140" s="113"/>
      <c r="AS140" s="113"/>
      <c r="AT140" s="113"/>
      <c r="AU140" s="113"/>
      <c r="AV140" s="113"/>
      <c r="AW140" s="113"/>
      <c r="AX140" s="113"/>
      <c r="AY140" s="113"/>
      <c r="AZ140" s="113"/>
      <c r="BA140" s="113"/>
      <c r="BB140" s="113"/>
      <c r="BC140" s="113"/>
      <c r="BD140" s="113"/>
      <c r="BE140" s="113"/>
      <c r="BF140" s="113"/>
      <c r="BG140" s="113"/>
      <c r="BH140" s="113"/>
      <c r="BI140" s="113"/>
      <c r="BJ140" s="113"/>
      <c r="BK140" s="113"/>
      <c r="BL140" s="113"/>
      <c r="BM140" s="113"/>
      <c r="BN140" s="113"/>
      <c r="BO140" s="113"/>
      <c r="BP140" s="113"/>
      <c r="BQ140" s="113"/>
      <c r="BR140" s="113"/>
      <c r="BS140" s="113"/>
      <c r="BT140" s="113"/>
      <c r="BU140" s="113"/>
      <c r="BV140" s="113"/>
      <c r="BW140" s="113"/>
      <c r="BX140" s="113"/>
      <c r="BY140" s="113"/>
      <c r="BZ140" s="113"/>
      <c r="CA140" s="113"/>
      <c r="CB140" s="113"/>
      <c r="CC140" s="113"/>
      <c r="CD140" s="113"/>
      <c r="CE140" s="113"/>
      <c r="CF140" s="113"/>
      <c r="CG140" s="113"/>
      <c r="CH140" s="113"/>
      <c r="CI140" s="113"/>
      <c r="CJ140" s="113"/>
      <c r="CK140" s="113"/>
      <c r="CL140" s="113"/>
      <c r="CM140" s="113"/>
      <c r="CN140" s="113"/>
      <c r="CO140" s="113"/>
      <c r="CP140" s="113"/>
      <c r="CQ140" s="113"/>
      <c r="CR140" s="113"/>
      <c r="CS140" s="113"/>
      <c r="CT140" s="113"/>
      <c r="CU140" s="113"/>
      <c r="CV140" s="113"/>
      <c r="CW140" s="113"/>
      <c r="CX140" s="113"/>
      <c r="CY140" s="113"/>
      <c r="CZ140" s="113"/>
      <c r="DA140" s="113"/>
      <c r="DB140" s="113"/>
      <c r="DC140" s="113"/>
      <c r="DD140" s="113"/>
      <c r="DE140" s="113"/>
      <c r="DF140" s="113"/>
      <c r="DG140" s="113"/>
      <c r="DH140" s="113"/>
      <c r="DI140" s="113"/>
      <c r="DJ140" s="113"/>
      <c r="DK140" s="113"/>
      <c r="DL140" s="113"/>
      <c r="DM140" s="114"/>
      <c r="DN140" s="47"/>
    </row>
    <row r="141" spans="5:118" hidden="1" x14ac:dyDescent="0.35">
      <c r="E141" s="111"/>
      <c r="F141" s="112"/>
      <c r="G141" s="112"/>
      <c r="H141" s="116"/>
      <c r="I141" s="116"/>
      <c r="J141" s="122"/>
      <c r="K141" s="38">
        <f t="shared" si="27"/>
        <v>0</v>
      </c>
      <c r="L141" s="38">
        <f t="shared" si="28"/>
        <v>0</v>
      </c>
      <c r="M141" s="39">
        <f t="shared" si="26"/>
        <v>0</v>
      </c>
      <c r="N141" s="113"/>
      <c r="O141" s="113"/>
      <c r="P141" s="113"/>
      <c r="Q141" s="113"/>
      <c r="R141" s="113"/>
      <c r="S141" s="113"/>
      <c r="T141" s="113"/>
      <c r="U141" s="113"/>
      <c r="V141" s="113"/>
      <c r="W141" s="113"/>
      <c r="X141" s="113"/>
      <c r="Y141" s="113"/>
      <c r="Z141" s="113"/>
      <c r="AA141" s="113"/>
      <c r="AB141" s="113"/>
      <c r="AC141" s="113"/>
      <c r="AD141" s="113"/>
      <c r="AE141" s="113"/>
      <c r="AF141" s="113"/>
      <c r="AG141" s="113"/>
      <c r="AH141" s="113"/>
      <c r="AI141" s="113"/>
      <c r="AJ141" s="113"/>
      <c r="AK141" s="113"/>
      <c r="AL141" s="113"/>
      <c r="AM141" s="113"/>
      <c r="AN141" s="113"/>
      <c r="AO141" s="113"/>
      <c r="AP141" s="113"/>
      <c r="AQ141" s="113"/>
      <c r="AR141" s="113"/>
      <c r="AS141" s="113"/>
      <c r="AT141" s="113"/>
      <c r="AU141" s="113"/>
      <c r="AV141" s="113"/>
      <c r="AW141" s="113"/>
      <c r="AX141" s="113"/>
      <c r="AY141" s="113"/>
      <c r="AZ141" s="113"/>
      <c r="BA141" s="113"/>
      <c r="BB141" s="113"/>
      <c r="BC141" s="113"/>
      <c r="BD141" s="113"/>
      <c r="BE141" s="113"/>
      <c r="BF141" s="113"/>
      <c r="BG141" s="113"/>
      <c r="BH141" s="113"/>
      <c r="BI141" s="113"/>
      <c r="BJ141" s="113"/>
      <c r="BK141" s="113"/>
      <c r="BL141" s="113"/>
      <c r="BM141" s="113"/>
      <c r="BN141" s="113"/>
      <c r="BO141" s="113"/>
      <c r="BP141" s="113"/>
      <c r="BQ141" s="113"/>
      <c r="BR141" s="113"/>
      <c r="BS141" s="113"/>
      <c r="BT141" s="113"/>
      <c r="BU141" s="113"/>
      <c r="BV141" s="113"/>
      <c r="BW141" s="113"/>
      <c r="BX141" s="113"/>
      <c r="BY141" s="113"/>
      <c r="BZ141" s="113"/>
      <c r="CA141" s="113"/>
      <c r="CB141" s="113"/>
      <c r="CC141" s="113"/>
      <c r="CD141" s="113"/>
      <c r="CE141" s="113"/>
      <c r="CF141" s="113"/>
      <c r="CG141" s="113"/>
      <c r="CH141" s="113"/>
      <c r="CI141" s="113"/>
      <c r="CJ141" s="113"/>
      <c r="CK141" s="113"/>
      <c r="CL141" s="113"/>
      <c r="CM141" s="113"/>
      <c r="CN141" s="113"/>
      <c r="CO141" s="113"/>
      <c r="CP141" s="113"/>
      <c r="CQ141" s="113"/>
      <c r="CR141" s="113"/>
      <c r="CS141" s="113"/>
      <c r="CT141" s="113"/>
      <c r="CU141" s="113"/>
      <c r="CV141" s="113"/>
      <c r="CW141" s="113"/>
      <c r="CX141" s="113"/>
      <c r="CY141" s="113"/>
      <c r="CZ141" s="113"/>
      <c r="DA141" s="113"/>
      <c r="DB141" s="113"/>
      <c r="DC141" s="113"/>
      <c r="DD141" s="113"/>
      <c r="DE141" s="113"/>
      <c r="DF141" s="113"/>
      <c r="DG141" s="113"/>
      <c r="DH141" s="113"/>
      <c r="DI141" s="113"/>
      <c r="DJ141" s="113"/>
      <c r="DK141" s="113"/>
      <c r="DL141" s="113"/>
      <c r="DM141" s="114"/>
      <c r="DN141" s="47"/>
    </row>
    <row r="142" spans="5:118" hidden="1" x14ac:dyDescent="0.35">
      <c r="E142" s="111"/>
      <c r="F142" s="112"/>
      <c r="G142" s="112"/>
      <c r="H142" s="116"/>
      <c r="I142" s="116"/>
      <c r="J142" s="122"/>
      <c r="K142" s="38">
        <f t="shared" si="27"/>
        <v>0</v>
      </c>
      <c r="L142" s="38">
        <f t="shared" si="28"/>
        <v>0</v>
      </c>
      <c r="M142" s="39">
        <f t="shared" si="26"/>
        <v>0</v>
      </c>
      <c r="N142" s="113"/>
      <c r="O142" s="113"/>
      <c r="P142" s="113"/>
      <c r="Q142" s="113"/>
      <c r="R142" s="113"/>
      <c r="S142" s="113"/>
      <c r="T142" s="113"/>
      <c r="U142" s="113"/>
      <c r="V142" s="113"/>
      <c r="W142" s="113"/>
      <c r="X142" s="113"/>
      <c r="Y142" s="113"/>
      <c r="Z142" s="113"/>
      <c r="AA142" s="113"/>
      <c r="AB142" s="113"/>
      <c r="AC142" s="113"/>
      <c r="AD142" s="113"/>
      <c r="AE142" s="113"/>
      <c r="AF142" s="113"/>
      <c r="AG142" s="113"/>
      <c r="AH142" s="113"/>
      <c r="AI142" s="113"/>
      <c r="AJ142" s="113"/>
      <c r="AK142" s="113"/>
      <c r="AL142" s="113"/>
      <c r="AM142" s="113"/>
      <c r="AN142" s="113"/>
      <c r="AO142" s="113"/>
      <c r="AP142" s="113"/>
      <c r="AQ142" s="113"/>
      <c r="AR142" s="113"/>
      <c r="AS142" s="113"/>
      <c r="AT142" s="113"/>
      <c r="AU142" s="113"/>
      <c r="AV142" s="113"/>
      <c r="AW142" s="113"/>
      <c r="AX142" s="113"/>
      <c r="AY142" s="113"/>
      <c r="AZ142" s="113"/>
      <c r="BA142" s="113"/>
      <c r="BB142" s="113"/>
      <c r="BC142" s="113"/>
      <c r="BD142" s="113"/>
      <c r="BE142" s="113"/>
      <c r="BF142" s="113"/>
      <c r="BG142" s="113"/>
      <c r="BH142" s="113"/>
      <c r="BI142" s="113"/>
      <c r="BJ142" s="113"/>
      <c r="BK142" s="113"/>
      <c r="BL142" s="113"/>
      <c r="BM142" s="113"/>
      <c r="BN142" s="113"/>
      <c r="BO142" s="113"/>
      <c r="BP142" s="113"/>
      <c r="BQ142" s="113"/>
      <c r="BR142" s="113"/>
      <c r="BS142" s="113"/>
      <c r="BT142" s="113"/>
      <c r="BU142" s="113"/>
      <c r="BV142" s="113"/>
      <c r="BW142" s="113"/>
      <c r="BX142" s="113"/>
      <c r="BY142" s="113"/>
      <c r="BZ142" s="113"/>
      <c r="CA142" s="113"/>
      <c r="CB142" s="113"/>
      <c r="CC142" s="113"/>
      <c r="CD142" s="113"/>
      <c r="CE142" s="113"/>
      <c r="CF142" s="113"/>
      <c r="CG142" s="113"/>
      <c r="CH142" s="113"/>
      <c r="CI142" s="113"/>
      <c r="CJ142" s="113"/>
      <c r="CK142" s="113"/>
      <c r="CL142" s="113"/>
      <c r="CM142" s="113"/>
      <c r="CN142" s="113"/>
      <c r="CO142" s="113"/>
      <c r="CP142" s="113"/>
      <c r="CQ142" s="113"/>
      <c r="CR142" s="113"/>
      <c r="CS142" s="113"/>
      <c r="CT142" s="113"/>
      <c r="CU142" s="113"/>
      <c r="CV142" s="113"/>
      <c r="CW142" s="113"/>
      <c r="CX142" s="113"/>
      <c r="CY142" s="113"/>
      <c r="CZ142" s="113"/>
      <c r="DA142" s="113"/>
      <c r="DB142" s="113"/>
      <c r="DC142" s="113"/>
      <c r="DD142" s="113"/>
      <c r="DE142" s="113"/>
      <c r="DF142" s="113"/>
      <c r="DG142" s="113"/>
      <c r="DH142" s="113"/>
      <c r="DI142" s="113"/>
      <c r="DJ142" s="113"/>
      <c r="DK142" s="113"/>
      <c r="DL142" s="113"/>
      <c r="DM142" s="114"/>
      <c r="DN142" s="47"/>
    </row>
    <row r="143" spans="5:118" hidden="1" x14ac:dyDescent="0.35">
      <c r="E143" s="111"/>
      <c r="F143" s="112"/>
      <c r="G143" s="112"/>
      <c r="H143" s="116"/>
      <c r="I143" s="116"/>
      <c r="J143" s="122"/>
      <c r="K143" s="38">
        <f t="shared" si="27"/>
        <v>0</v>
      </c>
      <c r="L143" s="38">
        <f t="shared" si="28"/>
        <v>0</v>
      </c>
      <c r="M143" s="39">
        <f t="shared" si="26"/>
        <v>0</v>
      </c>
      <c r="N143" s="113"/>
      <c r="O143" s="113"/>
      <c r="P143" s="113"/>
      <c r="Q143" s="113"/>
      <c r="R143" s="113"/>
      <c r="S143" s="113"/>
      <c r="T143" s="113"/>
      <c r="U143" s="113"/>
      <c r="V143" s="113"/>
      <c r="W143" s="113"/>
      <c r="X143" s="113"/>
      <c r="Y143" s="113"/>
      <c r="Z143" s="113"/>
      <c r="AA143" s="113"/>
      <c r="AB143" s="113"/>
      <c r="AC143" s="113"/>
      <c r="AD143" s="113"/>
      <c r="AE143" s="113"/>
      <c r="AF143" s="113"/>
      <c r="AG143" s="113"/>
      <c r="AH143" s="113"/>
      <c r="AI143" s="113"/>
      <c r="AJ143" s="113"/>
      <c r="AK143" s="113"/>
      <c r="AL143" s="113"/>
      <c r="AM143" s="113"/>
      <c r="AN143" s="113"/>
      <c r="AO143" s="113"/>
      <c r="AP143" s="113"/>
      <c r="AQ143" s="113"/>
      <c r="AR143" s="113"/>
      <c r="AS143" s="113"/>
      <c r="AT143" s="113"/>
      <c r="AU143" s="113"/>
      <c r="AV143" s="113"/>
      <c r="AW143" s="113"/>
      <c r="AX143" s="113"/>
      <c r="AY143" s="113"/>
      <c r="AZ143" s="113"/>
      <c r="BA143" s="113"/>
      <c r="BB143" s="113"/>
      <c r="BC143" s="113"/>
      <c r="BD143" s="113"/>
      <c r="BE143" s="113"/>
      <c r="BF143" s="113"/>
      <c r="BG143" s="113"/>
      <c r="BH143" s="113"/>
      <c r="BI143" s="113"/>
      <c r="BJ143" s="113"/>
      <c r="BK143" s="113"/>
      <c r="BL143" s="113"/>
      <c r="BM143" s="113"/>
      <c r="BN143" s="113"/>
      <c r="BO143" s="113"/>
      <c r="BP143" s="113"/>
      <c r="BQ143" s="113"/>
      <c r="BR143" s="113"/>
      <c r="BS143" s="113"/>
      <c r="BT143" s="113"/>
      <c r="BU143" s="113"/>
      <c r="BV143" s="113"/>
      <c r="BW143" s="113"/>
      <c r="BX143" s="113"/>
      <c r="BY143" s="113"/>
      <c r="BZ143" s="113"/>
      <c r="CA143" s="113"/>
      <c r="CB143" s="113"/>
      <c r="CC143" s="113"/>
      <c r="CD143" s="113"/>
      <c r="CE143" s="113"/>
      <c r="CF143" s="113"/>
      <c r="CG143" s="113"/>
      <c r="CH143" s="113"/>
      <c r="CI143" s="113"/>
      <c r="CJ143" s="113"/>
      <c r="CK143" s="113"/>
      <c r="CL143" s="113"/>
      <c r="CM143" s="113"/>
      <c r="CN143" s="113"/>
      <c r="CO143" s="113"/>
      <c r="CP143" s="113"/>
      <c r="CQ143" s="113"/>
      <c r="CR143" s="113"/>
      <c r="CS143" s="113"/>
      <c r="CT143" s="113"/>
      <c r="CU143" s="113"/>
      <c r="CV143" s="113"/>
      <c r="CW143" s="113"/>
      <c r="CX143" s="113"/>
      <c r="CY143" s="113"/>
      <c r="CZ143" s="113"/>
      <c r="DA143" s="113"/>
      <c r="DB143" s="113"/>
      <c r="DC143" s="113"/>
      <c r="DD143" s="113"/>
      <c r="DE143" s="113"/>
      <c r="DF143" s="113"/>
      <c r="DG143" s="113"/>
      <c r="DH143" s="113"/>
      <c r="DI143" s="113"/>
      <c r="DJ143" s="113"/>
      <c r="DK143" s="113"/>
      <c r="DL143" s="113"/>
      <c r="DM143" s="114"/>
      <c r="DN143" s="47"/>
    </row>
    <row r="144" spans="5:118" hidden="1" x14ac:dyDescent="0.35">
      <c r="E144" s="111"/>
      <c r="F144" s="112"/>
      <c r="G144" s="112"/>
      <c r="H144" s="116"/>
      <c r="I144" s="116"/>
      <c r="J144" s="122"/>
      <c r="K144" s="38">
        <f t="shared" si="27"/>
        <v>0</v>
      </c>
      <c r="L144" s="38">
        <f t="shared" si="28"/>
        <v>0</v>
      </c>
      <c r="M144" s="39">
        <f t="shared" si="26"/>
        <v>0</v>
      </c>
      <c r="N144" s="113"/>
      <c r="O144" s="113"/>
      <c r="P144" s="113"/>
      <c r="Q144" s="113"/>
      <c r="R144" s="113"/>
      <c r="S144" s="113"/>
      <c r="T144" s="113"/>
      <c r="U144" s="113"/>
      <c r="V144" s="113"/>
      <c r="W144" s="113"/>
      <c r="X144" s="113"/>
      <c r="Y144" s="113"/>
      <c r="Z144" s="113"/>
      <c r="AA144" s="113"/>
      <c r="AB144" s="113"/>
      <c r="AC144" s="113"/>
      <c r="AD144" s="113"/>
      <c r="AE144" s="113"/>
      <c r="AF144" s="113"/>
      <c r="AG144" s="113"/>
      <c r="AH144" s="113"/>
      <c r="AI144" s="113"/>
      <c r="AJ144" s="113"/>
      <c r="AK144" s="113"/>
      <c r="AL144" s="113"/>
      <c r="AM144" s="113"/>
      <c r="AN144" s="113"/>
      <c r="AO144" s="113"/>
      <c r="AP144" s="113"/>
      <c r="AQ144" s="113"/>
      <c r="AR144" s="113"/>
      <c r="AS144" s="113"/>
      <c r="AT144" s="113"/>
      <c r="AU144" s="113"/>
      <c r="AV144" s="113"/>
      <c r="AW144" s="113"/>
      <c r="AX144" s="113"/>
      <c r="AY144" s="113"/>
      <c r="AZ144" s="113"/>
      <c r="BA144" s="113"/>
      <c r="BB144" s="113"/>
      <c r="BC144" s="113"/>
      <c r="BD144" s="113"/>
      <c r="BE144" s="113"/>
      <c r="BF144" s="113"/>
      <c r="BG144" s="113"/>
      <c r="BH144" s="113"/>
      <c r="BI144" s="113"/>
      <c r="BJ144" s="113"/>
      <c r="BK144" s="113"/>
      <c r="BL144" s="113"/>
      <c r="BM144" s="113"/>
      <c r="BN144" s="113"/>
      <c r="BO144" s="113"/>
      <c r="BP144" s="113"/>
      <c r="BQ144" s="113"/>
      <c r="BR144" s="113"/>
      <c r="BS144" s="113"/>
      <c r="BT144" s="113"/>
      <c r="BU144" s="113"/>
      <c r="BV144" s="113"/>
      <c r="BW144" s="113"/>
      <c r="BX144" s="113"/>
      <c r="BY144" s="113"/>
      <c r="BZ144" s="113"/>
      <c r="CA144" s="113"/>
      <c r="CB144" s="113"/>
      <c r="CC144" s="113"/>
      <c r="CD144" s="113"/>
      <c r="CE144" s="113"/>
      <c r="CF144" s="113"/>
      <c r="CG144" s="113"/>
      <c r="CH144" s="113"/>
      <c r="CI144" s="113"/>
      <c r="CJ144" s="113"/>
      <c r="CK144" s="113"/>
      <c r="CL144" s="113"/>
      <c r="CM144" s="113"/>
      <c r="CN144" s="113"/>
      <c r="CO144" s="113"/>
      <c r="CP144" s="113"/>
      <c r="CQ144" s="113"/>
      <c r="CR144" s="113"/>
      <c r="CS144" s="113"/>
      <c r="CT144" s="113"/>
      <c r="CU144" s="113"/>
      <c r="CV144" s="113"/>
      <c r="CW144" s="113"/>
      <c r="CX144" s="113"/>
      <c r="CY144" s="113"/>
      <c r="CZ144" s="113"/>
      <c r="DA144" s="113"/>
      <c r="DB144" s="113"/>
      <c r="DC144" s="113"/>
      <c r="DD144" s="113"/>
      <c r="DE144" s="113"/>
      <c r="DF144" s="113"/>
      <c r="DG144" s="113"/>
      <c r="DH144" s="113"/>
      <c r="DI144" s="113"/>
      <c r="DJ144" s="113"/>
      <c r="DK144" s="113"/>
      <c r="DL144" s="113"/>
      <c r="DM144" s="114"/>
      <c r="DN144" s="47"/>
    </row>
    <row r="145" spans="5:118" hidden="1" x14ac:dyDescent="0.35">
      <c r="E145" s="111"/>
      <c r="F145" s="112"/>
      <c r="G145" s="112"/>
      <c r="H145" s="116"/>
      <c r="I145" s="116"/>
      <c r="J145" s="122"/>
      <c r="K145" s="38">
        <f t="shared" si="27"/>
        <v>0</v>
      </c>
      <c r="L145" s="38">
        <f t="shared" si="28"/>
        <v>0</v>
      </c>
      <c r="M145" s="39">
        <f t="shared" si="26"/>
        <v>0</v>
      </c>
      <c r="N145" s="113"/>
      <c r="O145" s="113"/>
      <c r="P145" s="113"/>
      <c r="Q145" s="113"/>
      <c r="R145" s="113"/>
      <c r="S145" s="113"/>
      <c r="T145" s="113"/>
      <c r="U145" s="113"/>
      <c r="V145" s="113"/>
      <c r="W145" s="113"/>
      <c r="X145" s="113"/>
      <c r="Y145" s="113"/>
      <c r="Z145" s="113"/>
      <c r="AA145" s="113"/>
      <c r="AB145" s="113"/>
      <c r="AC145" s="113"/>
      <c r="AD145" s="113"/>
      <c r="AE145" s="113"/>
      <c r="AF145" s="113"/>
      <c r="AG145" s="113"/>
      <c r="AH145" s="113"/>
      <c r="AI145" s="113"/>
      <c r="AJ145" s="113"/>
      <c r="AK145" s="113"/>
      <c r="AL145" s="113"/>
      <c r="AM145" s="113"/>
      <c r="AN145" s="113"/>
      <c r="AO145" s="113"/>
      <c r="AP145" s="113"/>
      <c r="AQ145" s="113"/>
      <c r="AR145" s="113"/>
      <c r="AS145" s="113"/>
      <c r="AT145" s="113"/>
      <c r="AU145" s="113"/>
      <c r="AV145" s="113"/>
      <c r="AW145" s="113"/>
      <c r="AX145" s="113"/>
      <c r="AY145" s="113"/>
      <c r="AZ145" s="113"/>
      <c r="BA145" s="113"/>
      <c r="BB145" s="113"/>
      <c r="BC145" s="113"/>
      <c r="BD145" s="113"/>
      <c r="BE145" s="113"/>
      <c r="BF145" s="113"/>
      <c r="BG145" s="113"/>
      <c r="BH145" s="113"/>
      <c r="BI145" s="113"/>
      <c r="BJ145" s="113"/>
      <c r="BK145" s="113"/>
      <c r="BL145" s="113"/>
      <c r="BM145" s="113"/>
      <c r="BN145" s="113"/>
      <c r="BO145" s="113"/>
      <c r="BP145" s="113"/>
      <c r="BQ145" s="113"/>
      <c r="BR145" s="113"/>
      <c r="BS145" s="113"/>
      <c r="BT145" s="113"/>
      <c r="BU145" s="113"/>
      <c r="BV145" s="113"/>
      <c r="BW145" s="113"/>
      <c r="BX145" s="113"/>
      <c r="BY145" s="113"/>
      <c r="BZ145" s="113"/>
      <c r="CA145" s="113"/>
      <c r="CB145" s="113"/>
      <c r="CC145" s="113"/>
      <c r="CD145" s="113"/>
      <c r="CE145" s="113"/>
      <c r="CF145" s="113"/>
      <c r="CG145" s="113"/>
      <c r="CH145" s="113"/>
      <c r="CI145" s="113"/>
      <c r="CJ145" s="113"/>
      <c r="CK145" s="113"/>
      <c r="CL145" s="113"/>
      <c r="CM145" s="113"/>
      <c r="CN145" s="113"/>
      <c r="CO145" s="113"/>
      <c r="CP145" s="113"/>
      <c r="CQ145" s="113"/>
      <c r="CR145" s="113"/>
      <c r="CS145" s="113"/>
      <c r="CT145" s="113"/>
      <c r="CU145" s="113"/>
      <c r="CV145" s="113"/>
      <c r="CW145" s="113"/>
      <c r="CX145" s="113"/>
      <c r="CY145" s="113"/>
      <c r="CZ145" s="113"/>
      <c r="DA145" s="113"/>
      <c r="DB145" s="113"/>
      <c r="DC145" s="113"/>
      <c r="DD145" s="113"/>
      <c r="DE145" s="113"/>
      <c r="DF145" s="113"/>
      <c r="DG145" s="113"/>
      <c r="DH145" s="113"/>
      <c r="DI145" s="113"/>
      <c r="DJ145" s="113"/>
      <c r="DK145" s="113"/>
      <c r="DL145" s="113"/>
      <c r="DM145" s="114"/>
      <c r="DN145" s="47"/>
    </row>
    <row r="146" spans="5:118" hidden="1" x14ac:dyDescent="0.35">
      <c r="E146" s="111"/>
      <c r="F146" s="112"/>
      <c r="G146" s="112"/>
      <c r="H146" s="116"/>
      <c r="I146" s="116"/>
      <c r="J146" s="122"/>
      <c r="K146" s="38">
        <f t="shared" si="27"/>
        <v>0</v>
      </c>
      <c r="L146" s="38">
        <f t="shared" si="28"/>
        <v>0</v>
      </c>
      <c r="M146" s="39">
        <f t="shared" si="26"/>
        <v>0</v>
      </c>
      <c r="N146" s="113"/>
      <c r="O146" s="113"/>
      <c r="P146" s="113"/>
      <c r="Q146" s="113"/>
      <c r="R146" s="113"/>
      <c r="S146" s="113"/>
      <c r="T146" s="113"/>
      <c r="U146" s="113"/>
      <c r="V146" s="113"/>
      <c r="W146" s="113"/>
      <c r="X146" s="113"/>
      <c r="Y146" s="113"/>
      <c r="Z146" s="113"/>
      <c r="AA146" s="113"/>
      <c r="AB146" s="113"/>
      <c r="AC146" s="113"/>
      <c r="AD146" s="113"/>
      <c r="AE146" s="113"/>
      <c r="AF146" s="113"/>
      <c r="AG146" s="113"/>
      <c r="AH146" s="113"/>
      <c r="AI146" s="113"/>
      <c r="AJ146" s="113"/>
      <c r="AK146" s="113"/>
      <c r="AL146" s="113"/>
      <c r="AM146" s="113"/>
      <c r="AN146" s="113"/>
      <c r="AO146" s="113"/>
      <c r="AP146" s="113"/>
      <c r="AQ146" s="113"/>
      <c r="AR146" s="113"/>
      <c r="AS146" s="113"/>
      <c r="AT146" s="113"/>
      <c r="AU146" s="113"/>
      <c r="AV146" s="113"/>
      <c r="AW146" s="113"/>
      <c r="AX146" s="113"/>
      <c r="AY146" s="113"/>
      <c r="AZ146" s="113"/>
      <c r="BA146" s="113"/>
      <c r="BB146" s="113"/>
      <c r="BC146" s="113"/>
      <c r="BD146" s="113"/>
      <c r="BE146" s="113"/>
      <c r="BF146" s="113"/>
      <c r="BG146" s="113"/>
      <c r="BH146" s="113"/>
      <c r="BI146" s="113"/>
      <c r="BJ146" s="113"/>
      <c r="BK146" s="113"/>
      <c r="BL146" s="113"/>
      <c r="BM146" s="113"/>
      <c r="BN146" s="113"/>
      <c r="BO146" s="113"/>
      <c r="BP146" s="113"/>
      <c r="BQ146" s="113"/>
      <c r="BR146" s="113"/>
      <c r="BS146" s="113"/>
      <c r="BT146" s="113"/>
      <c r="BU146" s="113"/>
      <c r="BV146" s="113"/>
      <c r="BW146" s="113"/>
      <c r="BX146" s="113"/>
      <c r="BY146" s="113"/>
      <c r="BZ146" s="113"/>
      <c r="CA146" s="113"/>
      <c r="CB146" s="113"/>
      <c r="CC146" s="113"/>
      <c r="CD146" s="113"/>
      <c r="CE146" s="113"/>
      <c r="CF146" s="113"/>
      <c r="CG146" s="113"/>
      <c r="CH146" s="113"/>
      <c r="CI146" s="113"/>
      <c r="CJ146" s="113"/>
      <c r="CK146" s="113"/>
      <c r="CL146" s="113"/>
      <c r="CM146" s="113"/>
      <c r="CN146" s="113"/>
      <c r="CO146" s="113"/>
      <c r="CP146" s="113"/>
      <c r="CQ146" s="113"/>
      <c r="CR146" s="113"/>
      <c r="CS146" s="113"/>
      <c r="CT146" s="113"/>
      <c r="CU146" s="113"/>
      <c r="CV146" s="113"/>
      <c r="CW146" s="113"/>
      <c r="CX146" s="113"/>
      <c r="CY146" s="113"/>
      <c r="CZ146" s="113"/>
      <c r="DA146" s="113"/>
      <c r="DB146" s="113"/>
      <c r="DC146" s="113"/>
      <c r="DD146" s="113"/>
      <c r="DE146" s="113"/>
      <c r="DF146" s="113"/>
      <c r="DG146" s="113"/>
      <c r="DH146" s="113"/>
      <c r="DI146" s="113"/>
      <c r="DJ146" s="113"/>
      <c r="DK146" s="113"/>
      <c r="DL146" s="113"/>
      <c r="DM146" s="114"/>
      <c r="DN146" s="47"/>
    </row>
    <row r="147" spans="5:118" hidden="1" x14ac:dyDescent="0.35">
      <c r="E147" s="111"/>
      <c r="F147" s="112"/>
      <c r="G147" s="112"/>
      <c r="H147" s="116"/>
      <c r="I147" s="116"/>
      <c r="J147" s="122"/>
      <c r="K147" s="38">
        <f t="shared" si="27"/>
        <v>0</v>
      </c>
      <c r="L147" s="38">
        <f t="shared" si="28"/>
        <v>0</v>
      </c>
      <c r="M147" s="39">
        <f t="shared" si="26"/>
        <v>0</v>
      </c>
      <c r="N147" s="113"/>
      <c r="O147" s="113"/>
      <c r="P147" s="113"/>
      <c r="Q147" s="113"/>
      <c r="R147" s="113"/>
      <c r="S147" s="113"/>
      <c r="T147" s="113"/>
      <c r="U147" s="113"/>
      <c r="V147" s="113"/>
      <c r="W147" s="113"/>
      <c r="X147" s="113"/>
      <c r="Y147" s="113"/>
      <c r="Z147" s="113"/>
      <c r="AA147" s="113"/>
      <c r="AB147" s="113"/>
      <c r="AC147" s="113"/>
      <c r="AD147" s="113"/>
      <c r="AE147" s="113"/>
      <c r="AF147" s="113"/>
      <c r="AG147" s="113"/>
      <c r="AH147" s="113"/>
      <c r="AI147" s="113"/>
      <c r="AJ147" s="113"/>
      <c r="AK147" s="113"/>
      <c r="AL147" s="113"/>
      <c r="AM147" s="113"/>
      <c r="AN147" s="113"/>
      <c r="AO147" s="113"/>
      <c r="AP147" s="113"/>
      <c r="AQ147" s="113"/>
      <c r="AR147" s="113"/>
      <c r="AS147" s="113"/>
      <c r="AT147" s="113"/>
      <c r="AU147" s="113"/>
      <c r="AV147" s="113"/>
      <c r="AW147" s="113"/>
      <c r="AX147" s="113"/>
      <c r="AY147" s="113"/>
      <c r="AZ147" s="113"/>
      <c r="BA147" s="113"/>
      <c r="BB147" s="113"/>
      <c r="BC147" s="113"/>
      <c r="BD147" s="113"/>
      <c r="BE147" s="113"/>
      <c r="BF147" s="113"/>
      <c r="BG147" s="113"/>
      <c r="BH147" s="113"/>
      <c r="BI147" s="113"/>
      <c r="BJ147" s="113"/>
      <c r="BK147" s="113"/>
      <c r="BL147" s="113"/>
      <c r="BM147" s="113"/>
      <c r="BN147" s="113"/>
      <c r="BO147" s="113"/>
      <c r="BP147" s="113"/>
      <c r="BQ147" s="113"/>
      <c r="BR147" s="113"/>
      <c r="BS147" s="113"/>
      <c r="BT147" s="113"/>
      <c r="BU147" s="113"/>
      <c r="BV147" s="113"/>
      <c r="BW147" s="113"/>
      <c r="BX147" s="113"/>
      <c r="BY147" s="113"/>
      <c r="BZ147" s="113"/>
      <c r="CA147" s="113"/>
      <c r="CB147" s="113"/>
      <c r="CC147" s="113"/>
      <c r="CD147" s="113"/>
      <c r="CE147" s="113"/>
      <c r="CF147" s="113"/>
      <c r="CG147" s="113"/>
      <c r="CH147" s="113"/>
      <c r="CI147" s="113"/>
      <c r="CJ147" s="113"/>
      <c r="CK147" s="113"/>
      <c r="CL147" s="113"/>
      <c r="CM147" s="113"/>
      <c r="CN147" s="113"/>
      <c r="CO147" s="113"/>
      <c r="CP147" s="113"/>
      <c r="CQ147" s="113"/>
      <c r="CR147" s="113"/>
      <c r="CS147" s="113"/>
      <c r="CT147" s="113"/>
      <c r="CU147" s="113"/>
      <c r="CV147" s="113"/>
      <c r="CW147" s="113"/>
      <c r="CX147" s="113"/>
      <c r="CY147" s="113"/>
      <c r="CZ147" s="113"/>
      <c r="DA147" s="113"/>
      <c r="DB147" s="113"/>
      <c r="DC147" s="113"/>
      <c r="DD147" s="113"/>
      <c r="DE147" s="113"/>
      <c r="DF147" s="113"/>
      <c r="DG147" s="113"/>
      <c r="DH147" s="113"/>
      <c r="DI147" s="113"/>
      <c r="DJ147" s="113"/>
      <c r="DK147" s="113"/>
      <c r="DL147" s="113"/>
      <c r="DM147" s="114"/>
      <c r="DN147" s="47"/>
    </row>
    <row r="148" spans="5:118" hidden="1" x14ac:dyDescent="0.35">
      <c r="E148" s="111"/>
      <c r="F148" s="112"/>
      <c r="G148" s="112"/>
      <c r="H148" s="116"/>
      <c r="I148" s="116"/>
      <c r="J148" s="122"/>
      <c r="K148" s="38">
        <f t="shared" si="27"/>
        <v>0</v>
      </c>
      <c r="L148" s="38">
        <f t="shared" si="28"/>
        <v>0</v>
      </c>
      <c r="M148" s="39">
        <f t="shared" si="26"/>
        <v>0</v>
      </c>
      <c r="N148" s="113"/>
      <c r="O148" s="113"/>
      <c r="P148" s="113"/>
      <c r="Q148" s="113"/>
      <c r="R148" s="113"/>
      <c r="S148" s="113"/>
      <c r="T148" s="113"/>
      <c r="U148" s="113"/>
      <c r="V148" s="113"/>
      <c r="W148" s="113"/>
      <c r="X148" s="113"/>
      <c r="Y148" s="113"/>
      <c r="Z148" s="113"/>
      <c r="AA148" s="113"/>
      <c r="AB148" s="113"/>
      <c r="AC148" s="113"/>
      <c r="AD148" s="113"/>
      <c r="AE148" s="113"/>
      <c r="AF148" s="113"/>
      <c r="AG148" s="113"/>
      <c r="AH148" s="113"/>
      <c r="AI148" s="113"/>
      <c r="AJ148" s="113"/>
      <c r="AK148" s="113"/>
      <c r="AL148" s="113"/>
      <c r="AM148" s="113"/>
      <c r="AN148" s="113"/>
      <c r="AO148" s="113"/>
      <c r="AP148" s="113"/>
      <c r="AQ148" s="113"/>
      <c r="AR148" s="113"/>
      <c r="AS148" s="113"/>
      <c r="AT148" s="113"/>
      <c r="AU148" s="113"/>
      <c r="AV148" s="113"/>
      <c r="AW148" s="113"/>
      <c r="AX148" s="113"/>
      <c r="AY148" s="113"/>
      <c r="AZ148" s="113"/>
      <c r="BA148" s="113"/>
      <c r="BB148" s="113"/>
      <c r="BC148" s="113"/>
      <c r="BD148" s="113"/>
      <c r="BE148" s="113"/>
      <c r="BF148" s="113"/>
      <c r="BG148" s="113"/>
      <c r="BH148" s="113"/>
      <c r="BI148" s="113"/>
      <c r="BJ148" s="113"/>
      <c r="BK148" s="113"/>
      <c r="BL148" s="113"/>
      <c r="BM148" s="113"/>
      <c r="BN148" s="113"/>
      <c r="BO148" s="113"/>
      <c r="BP148" s="113"/>
      <c r="BQ148" s="113"/>
      <c r="BR148" s="113"/>
      <c r="BS148" s="113"/>
      <c r="BT148" s="113"/>
      <c r="BU148" s="113"/>
      <c r="BV148" s="113"/>
      <c r="BW148" s="113"/>
      <c r="BX148" s="113"/>
      <c r="BY148" s="113"/>
      <c r="BZ148" s="113"/>
      <c r="CA148" s="113"/>
      <c r="CB148" s="113"/>
      <c r="CC148" s="113"/>
      <c r="CD148" s="113"/>
      <c r="CE148" s="113"/>
      <c r="CF148" s="113"/>
      <c r="CG148" s="113"/>
      <c r="CH148" s="113"/>
      <c r="CI148" s="113"/>
      <c r="CJ148" s="113"/>
      <c r="CK148" s="113"/>
      <c r="CL148" s="113"/>
      <c r="CM148" s="113"/>
      <c r="CN148" s="113"/>
      <c r="CO148" s="113"/>
      <c r="CP148" s="113"/>
      <c r="CQ148" s="113"/>
      <c r="CR148" s="113"/>
      <c r="CS148" s="113"/>
      <c r="CT148" s="113"/>
      <c r="CU148" s="113"/>
      <c r="CV148" s="113"/>
      <c r="CW148" s="113"/>
      <c r="CX148" s="113"/>
      <c r="CY148" s="113"/>
      <c r="CZ148" s="113"/>
      <c r="DA148" s="113"/>
      <c r="DB148" s="113"/>
      <c r="DC148" s="113"/>
      <c r="DD148" s="113"/>
      <c r="DE148" s="113"/>
      <c r="DF148" s="113"/>
      <c r="DG148" s="113"/>
      <c r="DH148" s="113"/>
      <c r="DI148" s="113"/>
      <c r="DJ148" s="113"/>
      <c r="DK148" s="113"/>
      <c r="DL148" s="113"/>
      <c r="DM148" s="114"/>
      <c r="DN148" s="47"/>
    </row>
    <row r="149" spans="5:118" hidden="1" x14ac:dyDescent="0.35">
      <c r="E149" s="111"/>
      <c r="F149" s="112"/>
      <c r="G149" s="112"/>
      <c r="H149" s="116"/>
      <c r="I149" s="116"/>
      <c r="J149" s="122"/>
      <c r="K149" s="38">
        <f t="shared" si="27"/>
        <v>0</v>
      </c>
      <c r="L149" s="38">
        <f t="shared" si="28"/>
        <v>0</v>
      </c>
      <c r="M149" s="39">
        <f t="shared" si="26"/>
        <v>0</v>
      </c>
      <c r="N149" s="113"/>
      <c r="O149" s="113"/>
      <c r="P149" s="113"/>
      <c r="Q149" s="113"/>
      <c r="R149" s="113"/>
      <c r="S149" s="113"/>
      <c r="T149" s="113"/>
      <c r="U149" s="113"/>
      <c r="V149" s="113"/>
      <c r="W149" s="113"/>
      <c r="X149" s="113"/>
      <c r="Y149" s="113"/>
      <c r="Z149" s="113"/>
      <c r="AA149" s="113"/>
      <c r="AB149" s="113"/>
      <c r="AC149" s="113"/>
      <c r="AD149" s="113"/>
      <c r="AE149" s="113"/>
      <c r="AF149" s="113"/>
      <c r="AG149" s="113"/>
      <c r="AH149" s="113"/>
      <c r="AI149" s="113"/>
      <c r="AJ149" s="113"/>
      <c r="AK149" s="113"/>
      <c r="AL149" s="113"/>
      <c r="AM149" s="113"/>
      <c r="AN149" s="113"/>
      <c r="AO149" s="113"/>
      <c r="AP149" s="113"/>
      <c r="AQ149" s="113"/>
      <c r="AR149" s="113"/>
      <c r="AS149" s="113"/>
      <c r="AT149" s="113"/>
      <c r="AU149" s="113"/>
      <c r="AV149" s="113"/>
      <c r="AW149" s="113"/>
      <c r="AX149" s="113"/>
      <c r="AY149" s="113"/>
      <c r="AZ149" s="113"/>
      <c r="BA149" s="113"/>
      <c r="BB149" s="113"/>
      <c r="BC149" s="113"/>
      <c r="BD149" s="113"/>
      <c r="BE149" s="113"/>
      <c r="BF149" s="113"/>
      <c r="BG149" s="113"/>
      <c r="BH149" s="113"/>
      <c r="BI149" s="113"/>
      <c r="BJ149" s="113"/>
      <c r="BK149" s="113"/>
      <c r="BL149" s="113"/>
      <c r="BM149" s="113"/>
      <c r="BN149" s="113"/>
      <c r="BO149" s="113"/>
      <c r="BP149" s="113"/>
      <c r="BQ149" s="113"/>
      <c r="BR149" s="113"/>
      <c r="BS149" s="113"/>
      <c r="BT149" s="113"/>
      <c r="BU149" s="113"/>
      <c r="BV149" s="113"/>
      <c r="BW149" s="113"/>
      <c r="BX149" s="113"/>
      <c r="BY149" s="113"/>
      <c r="BZ149" s="113"/>
      <c r="CA149" s="113"/>
      <c r="CB149" s="113"/>
      <c r="CC149" s="113"/>
      <c r="CD149" s="113"/>
      <c r="CE149" s="113"/>
      <c r="CF149" s="113"/>
      <c r="CG149" s="113"/>
      <c r="CH149" s="113"/>
      <c r="CI149" s="113"/>
      <c r="CJ149" s="113"/>
      <c r="CK149" s="113"/>
      <c r="CL149" s="113"/>
      <c r="CM149" s="113"/>
      <c r="CN149" s="113"/>
      <c r="CO149" s="113"/>
      <c r="CP149" s="113"/>
      <c r="CQ149" s="113"/>
      <c r="CR149" s="113"/>
      <c r="CS149" s="113"/>
      <c r="CT149" s="113"/>
      <c r="CU149" s="113"/>
      <c r="CV149" s="113"/>
      <c r="CW149" s="113"/>
      <c r="CX149" s="113"/>
      <c r="CY149" s="113"/>
      <c r="CZ149" s="113"/>
      <c r="DA149" s="113"/>
      <c r="DB149" s="113"/>
      <c r="DC149" s="113"/>
      <c r="DD149" s="113"/>
      <c r="DE149" s="113"/>
      <c r="DF149" s="113"/>
      <c r="DG149" s="113"/>
      <c r="DH149" s="113"/>
      <c r="DI149" s="113"/>
      <c r="DJ149" s="113"/>
      <c r="DK149" s="113"/>
      <c r="DL149" s="113"/>
      <c r="DM149" s="114"/>
      <c r="DN149" s="47"/>
    </row>
    <row r="150" spans="5:118" hidden="1" x14ac:dyDescent="0.35">
      <c r="E150" s="111"/>
      <c r="F150" s="112"/>
      <c r="G150" s="112"/>
      <c r="H150" s="116"/>
      <c r="I150" s="116"/>
      <c r="J150" s="122"/>
      <c r="K150" s="38">
        <f t="shared" si="27"/>
        <v>0</v>
      </c>
      <c r="L150" s="38">
        <f t="shared" si="28"/>
        <v>0</v>
      </c>
      <c r="M150" s="39">
        <f t="shared" si="26"/>
        <v>0</v>
      </c>
      <c r="N150" s="113"/>
      <c r="O150" s="113"/>
      <c r="P150" s="113"/>
      <c r="Q150" s="113"/>
      <c r="R150" s="113"/>
      <c r="S150" s="113"/>
      <c r="T150" s="113"/>
      <c r="U150" s="113"/>
      <c r="V150" s="113"/>
      <c r="W150" s="113"/>
      <c r="X150" s="113"/>
      <c r="Y150" s="113"/>
      <c r="Z150" s="113"/>
      <c r="AA150" s="113"/>
      <c r="AB150" s="113"/>
      <c r="AC150" s="113"/>
      <c r="AD150" s="113"/>
      <c r="AE150" s="113"/>
      <c r="AF150" s="113"/>
      <c r="AG150" s="113"/>
      <c r="AH150" s="113"/>
      <c r="AI150" s="113"/>
      <c r="AJ150" s="113"/>
      <c r="AK150" s="113"/>
      <c r="AL150" s="113"/>
      <c r="AM150" s="113"/>
      <c r="AN150" s="113"/>
      <c r="AO150" s="113"/>
      <c r="AP150" s="113"/>
      <c r="AQ150" s="113"/>
      <c r="AR150" s="113"/>
      <c r="AS150" s="113"/>
      <c r="AT150" s="113"/>
      <c r="AU150" s="113"/>
      <c r="AV150" s="113"/>
      <c r="AW150" s="113"/>
      <c r="AX150" s="113"/>
      <c r="AY150" s="113"/>
      <c r="AZ150" s="113"/>
      <c r="BA150" s="113"/>
      <c r="BB150" s="113"/>
      <c r="BC150" s="113"/>
      <c r="BD150" s="113"/>
      <c r="BE150" s="113"/>
      <c r="BF150" s="113"/>
      <c r="BG150" s="113"/>
      <c r="BH150" s="113"/>
      <c r="BI150" s="113"/>
      <c r="BJ150" s="113"/>
      <c r="BK150" s="113"/>
      <c r="BL150" s="113"/>
      <c r="BM150" s="113"/>
      <c r="BN150" s="113"/>
      <c r="BO150" s="113"/>
      <c r="BP150" s="113"/>
      <c r="BQ150" s="113"/>
      <c r="BR150" s="113"/>
      <c r="BS150" s="113"/>
      <c r="BT150" s="113"/>
      <c r="BU150" s="113"/>
      <c r="BV150" s="113"/>
      <c r="BW150" s="113"/>
      <c r="BX150" s="113"/>
      <c r="BY150" s="113"/>
      <c r="BZ150" s="113"/>
      <c r="CA150" s="113"/>
      <c r="CB150" s="113"/>
      <c r="CC150" s="113"/>
      <c r="CD150" s="113"/>
      <c r="CE150" s="113"/>
      <c r="CF150" s="113"/>
      <c r="CG150" s="113"/>
      <c r="CH150" s="113"/>
      <c r="CI150" s="113"/>
      <c r="CJ150" s="113"/>
      <c r="CK150" s="113"/>
      <c r="CL150" s="113"/>
      <c r="CM150" s="113"/>
      <c r="CN150" s="113"/>
      <c r="CO150" s="113"/>
      <c r="CP150" s="113"/>
      <c r="CQ150" s="113"/>
      <c r="CR150" s="113"/>
      <c r="CS150" s="113"/>
      <c r="CT150" s="113"/>
      <c r="CU150" s="113"/>
      <c r="CV150" s="113"/>
      <c r="CW150" s="113"/>
      <c r="CX150" s="113"/>
      <c r="CY150" s="113"/>
      <c r="CZ150" s="113"/>
      <c r="DA150" s="113"/>
      <c r="DB150" s="113"/>
      <c r="DC150" s="113"/>
      <c r="DD150" s="113"/>
      <c r="DE150" s="113"/>
      <c r="DF150" s="113"/>
      <c r="DG150" s="113"/>
      <c r="DH150" s="113"/>
      <c r="DI150" s="113"/>
      <c r="DJ150" s="113"/>
      <c r="DK150" s="113"/>
      <c r="DL150" s="113"/>
      <c r="DM150" s="114"/>
      <c r="DN150" s="47"/>
    </row>
    <row r="151" spans="5:118" hidden="1" x14ac:dyDescent="0.35">
      <c r="E151" s="111"/>
      <c r="F151" s="112"/>
      <c r="G151" s="112"/>
      <c r="H151" s="116"/>
      <c r="I151" s="116"/>
      <c r="J151" s="122"/>
      <c r="K151" s="38">
        <f t="shared" si="27"/>
        <v>0</v>
      </c>
      <c r="L151" s="38">
        <f t="shared" si="28"/>
        <v>0</v>
      </c>
      <c r="M151" s="39">
        <f t="shared" si="26"/>
        <v>0</v>
      </c>
      <c r="N151" s="113"/>
      <c r="O151" s="113"/>
      <c r="P151" s="113"/>
      <c r="Q151" s="113"/>
      <c r="R151" s="113"/>
      <c r="S151" s="113"/>
      <c r="T151" s="113"/>
      <c r="U151" s="113"/>
      <c r="V151" s="113"/>
      <c r="W151" s="113"/>
      <c r="X151" s="113"/>
      <c r="Y151" s="113"/>
      <c r="Z151" s="113"/>
      <c r="AA151" s="113"/>
      <c r="AB151" s="113"/>
      <c r="AC151" s="113"/>
      <c r="AD151" s="113"/>
      <c r="AE151" s="113"/>
      <c r="AF151" s="113"/>
      <c r="AG151" s="113"/>
      <c r="AH151" s="113"/>
      <c r="AI151" s="113"/>
      <c r="AJ151" s="113"/>
      <c r="AK151" s="113"/>
      <c r="AL151" s="113"/>
      <c r="AM151" s="113"/>
      <c r="AN151" s="113"/>
      <c r="AO151" s="113"/>
      <c r="AP151" s="113"/>
      <c r="AQ151" s="113"/>
      <c r="AR151" s="113"/>
      <c r="AS151" s="113"/>
      <c r="AT151" s="113"/>
      <c r="AU151" s="113"/>
      <c r="AV151" s="113"/>
      <c r="AW151" s="113"/>
      <c r="AX151" s="113"/>
      <c r="AY151" s="113"/>
      <c r="AZ151" s="113"/>
      <c r="BA151" s="113"/>
      <c r="BB151" s="113"/>
      <c r="BC151" s="113"/>
      <c r="BD151" s="113"/>
      <c r="BE151" s="113"/>
      <c r="BF151" s="113"/>
      <c r="BG151" s="113"/>
      <c r="BH151" s="113"/>
      <c r="BI151" s="113"/>
      <c r="BJ151" s="113"/>
      <c r="BK151" s="113"/>
      <c r="BL151" s="113"/>
      <c r="BM151" s="113"/>
      <c r="BN151" s="113"/>
      <c r="BO151" s="113"/>
      <c r="BP151" s="113"/>
      <c r="BQ151" s="113"/>
      <c r="BR151" s="113"/>
      <c r="BS151" s="113"/>
      <c r="BT151" s="113"/>
      <c r="BU151" s="113"/>
      <c r="BV151" s="113"/>
      <c r="BW151" s="113"/>
      <c r="BX151" s="113"/>
      <c r="BY151" s="113"/>
      <c r="BZ151" s="113"/>
      <c r="CA151" s="113"/>
      <c r="CB151" s="113"/>
      <c r="CC151" s="113"/>
      <c r="CD151" s="113"/>
      <c r="CE151" s="113"/>
      <c r="CF151" s="113"/>
      <c r="CG151" s="113"/>
      <c r="CH151" s="113"/>
      <c r="CI151" s="113"/>
      <c r="CJ151" s="113"/>
      <c r="CK151" s="113"/>
      <c r="CL151" s="113"/>
      <c r="CM151" s="113"/>
      <c r="CN151" s="113"/>
      <c r="CO151" s="113"/>
      <c r="CP151" s="113"/>
      <c r="CQ151" s="113"/>
      <c r="CR151" s="113"/>
      <c r="CS151" s="113"/>
      <c r="CT151" s="113"/>
      <c r="CU151" s="113"/>
      <c r="CV151" s="113"/>
      <c r="CW151" s="113"/>
      <c r="CX151" s="113"/>
      <c r="CY151" s="113"/>
      <c r="CZ151" s="113"/>
      <c r="DA151" s="113"/>
      <c r="DB151" s="113"/>
      <c r="DC151" s="113"/>
      <c r="DD151" s="113"/>
      <c r="DE151" s="113"/>
      <c r="DF151" s="113"/>
      <c r="DG151" s="113"/>
      <c r="DH151" s="113"/>
      <c r="DI151" s="113"/>
      <c r="DJ151" s="113"/>
      <c r="DK151" s="113"/>
      <c r="DL151" s="113"/>
      <c r="DM151" s="114"/>
      <c r="DN151" s="47"/>
    </row>
    <row r="152" spans="5:118" hidden="1" x14ac:dyDescent="0.35">
      <c r="E152" s="111"/>
      <c r="F152" s="112"/>
      <c r="G152" s="112"/>
      <c r="H152" s="116"/>
      <c r="I152" s="116"/>
      <c r="J152" s="122"/>
      <c r="K152" s="38">
        <f t="shared" si="27"/>
        <v>0</v>
      </c>
      <c r="L152" s="38">
        <f t="shared" si="28"/>
        <v>0</v>
      </c>
      <c r="M152" s="39">
        <f t="shared" si="26"/>
        <v>0</v>
      </c>
      <c r="N152" s="113"/>
      <c r="O152" s="113"/>
      <c r="P152" s="113"/>
      <c r="Q152" s="113"/>
      <c r="R152" s="113"/>
      <c r="S152" s="113"/>
      <c r="T152" s="113"/>
      <c r="U152" s="113"/>
      <c r="V152" s="113"/>
      <c r="W152" s="113"/>
      <c r="X152" s="113"/>
      <c r="Y152" s="113"/>
      <c r="Z152" s="113"/>
      <c r="AA152" s="113"/>
      <c r="AB152" s="113"/>
      <c r="AC152" s="113"/>
      <c r="AD152" s="113"/>
      <c r="AE152" s="113"/>
      <c r="AF152" s="113"/>
      <c r="AG152" s="113"/>
      <c r="AH152" s="113"/>
      <c r="AI152" s="113"/>
      <c r="AJ152" s="113"/>
      <c r="AK152" s="113"/>
      <c r="AL152" s="113"/>
      <c r="AM152" s="113"/>
      <c r="AN152" s="113"/>
      <c r="AO152" s="113"/>
      <c r="AP152" s="113"/>
      <c r="AQ152" s="113"/>
      <c r="AR152" s="113"/>
      <c r="AS152" s="113"/>
      <c r="AT152" s="113"/>
      <c r="AU152" s="113"/>
      <c r="AV152" s="113"/>
      <c r="AW152" s="113"/>
      <c r="AX152" s="113"/>
      <c r="AY152" s="113"/>
      <c r="AZ152" s="113"/>
      <c r="BA152" s="113"/>
      <c r="BB152" s="113"/>
      <c r="BC152" s="113"/>
      <c r="BD152" s="113"/>
      <c r="BE152" s="113"/>
      <c r="BF152" s="113"/>
      <c r="BG152" s="113"/>
      <c r="BH152" s="113"/>
      <c r="BI152" s="113"/>
      <c r="BJ152" s="113"/>
      <c r="BK152" s="113"/>
      <c r="BL152" s="113"/>
      <c r="BM152" s="113"/>
      <c r="BN152" s="113"/>
      <c r="BO152" s="113"/>
      <c r="BP152" s="113"/>
      <c r="BQ152" s="113"/>
      <c r="BR152" s="113"/>
      <c r="BS152" s="113"/>
      <c r="BT152" s="113"/>
      <c r="BU152" s="113"/>
      <c r="BV152" s="113"/>
      <c r="BW152" s="113"/>
      <c r="BX152" s="113"/>
      <c r="BY152" s="113"/>
      <c r="BZ152" s="113"/>
      <c r="CA152" s="113"/>
      <c r="CB152" s="113"/>
      <c r="CC152" s="113"/>
      <c r="CD152" s="113"/>
      <c r="CE152" s="113"/>
      <c r="CF152" s="113"/>
      <c r="CG152" s="113"/>
      <c r="CH152" s="113"/>
      <c r="CI152" s="113"/>
      <c r="CJ152" s="113"/>
      <c r="CK152" s="113"/>
      <c r="CL152" s="113"/>
      <c r="CM152" s="113"/>
      <c r="CN152" s="113"/>
      <c r="CO152" s="113"/>
      <c r="CP152" s="113"/>
      <c r="CQ152" s="113"/>
      <c r="CR152" s="113"/>
      <c r="CS152" s="113"/>
      <c r="CT152" s="113"/>
      <c r="CU152" s="113"/>
      <c r="CV152" s="113"/>
      <c r="CW152" s="113"/>
      <c r="CX152" s="113"/>
      <c r="CY152" s="113"/>
      <c r="CZ152" s="113"/>
      <c r="DA152" s="113"/>
      <c r="DB152" s="113"/>
      <c r="DC152" s="113"/>
      <c r="DD152" s="113"/>
      <c r="DE152" s="113"/>
      <c r="DF152" s="113"/>
      <c r="DG152" s="113"/>
      <c r="DH152" s="113"/>
      <c r="DI152" s="113"/>
      <c r="DJ152" s="113"/>
      <c r="DK152" s="113"/>
      <c r="DL152" s="113"/>
      <c r="DM152" s="114"/>
      <c r="DN152" s="47"/>
    </row>
    <row r="153" spans="5:118" hidden="1" x14ac:dyDescent="0.35">
      <c r="E153" s="111"/>
      <c r="F153" s="112"/>
      <c r="G153" s="112"/>
      <c r="H153" s="116"/>
      <c r="I153" s="116"/>
      <c r="J153" s="122"/>
      <c r="K153" s="38">
        <f t="shared" si="27"/>
        <v>0</v>
      </c>
      <c r="L153" s="38">
        <f t="shared" si="28"/>
        <v>0</v>
      </c>
      <c r="M153" s="39">
        <f t="shared" si="26"/>
        <v>0</v>
      </c>
      <c r="N153" s="113"/>
      <c r="O153" s="113"/>
      <c r="P153" s="113"/>
      <c r="Q153" s="113"/>
      <c r="R153" s="113"/>
      <c r="S153" s="113"/>
      <c r="T153" s="113"/>
      <c r="U153" s="113"/>
      <c r="V153" s="113"/>
      <c r="W153" s="113"/>
      <c r="X153" s="113"/>
      <c r="Y153" s="113"/>
      <c r="Z153" s="113"/>
      <c r="AA153" s="113"/>
      <c r="AB153" s="113"/>
      <c r="AC153" s="113"/>
      <c r="AD153" s="113"/>
      <c r="AE153" s="113"/>
      <c r="AF153" s="113"/>
      <c r="AG153" s="113"/>
      <c r="AH153" s="113"/>
      <c r="AI153" s="113"/>
      <c r="AJ153" s="113"/>
      <c r="AK153" s="113"/>
      <c r="AL153" s="113"/>
      <c r="AM153" s="113"/>
      <c r="AN153" s="113"/>
      <c r="AO153" s="113"/>
      <c r="AP153" s="113"/>
      <c r="AQ153" s="113"/>
      <c r="AR153" s="113"/>
      <c r="AS153" s="113"/>
      <c r="AT153" s="113"/>
      <c r="AU153" s="113"/>
      <c r="AV153" s="113"/>
      <c r="AW153" s="113"/>
      <c r="AX153" s="113"/>
      <c r="AY153" s="113"/>
      <c r="AZ153" s="113"/>
      <c r="BA153" s="113"/>
      <c r="BB153" s="113"/>
      <c r="BC153" s="113"/>
      <c r="BD153" s="113"/>
      <c r="BE153" s="113"/>
      <c r="BF153" s="113"/>
      <c r="BG153" s="113"/>
      <c r="BH153" s="113"/>
      <c r="BI153" s="113"/>
      <c r="BJ153" s="113"/>
      <c r="BK153" s="113"/>
      <c r="BL153" s="113"/>
      <c r="BM153" s="113"/>
      <c r="BN153" s="113"/>
      <c r="BO153" s="113"/>
      <c r="BP153" s="113"/>
      <c r="BQ153" s="113"/>
      <c r="BR153" s="113"/>
      <c r="BS153" s="113"/>
      <c r="BT153" s="113"/>
      <c r="BU153" s="113"/>
      <c r="BV153" s="113"/>
      <c r="BW153" s="113"/>
      <c r="BX153" s="113"/>
      <c r="BY153" s="113"/>
      <c r="BZ153" s="113"/>
      <c r="CA153" s="113"/>
      <c r="CB153" s="113"/>
      <c r="CC153" s="113"/>
      <c r="CD153" s="113"/>
      <c r="CE153" s="113"/>
      <c r="CF153" s="113"/>
      <c r="CG153" s="113"/>
      <c r="CH153" s="113"/>
      <c r="CI153" s="113"/>
      <c r="CJ153" s="113"/>
      <c r="CK153" s="113"/>
      <c r="CL153" s="113"/>
      <c r="CM153" s="113"/>
      <c r="CN153" s="113"/>
      <c r="CO153" s="113"/>
      <c r="CP153" s="113"/>
      <c r="CQ153" s="113"/>
      <c r="CR153" s="113"/>
      <c r="CS153" s="113"/>
      <c r="CT153" s="113"/>
      <c r="CU153" s="113"/>
      <c r="CV153" s="113"/>
      <c r="CW153" s="113"/>
      <c r="CX153" s="113"/>
      <c r="CY153" s="113"/>
      <c r="CZ153" s="113"/>
      <c r="DA153" s="113"/>
      <c r="DB153" s="113"/>
      <c r="DC153" s="113"/>
      <c r="DD153" s="113"/>
      <c r="DE153" s="113"/>
      <c r="DF153" s="113"/>
      <c r="DG153" s="113"/>
      <c r="DH153" s="113"/>
      <c r="DI153" s="113"/>
      <c r="DJ153" s="113"/>
      <c r="DK153" s="113"/>
      <c r="DL153" s="113"/>
      <c r="DM153" s="114"/>
      <c r="DN153" s="47"/>
    </row>
    <row r="154" spans="5:118" ht="15" thickBot="1" x14ac:dyDescent="0.4">
      <c r="E154" s="3" t="s">
        <v>314</v>
      </c>
      <c r="F154" s="41"/>
      <c r="G154" s="41"/>
      <c r="H154" s="41"/>
      <c r="I154" s="8"/>
      <c r="J154" s="8" t="s">
        <v>150</v>
      </c>
      <c r="K154" s="98">
        <f>SUM(K124:K153)</f>
        <v>0</v>
      </c>
      <c r="L154" s="98">
        <f>SUM(L124:L153)</f>
        <v>0</v>
      </c>
      <c r="M154" s="99">
        <f>SUM(M124:M153)</f>
        <v>0</v>
      </c>
      <c r="N154" s="4">
        <f>SUM(N124:N153)</f>
        <v>0</v>
      </c>
      <c r="O154" s="4">
        <f t="shared" ref="O154:BZ154" si="29">SUM(O124:O153)</f>
        <v>0</v>
      </c>
      <c r="P154" s="4">
        <f t="shared" si="29"/>
        <v>0</v>
      </c>
      <c r="Q154" s="4">
        <f t="shared" si="29"/>
        <v>0</v>
      </c>
      <c r="R154" s="4">
        <f t="shared" si="29"/>
        <v>0</v>
      </c>
      <c r="S154" s="4">
        <f t="shared" si="29"/>
        <v>0</v>
      </c>
      <c r="T154" s="4">
        <f t="shared" si="29"/>
        <v>0</v>
      </c>
      <c r="U154" s="4">
        <f t="shared" si="29"/>
        <v>0</v>
      </c>
      <c r="V154" s="4">
        <f t="shared" si="29"/>
        <v>0</v>
      </c>
      <c r="W154" s="4">
        <f t="shared" si="29"/>
        <v>0</v>
      </c>
      <c r="X154" s="4">
        <f t="shared" si="29"/>
        <v>0</v>
      </c>
      <c r="Y154" s="4">
        <f t="shared" si="29"/>
        <v>0</v>
      </c>
      <c r="Z154" s="4">
        <f t="shared" si="29"/>
        <v>0</v>
      </c>
      <c r="AA154" s="4">
        <f t="shared" si="29"/>
        <v>0</v>
      </c>
      <c r="AB154" s="4">
        <f t="shared" si="29"/>
        <v>0</v>
      </c>
      <c r="AC154" s="4">
        <f t="shared" si="29"/>
        <v>0</v>
      </c>
      <c r="AD154" s="4">
        <f t="shared" si="29"/>
        <v>0</v>
      </c>
      <c r="AE154" s="4">
        <f t="shared" si="29"/>
        <v>0</v>
      </c>
      <c r="AF154" s="4">
        <f t="shared" si="29"/>
        <v>0</v>
      </c>
      <c r="AG154" s="4">
        <f t="shared" si="29"/>
        <v>0</v>
      </c>
      <c r="AH154" s="4">
        <f t="shared" si="29"/>
        <v>0</v>
      </c>
      <c r="AI154" s="4">
        <f t="shared" si="29"/>
        <v>0</v>
      </c>
      <c r="AJ154" s="4">
        <f t="shared" si="29"/>
        <v>0</v>
      </c>
      <c r="AK154" s="4">
        <f t="shared" si="29"/>
        <v>0</v>
      </c>
      <c r="AL154" s="4">
        <f t="shared" si="29"/>
        <v>0</v>
      </c>
      <c r="AM154" s="4">
        <f t="shared" si="29"/>
        <v>0</v>
      </c>
      <c r="AN154" s="4">
        <f t="shared" si="29"/>
        <v>0</v>
      </c>
      <c r="AO154" s="4">
        <f t="shared" si="29"/>
        <v>0</v>
      </c>
      <c r="AP154" s="4">
        <f t="shared" si="29"/>
        <v>0</v>
      </c>
      <c r="AQ154" s="4">
        <f t="shared" si="29"/>
        <v>0</v>
      </c>
      <c r="AR154" s="4">
        <f t="shared" si="29"/>
        <v>0</v>
      </c>
      <c r="AS154" s="4">
        <f t="shared" si="29"/>
        <v>0</v>
      </c>
      <c r="AT154" s="4">
        <f t="shared" si="29"/>
        <v>0</v>
      </c>
      <c r="AU154" s="4">
        <f t="shared" si="29"/>
        <v>0</v>
      </c>
      <c r="AV154" s="4">
        <f t="shared" si="29"/>
        <v>0</v>
      </c>
      <c r="AW154" s="4">
        <f t="shared" si="29"/>
        <v>0</v>
      </c>
      <c r="AX154" s="4">
        <f t="shared" si="29"/>
        <v>0</v>
      </c>
      <c r="AY154" s="4">
        <f t="shared" si="29"/>
        <v>0</v>
      </c>
      <c r="AZ154" s="4">
        <f t="shared" si="29"/>
        <v>0</v>
      </c>
      <c r="BA154" s="4">
        <f t="shared" si="29"/>
        <v>0</v>
      </c>
      <c r="BB154" s="4">
        <f t="shared" si="29"/>
        <v>0</v>
      </c>
      <c r="BC154" s="4">
        <f t="shared" si="29"/>
        <v>0</v>
      </c>
      <c r="BD154" s="4">
        <f t="shared" si="29"/>
        <v>0</v>
      </c>
      <c r="BE154" s="4">
        <f t="shared" si="29"/>
        <v>0</v>
      </c>
      <c r="BF154" s="4">
        <f t="shared" si="29"/>
        <v>0</v>
      </c>
      <c r="BG154" s="4">
        <f t="shared" si="29"/>
        <v>0</v>
      </c>
      <c r="BH154" s="4">
        <f t="shared" si="29"/>
        <v>0</v>
      </c>
      <c r="BI154" s="4">
        <f t="shared" si="29"/>
        <v>0</v>
      </c>
      <c r="BJ154" s="4">
        <f t="shared" si="29"/>
        <v>0</v>
      </c>
      <c r="BK154" s="4">
        <f t="shared" si="29"/>
        <v>0</v>
      </c>
      <c r="BL154" s="4">
        <f t="shared" si="29"/>
        <v>0</v>
      </c>
      <c r="BM154" s="4">
        <f t="shared" si="29"/>
        <v>0</v>
      </c>
      <c r="BN154" s="4">
        <f t="shared" si="29"/>
        <v>0</v>
      </c>
      <c r="BO154" s="4">
        <f t="shared" si="29"/>
        <v>0</v>
      </c>
      <c r="BP154" s="4">
        <f t="shared" si="29"/>
        <v>0</v>
      </c>
      <c r="BQ154" s="4">
        <f t="shared" si="29"/>
        <v>0</v>
      </c>
      <c r="BR154" s="4">
        <f t="shared" si="29"/>
        <v>0</v>
      </c>
      <c r="BS154" s="4">
        <f t="shared" si="29"/>
        <v>0</v>
      </c>
      <c r="BT154" s="4">
        <f t="shared" si="29"/>
        <v>0</v>
      </c>
      <c r="BU154" s="4">
        <f t="shared" si="29"/>
        <v>0</v>
      </c>
      <c r="BV154" s="4">
        <f t="shared" si="29"/>
        <v>0</v>
      </c>
      <c r="BW154" s="4">
        <f t="shared" si="29"/>
        <v>0</v>
      </c>
      <c r="BX154" s="4">
        <f t="shared" si="29"/>
        <v>0</v>
      </c>
      <c r="BY154" s="4">
        <f t="shared" si="29"/>
        <v>0</v>
      </c>
      <c r="BZ154" s="4">
        <f t="shared" si="29"/>
        <v>0</v>
      </c>
      <c r="CA154" s="4">
        <f t="shared" ref="CA154:DM154" si="30">SUM(CA124:CA153)</f>
        <v>0</v>
      </c>
      <c r="CB154" s="4">
        <f t="shared" si="30"/>
        <v>0</v>
      </c>
      <c r="CC154" s="4">
        <f t="shared" si="30"/>
        <v>0</v>
      </c>
      <c r="CD154" s="4">
        <f t="shared" si="30"/>
        <v>0</v>
      </c>
      <c r="CE154" s="4">
        <f t="shared" si="30"/>
        <v>0</v>
      </c>
      <c r="CF154" s="4">
        <f t="shared" si="30"/>
        <v>0</v>
      </c>
      <c r="CG154" s="4">
        <f t="shared" si="30"/>
        <v>0</v>
      </c>
      <c r="CH154" s="4">
        <f t="shared" si="30"/>
        <v>0</v>
      </c>
      <c r="CI154" s="4">
        <f t="shared" si="30"/>
        <v>0</v>
      </c>
      <c r="CJ154" s="4">
        <f t="shared" si="30"/>
        <v>0</v>
      </c>
      <c r="CK154" s="4">
        <f t="shared" si="30"/>
        <v>0</v>
      </c>
      <c r="CL154" s="4">
        <f t="shared" si="30"/>
        <v>0</v>
      </c>
      <c r="CM154" s="4">
        <f t="shared" si="30"/>
        <v>0</v>
      </c>
      <c r="CN154" s="4">
        <f t="shared" si="30"/>
        <v>0</v>
      </c>
      <c r="CO154" s="4">
        <f t="shared" si="30"/>
        <v>0</v>
      </c>
      <c r="CP154" s="4">
        <f t="shared" si="30"/>
        <v>0</v>
      </c>
      <c r="CQ154" s="4">
        <f t="shared" si="30"/>
        <v>0</v>
      </c>
      <c r="CR154" s="4">
        <f t="shared" si="30"/>
        <v>0</v>
      </c>
      <c r="CS154" s="4">
        <f t="shared" si="30"/>
        <v>0</v>
      </c>
      <c r="CT154" s="4">
        <f t="shared" si="30"/>
        <v>0</v>
      </c>
      <c r="CU154" s="4">
        <f t="shared" si="30"/>
        <v>0</v>
      </c>
      <c r="CV154" s="4">
        <f t="shared" si="30"/>
        <v>0</v>
      </c>
      <c r="CW154" s="4">
        <f t="shared" si="30"/>
        <v>0</v>
      </c>
      <c r="CX154" s="4">
        <f t="shared" si="30"/>
        <v>0</v>
      </c>
      <c r="CY154" s="4">
        <f t="shared" si="30"/>
        <v>0</v>
      </c>
      <c r="CZ154" s="4">
        <f t="shared" si="30"/>
        <v>0</v>
      </c>
      <c r="DA154" s="4">
        <f t="shared" si="30"/>
        <v>0</v>
      </c>
      <c r="DB154" s="4">
        <f t="shared" si="30"/>
        <v>0</v>
      </c>
      <c r="DC154" s="4">
        <f t="shared" si="30"/>
        <v>0</v>
      </c>
      <c r="DD154" s="4">
        <f t="shared" si="30"/>
        <v>0</v>
      </c>
      <c r="DE154" s="4">
        <f t="shared" si="30"/>
        <v>0</v>
      </c>
      <c r="DF154" s="4">
        <f t="shared" si="30"/>
        <v>0</v>
      </c>
      <c r="DG154" s="4">
        <f t="shared" si="30"/>
        <v>0</v>
      </c>
      <c r="DH154" s="4">
        <f t="shared" si="30"/>
        <v>0</v>
      </c>
      <c r="DI154" s="4">
        <f t="shared" si="30"/>
        <v>0</v>
      </c>
      <c r="DJ154" s="4">
        <f t="shared" si="30"/>
        <v>0</v>
      </c>
      <c r="DK154" s="4">
        <f t="shared" si="30"/>
        <v>0</v>
      </c>
      <c r="DL154" s="4">
        <f t="shared" si="30"/>
        <v>0</v>
      </c>
      <c r="DM154" s="4">
        <f t="shared" si="30"/>
        <v>0</v>
      </c>
      <c r="DN154" s="47"/>
    </row>
    <row r="155" spans="5:118" ht="15" thickBot="1" x14ac:dyDescent="0.4"/>
    <row r="156" spans="5:118" ht="15" thickBot="1" x14ac:dyDescent="0.4">
      <c r="E156" s="43" t="s">
        <v>266</v>
      </c>
      <c r="J156" s="48"/>
      <c r="N156" s="48"/>
    </row>
    <row r="157" spans="5:118" x14ac:dyDescent="0.35">
      <c r="E157" s="28" t="s">
        <v>29</v>
      </c>
      <c r="F157" s="32" t="s">
        <v>145</v>
      </c>
      <c r="G157" s="32" t="s">
        <v>267</v>
      </c>
      <c r="H157" s="32" t="s">
        <v>268</v>
      </c>
      <c r="I157" s="66" t="s">
        <v>264</v>
      </c>
      <c r="J157" s="69"/>
      <c r="K157" s="61" t="s">
        <v>258</v>
      </c>
      <c r="L157" s="33" t="s">
        <v>142</v>
      </c>
      <c r="M157" s="33" t="s">
        <v>34</v>
      </c>
      <c r="N157" s="34" t="s">
        <v>35</v>
      </c>
      <c r="O157" s="33" t="s">
        <v>36</v>
      </c>
      <c r="P157" s="33" t="s">
        <v>37</v>
      </c>
      <c r="Q157" s="33" t="s">
        <v>38</v>
      </c>
      <c r="R157" s="33" t="s">
        <v>39</v>
      </c>
      <c r="S157" s="33" t="s">
        <v>40</v>
      </c>
      <c r="T157" s="33" t="s">
        <v>41</v>
      </c>
      <c r="U157" s="33" t="s">
        <v>42</v>
      </c>
      <c r="V157" s="33" t="s">
        <v>43</v>
      </c>
      <c r="W157" s="33" t="s">
        <v>44</v>
      </c>
      <c r="X157" s="33" t="s">
        <v>45</v>
      </c>
      <c r="Y157" s="33" t="s">
        <v>46</v>
      </c>
      <c r="Z157" s="33" t="s">
        <v>47</v>
      </c>
      <c r="AA157" s="33" t="s">
        <v>48</v>
      </c>
      <c r="AB157" s="33" t="s">
        <v>49</v>
      </c>
      <c r="AC157" s="33" t="s">
        <v>50</v>
      </c>
      <c r="AD157" s="33" t="s">
        <v>51</v>
      </c>
      <c r="AE157" s="33" t="s">
        <v>52</v>
      </c>
      <c r="AF157" s="33" t="s">
        <v>53</v>
      </c>
      <c r="AG157" s="33" t="s">
        <v>54</v>
      </c>
      <c r="AH157" s="33" t="s">
        <v>55</v>
      </c>
      <c r="AI157" s="33" t="s">
        <v>56</v>
      </c>
      <c r="AJ157" s="33" t="s">
        <v>57</v>
      </c>
      <c r="AK157" s="33" t="s">
        <v>58</v>
      </c>
      <c r="AL157" s="33" t="s">
        <v>59</v>
      </c>
      <c r="AM157" s="33" t="s">
        <v>60</v>
      </c>
      <c r="AN157" s="33" t="s">
        <v>61</v>
      </c>
      <c r="AO157" s="33" t="s">
        <v>62</v>
      </c>
      <c r="AP157" s="33" t="s">
        <v>63</v>
      </c>
      <c r="AQ157" s="33" t="s">
        <v>64</v>
      </c>
      <c r="AR157" s="33" t="s">
        <v>65</v>
      </c>
      <c r="AS157" s="33" t="s">
        <v>66</v>
      </c>
      <c r="AT157" s="33" t="s">
        <v>67</v>
      </c>
      <c r="AU157" s="33" t="s">
        <v>68</v>
      </c>
      <c r="AV157" s="33" t="s">
        <v>69</v>
      </c>
      <c r="AW157" s="33" t="s">
        <v>70</v>
      </c>
      <c r="AX157" s="33" t="s">
        <v>71</v>
      </c>
      <c r="AY157" s="33" t="s">
        <v>72</v>
      </c>
      <c r="AZ157" s="33" t="s">
        <v>73</v>
      </c>
      <c r="BA157" s="33" t="s">
        <v>74</v>
      </c>
      <c r="BB157" s="33" t="s">
        <v>75</v>
      </c>
      <c r="BC157" s="33" t="s">
        <v>76</v>
      </c>
      <c r="BD157" s="33" t="s">
        <v>77</v>
      </c>
      <c r="BE157" s="33" t="s">
        <v>78</v>
      </c>
      <c r="BF157" s="33" t="s">
        <v>79</v>
      </c>
      <c r="BG157" s="33" t="s">
        <v>80</v>
      </c>
      <c r="BH157" s="33" t="s">
        <v>81</v>
      </c>
      <c r="BI157" s="33" t="s">
        <v>82</v>
      </c>
      <c r="BJ157" s="33" t="s">
        <v>83</v>
      </c>
      <c r="BK157" s="33" t="s">
        <v>84</v>
      </c>
      <c r="BL157" s="33" t="s">
        <v>85</v>
      </c>
      <c r="BM157" s="33" t="s">
        <v>86</v>
      </c>
      <c r="BN157" s="33" t="s">
        <v>87</v>
      </c>
      <c r="BO157" s="33" t="s">
        <v>88</v>
      </c>
      <c r="BP157" s="33" t="s">
        <v>89</v>
      </c>
      <c r="BQ157" s="33" t="s">
        <v>90</v>
      </c>
      <c r="BR157" s="33" t="s">
        <v>91</v>
      </c>
      <c r="BS157" s="33" t="s">
        <v>92</v>
      </c>
      <c r="BT157" s="33" t="s">
        <v>93</v>
      </c>
      <c r="BU157" s="33" t="s">
        <v>94</v>
      </c>
      <c r="BV157" s="33" t="s">
        <v>95</v>
      </c>
      <c r="BW157" s="33" t="s">
        <v>96</v>
      </c>
      <c r="BX157" s="33" t="s">
        <v>97</v>
      </c>
      <c r="BY157" s="33" t="s">
        <v>98</v>
      </c>
      <c r="BZ157" s="33" t="s">
        <v>99</v>
      </c>
      <c r="CA157" s="33" t="s">
        <v>100</v>
      </c>
      <c r="CB157" s="33" t="s">
        <v>101</v>
      </c>
      <c r="CC157" s="33" t="s">
        <v>102</v>
      </c>
      <c r="CD157" s="33" t="s">
        <v>103</v>
      </c>
      <c r="CE157" s="33" t="s">
        <v>104</v>
      </c>
      <c r="CF157" s="33" t="s">
        <v>105</v>
      </c>
      <c r="CG157" s="33" t="s">
        <v>106</v>
      </c>
      <c r="CH157" s="33" t="s">
        <v>107</v>
      </c>
      <c r="CI157" s="33" t="s">
        <v>108</v>
      </c>
      <c r="CJ157" s="33" t="s">
        <v>109</v>
      </c>
      <c r="CK157" s="33" t="s">
        <v>110</v>
      </c>
      <c r="CL157" s="33" t="s">
        <v>111</v>
      </c>
      <c r="CM157" s="33" t="s">
        <v>112</v>
      </c>
      <c r="CN157" s="33" t="s">
        <v>113</v>
      </c>
      <c r="CO157" s="33" t="s">
        <v>114</v>
      </c>
      <c r="CP157" s="33" t="s">
        <v>115</v>
      </c>
      <c r="CQ157" s="33" t="s">
        <v>116</v>
      </c>
      <c r="CR157" s="33" t="s">
        <v>117</v>
      </c>
      <c r="CS157" s="33" t="s">
        <v>118</v>
      </c>
      <c r="CT157" s="33" t="s">
        <v>119</v>
      </c>
      <c r="CU157" s="33" t="s">
        <v>120</v>
      </c>
      <c r="CV157" s="33" t="s">
        <v>121</v>
      </c>
      <c r="CW157" s="33" t="s">
        <v>122</v>
      </c>
      <c r="CX157" s="33" t="s">
        <v>123</v>
      </c>
      <c r="CY157" s="33" t="s">
        <v>124</v>
      </c>
      <c r="CZ157" s="33" t="s">
        <v>125</v>
      </c>
      <c r="DA157" s="33" t="s">
        <v>126</v>
      </c>
      <c r="DB157" s="33" t="s">
        <v>127</v>
      </c>
      <c r="DC157" s="33" t="s">
        <v>128</v>
      </c>
      <c r="DD157" s="33" t="s">
        <v>129</v>
      </c>
      <c r="DE157" s="33" t="s">
        <v>130</v>
      </c>
      <c r="DF157" s="33" t="s">
        <v>131</v>
      </c>
      <c r="DG157" s="33" t="s">
        <v>132</v>
      </c>
      <c r="DH157" s="33" t="s">
        <v>133</v>
      </c>
      <c r="DI157" s="33" t="s">
        <v>134</v>
      </c>
      <c r="DJ157" s="33" t="s">
        <v>135</v>
      </c>
      <c r="DK157" s="33" t="s">
        <v>136</v>
      </c>
      <c r="DL157" s="33" t="s">
        <v>137</v>
      </c>
      <c r="DM157" s="33" t="s">
        <v>138</v>
      </c>
      <c r="DN157" s="45"/>
    </row>
    <row r="158" spans="5:118" x14ac:dyDescent="0.35">
      <c r="E158" s="111"/>
      <c r="F158" s="112"/>
      <c r="G158" s="112"/>
      <c r="H158" s="116"/>
      <c r="I158" s="115"/>
      <c r="J158" s="70"/>
      <c r="K158" s="68">
        <f>H158*N158</f>
        <v>0</v>
      </c>
      <c r="L158" s="38">
        <f>I158*M158</f>
        <v>0</v>
      </c>
      <c r="M158" s="39">
        <f t="shared" ref="M158:M187" si="31">SUM(N158:DM158)</f>
        <v>0</v>
      </c>
      <c r="N158" s="113"/>
      <c r="O158" s="113"/>
      <c r="P158" s="113"/>
      <c r="Q158" s="113"/>
      <c r="R158" s="113"/>
      <c r="S158" s="113"/>
      <c r="T158" s="113"/>
      <c r="U158" s="113"/>
      <c r="V158" s="113"/>
      <c r="W158" s="113"/>
      <c r="X158" s="113"/>
      <c r="Y158" s="113"/>
      <c r="Z158" s="113"/>
      <c r="AA158" s="113"/>
      <c r="AB158" s="113"/>
      <c r="AC158" s="113"/>
      <c r="AD158" s="113"/>
      <c r="AE158" s="113"/>
      <c r="AF158" s="113"/>
      <c r="AG158" s="113"/>
      <c r="AH158" s="113"/>
      <c r="AI158" s="113"/>
      <c r="AJ158" s="113"/>
      <c r="AK158" s="113"/>
      <c r="AL158" s="113"/>
      <c r="AM158" s="113"/>
      <c r="AN158" s="113"/>
      <c r="AO158" s="113"/>
      <c r="AP158" s="113"/>
      <c r="AQ158" s="113"/>
      <c r="AR158" s="113"/>
      <c r="AS158" s="113"/>
      <c r="AT158" s="113"/>
      <c r="AU158" s="113"/>
      <c r="AV158" s="113"/>
      <c r="AW158" s="113"/>
      <c r="AX158" s="113"/>
      <c r="AY158" s="113"/>
      <c r="AZ158" s="113"/>
      <c r="BA158" s="113"/>
      <c r="BB158" s="113"/>
      <c r="BC158" s="113"/>
      <c r="BD158" s="113"/>
      <c r="BE158" s="113"/>
      <c r="BF158" s="113"/>
      <c r="BG158" s="113"/>
      <c r="BH158" s="113"/>
      <c r="BI158" s="113"/>
      <c r="BJ158" s="113"/>
      <c r="BK158" s="113"/>
      <c r="BL158" s="113"/>
      <c r="BM158" s="113"/>
      <c r="BN158" s="113"/>
      <c r="BO158" s="113"/>
      <c r="BP158" s="113"/>
      <c r="BQ158" s="113"/>
      <c r="BR158" s="113"/>
      <c r="BS158" s="113"/>
      <c r="BT158" s="113"/>
      <c r="BU158" s="113"/>
      <c r="BV158" s="113"/>
      <c r="BW158" s="113"/>
      <c r="BX158" s="113"/>
      <c r="BY158" s="113"/>
      <c r="BZ158" s="113"/>
      <c r="CA158" s="113"/>
      <c r="CB158" s="113"/>
      <c r="CC158" s="113"/>
      <c r="CD158" s="113"/>
      <c r="CE158" s="113"/>
      <c r="CF158" s="113"/>
      <c r="CG158" s="113"/>
      <c r="CH158" s="113"/>
      <c r="CI158" s="113"/>
      <c r="CJ158" s="113"/>
      <c r="CK158" s="113"/>
      <c r="CL158" s="113"/>
      <c r="CM158" s="113"/>
      <c r="CN158" s="113"/>
      <c r="CO158" s="113"/>
      <c r="CP158" s="113"/>
      <c r="CQ158" s="113"/>
      <c r="CR158" s="113"/>
      <c r="CS158" s="113"/>
      <c r="CT158" s="113"/>
      <c r="CU158" s="113"/>
      <c r="CV158" s="113"/>
      <c r="CW158" s="113"/>
      <c r="CX158" s="113"/>
      <c r="CY158" s="113"/>
      <c r="CZ158" s="113"/>
      <c r="DA158" s="113"/>
      <c r="DB158" s="113"/>
      <c r="DC158" s="113"/>
      <c r="DD158" s="113"/>
      <c r="DE158" s="113"/>
      <c r="DF158" s="113"/>
      <c r="DG158" s="113"/>
      <c r="DH158" s="113"/>
      <c r="DI158" s="113"/>
      <c r="DJ158" s="113"/>
      <c r="DK158" s="113"/>
      <c r="DL158" s="113"/>
      <c r="DM158" s="114"/>
      <c r="DN158" s="47"/>
    </row>
    <row r="159" spans="5:118" x14ac:dyDescent="0.35">
      <c r="E159" s="111"/>
      <c r="F159" s="112"/>
      <c r="G159" s="112"/>
      <c r="H159" s="116"/>
      <c r="I159" s="115"/>
      <c r="J159" s="70"/>
      <c r="K159" s="68">
        <f t="shared" ref="K159:K187" si="32">H159*N159</f>
        <v>0</v>
      </c>
      <c r="L159" s="38">
        <f t="shared" ref="L159:L187" si="33">I159*M159</f>
        <v>0</v>
      </c>
      <c r="M159" s="39">
        <f t="shared" si="31"/>
        <v>0</v>
      </c>
      <c r="N159" s="113"/>
      <c r="O159" s="113"/>
      <c r="P159" s="113"/>
      <c r="Q159" s="113"/>
      <c r="R159" s="113"/>
      <c r="S159" s="113"/>
      <c r="T159" s="113"/>
      <c r="U159" s="113"/>
      <c r="V159" s="113"/>
      <c r="W159" s="113"/>
      <c r="X159" s="113"/>
      <c r="Y159" s="113"/>
      <c r="Z159" s="113"/>
      <c r="AA159" s="113"/>
      <c r="AB159" s="113"/>
      <c r="AC159" s="113"/>
      <c r="AD159" s="113"/>
      <c r="AE159" s="113"/>
      <c r="AF159" s="113"/>
      <c r="AG159" s="113"/>
      <c r="AH159" s="113"/>
      <c r="AI159" s="113"/>
      <c r="AJ159" s="113"/>
      <c r="AK159" s="113"/>
      <c r="AL159" s="113"/>
      <c r="AM159" s="113"/>
      <c r="AN159" s="113"/>
      <c r="AO159" s="113"/>
      <c r="AP159" s="113"/>
      <c r="AQ159" s="113"/>
      <c r="AR159" s="113"/>
      <c r="AS159" s="113"/>
      <c r="AT159" s="113"/>
      <c r="AU159" s="113"/>
      <c r="AV159" s="113"/>
      <c r="AW159" s="113"/>
      <c r="AX159" s="113"/>
      <c r="AY159" s="113"/>
      <c r="AZ159" s="113"/>
      <c r="BA159" s="113"/>
      <c r="BB159" s="113"/>
      <c r="BC159" s="113"/>
      <c r="BD159" s="113"/>
      <c r="BE159" s="113"/>
      <c r="BF159" s="113"/>
      <c r="BG159" s="113"/>
      <c r="BH159" s="113"/>
      <c r="BI159" s="113"/>
      <c r="BJ159" s="113"/>
      <c r="BK159" s="113"/>
      <c r="BL159" s="113"/>
      <c r="BM159" s="113"/>
      <c r="BN159" s="113"/>
      <c r="BO159" s="113"/>
      <c r="BP159" s="113"/>
      <c r="BQ159" s="113"/>
      <c r="BR159" s="113"/>
      <c r="BS159" s="113"/>
      <c r="BT159" s="113"/>
      <c r="BU159" s="113"/>
      <c r="BV159" s="113"/>
      <c r="BW159" s="113"/>
      <c r="BX159" s="113"/>
      <c r="BY159" s="113"/>
      <c r="BZ159" s="113"/>
      <c r="CA159" s="113"/>
      <c r="CB159" s="113"/>
      <c r="CC159" s="113"/>
      <c r="CD159" s="113"/>
      <c r="CE159" s="113"/>
      <c r="CF159" s="113"/>
      <c r="CG159" s="113"/>
      <c r="CH159" s="113"/>
      <c r="CI159" s="113"/>
      <c r="CJ159" s="113"/>
      <c r="CK159" s="113"/>
      <c r="CL159" s="113"/>
      <c r="CM159" s="113"/>
      <c r="CN159" s="113"/>
      <c r="CO159" s="113"/>
      <c r="CP159" s="113"/>
      <c r="CQ159" s="113"/>
      <c r="CR159" s="113"/>
      <c r="CS159" s="113"/>
      <c r="CT159" s="113"/>
      <c r="CU159" s="113"/>
      <c r="CV159" s="113"/>
      <c r="CW159" s="113"/>
      <c r="CX159" s="113"/>
      <c r="CY159" s="113"/>
      <c r="CZ159" s="113"/>
      <c r="DA159" s="113"/>
      <c r="DB159" s="113"/>
      <c r="DC159" s="113"/>
      <c r="DD159" s="113"/>
      <c r="DE159" s="113"/>
      <c r="DF159" s="113"/>
      <c r="DG159" s="113"/>
      <c r="DH159" s="113"/>
      <c r="DI159" s="113"/>
      <c r="DJ159" s="113"/>
      <c r="DK159" s="113"/>
      <c r="DL159" s="113"/>
      <c r="DM159" s="114"/>
      <c r="DN159" s="47"/>
    </row>
    <row r="160" spans="5:118" x14ac:dyDescent="0.35">
      <c r="E160" s="111"/>
      <c r="F160" s="112"/>
      <c r="G160" s="112"/>
      <c r="H160" s="116"/>
      <c r="I160" s="115"/>
      <c r="J160" s="70"/>
      <c r="K160" s="68">
        <f t="shared" si="32"/>
        <v>0</v>
      </c>
      <c r="L160" s="38">
        <f t="shared" si="33"/>
        <v>0</v>
      </c>
      <c r="M160" s="39">
        <f t="shared" si="31"/>
        <v>0</v>
      </c>
      <c r="N160" s="113"/>
      <c r="O160" s="113"/>
      <c r="P160" s="113"/>
      <c r="Q160" s="113"/>
      <c r="R160" s="113"/>
      <c r="S160" s="113"/>
      <c r="T160" s="113"/>
      <c r="U160" s="113"/>
      <c r="V160" s="113"/>
      <c r="W160" s="113"/>
      <c r="X160" s="113"/>
      <c r="Y160" s="113"/>
      <c r="Z160" s="113"/>
      <c r="AA160" s="113"/>
      <c r="AB160" s="113"/>
      <c r="AC160" s="113"/>
      <c r="AD160" s="113"/>
      <c r="AE160" s="113"/>
      <c r="AF160" s="113"/>
      <c r="AG160" s="113"/>
      <c r="AH160" s="113"/>
      <c r="AI160" s="113"/>
      <c r="AJ160" s="113"/>
      <c r="AK160" s="113"/>
      <c r="AL160" s="113"/>
      <c r="AM160" s="113"/>
      <c r="AN160" s="113"/>
      <c r="AO160" s="113"/>
      <c r="AP160" s="113"/>
      <c r="AQ160" s="113"/>
      <c r="AR160" s="113"/>
      <c r="AS160" s="113"/>
      <c r="AT160" s="113"/>
      <c r="AU160" s="113"/>
      <c r="AV160" s="113"/>
      <c r="AW160" s="113"/>
      <c r="AX160" s="113"/>
      <c r="AY160" s="113"/>
      <c r="AZ160" s="113"/>
      <c r="BA160" s="113"/>
      <c r="BB160" s="113"/>
      <c r="BC160" s="113"/>
      <c r="BD160" s="113"/>
      <c r="BE160" s="113"/>
      <c r="BF160" s="113"/>
      <c r="BG160" s="113"/>
      <c r="BH160" s="113"/>
      <c r="BI160" s="113"/>
      <c r="BJ160" s="113"/>
      <c r="BK160" s="113"/>
      <c r="BL160" s="113"/>
      <c r="BM160" s="113"/>
      <c r="BN160" s="113"/>
      <c r="BO160" s="113"/>
      <c r="BP160" s="113"/>
      <c r="BQ160" s="113"/>
      <c r="BR160" s="113"/>
      <c r="BS160" s="113"/>
      <c r="BT160" s="113"/>
      <c r="BU160" s="113"/>
      <c r="BV160" s="113"/>
      <c r="BW160" s="113"/>
      <c r="BX160" s="113"/>
      <c r="BY160" s="113"/>
      <c r="BZ160" s="113"/>
      <c r="CA160" s="113"/>
      <c r="CB160" s="113"/>
      <c r="CC160" s="113"/>
      <c r="CD160" s="113"/>
      <c r="CE160" s="113"/>
      <c r="CF160" s="113"/>
      <c r="CG160" s="113"/>
      <c r="CH160" s="113"/>
      <c r="CI160" s="113"/>
      <c r="CJ160" s="113"/>
      <c r="CK160" s="113"/>
      <c r="CL160" s="113"/>
      <c r="CM160" s="113"/>
      <c r="CN160" s="113"/>
      <c r="CO160" s="113"/>
      <c r="CP160" s="113"/>
      <c r="CQ160" s="113"/>
      <c r="CR160" s="113"/>
      <c r="CS160" s="113"/>
      <c r="CT160" s="113"/>
      <c r="CU160" s="113"/>
      <c r="CV160" s="113"/>
      <c r="CW160" s="113"/>
      <c r="CX160" s="113"/>
      <c r="CY160" s="113"/>
      <c r="CZ160" s="113"/>
      <c r="DA160" s="113"/>
      <c r="DB160" s="113"/>
      <c r="DC160" s="113"/>
      <c r="DD160" s="113"/>
      <c r="DE160" s="113"/>
      <c r="DF160" s="113"/>
      <c r="DG160" s="113"/>
      <c r="DH160" s="113"/>
      <c r="DI160" s="113"/>
      <c r="DJ160" s="113"/>
      <c r="DK160" s="113"/>
      <c r="DL160" s="113"/>
      <c r="DM160" s="114"/>
      <c r="DN160" s="47"/>
    </row>
    <row r="161" spans="5:118" x14ac:dyDescent="0.35">
      <c r="E161" s="111"/>
      <c r="F161" s="112"/>
      <c r="G161" s="112"/>
      <c r="H161" s="116"/>
      <c r="I161" s="115"/>
      <c r="J161" s="70"/>
      <c r="K161" s="68">
        <f t="shared" si="32"/>
        <v>0</v>
      </c>
      <c r="L161" s="38">
        <f t="shared" si="33"/>
        <v>0</v>
      </c>
      <c r="M161" s="39">
        <f t="shared" si="31"/>
        <v>0</v>
      </c>
      <c r="N161" s="113"/>
      <c r="O161" s="113"/>
      <c r="P161" s="113"/>
      <c r="Q161" s="113"/>
      <c r="R161" s="113"/>
      <c r="S161" s="113"/>
      <c r="T161" s="113"/>
      <c r="U161" s="113"/>
      <c r="V161" s="113"/>
      <c r="W161" s="113"/>
      <c r="X161" s="113"/>
      <c r="Y161" s="113"/>
      <c r="Z161" s="113"/>
      <c r="AA161" s="113"/>
      <c r="AB161" s="113"/>
      <c r="AC161" s="113"/>
      <c r="AD161" s="113"/>
      <c r="AE161" s="113"/>
      <c r="AF161" s="113"/>
      <c r="AG161" s="113"/>
      <c r="AH161" s="113"/>
      <c r="AI161" s="113"/>
      <c r="AJ161" s="113"/>
      <c r="AK161" s="113"/>
      <c r="AL161" s="113"/>
      <c r="AM161" s="113"/>
      <c r="AN161" s="113"/>
      <c r="AO161" s="113"/>
      <c r="AP161" s="113"/>
      <c r="AQ161" s="113"/>
      <c r="AR161" s="113"/>
      <c r="AS161" s="113"/>
      <c r="AT161" s="113"/>
      <c r="AU161" s="113"/>
      <c r="AV161" s="113"/>
      <c r="AW161" s="113"/>
      <c r="AX161" s="113"/>
      <c r="AY161" s="113"/>
      <c r="AZ161" s="113"/>
      <c r="BA161" s="113"/>
      <c r="BB161" s="113"/>
      <c r="BC161" s="113"/>
      <c r="BD161" s="113"/>
      <c r="BE161" s="113"/>
      <c r="BF161" s="113"/>
      <c r="BG161" s="113"/>
      <c r="BH161" s="113"/>
      <c r="BI161" s="113"/>
      <c r="BJ161" s="113"/>
      <c r="BK161" s="113"/>
      <c r="BL161" s="113"/>
      <c r="BM161" s="113"/>
      <c r="BN161" s="113"/>
      <c r="BO161" s="113"/>
      <c r="BP161" s="113"/>
      <c r="BQ161" s="113"/>
      <c r="BR161" s="113"/>
      <c r="BS161" s="113"/>
      <c r="BT161" s="113"/>
      <c r="BU161" s="113"/>
      <c r="BV161" s="113"/>
      <c r="BW161" s="113"/>
      <c r="BX161" s="113"/>
      <c r="BY161" s="113"/>
      <c r="BZ161" s="113"/>
      <c r="CA161" s="113"/>
      <c r="CB161" s="113"/>
      <c r="CC161" s="113"/>
      <c r="CD161" s="113"/>
      <c r="CE161" s="113"/>
      <c r="CF161" s="113"/>
      <c r="CG161" s="113"/>
      <c r="CH161" s="113"/>
      <c r="CI161" s="113"/>
      <c r="CJ161" s="113"/>
      <c r="CK161" s="113"/>
      <c r="CL161" s="113"/>
      <c r="CM161" s="113"/>
      <c r="CN161" s="113"/>
      <c r="CO161" s="113"/>
      <c r="CP161" s="113"/>
      <c r="CQ161" s="113"/>
      <c r="CR161" s="113"/>
      <c r="CS161" s="113"/>
      <c r="CT161" s="113"/>
      <c r="CU161" s="113"/>
      <c r="CV161" s="113"/>
      <c r="CW161" s="113"/>
      <c r="CX161" s="113"/>
      <c r="CY161" s="113"/>
      <c r="CZ161" s="113"/>
      <c r="DA161" s="113"/>
      <c r="DB161" s="113"/>
      <c r="DC161" s="113"/>
      <c r="DD161" s="113"/>
      <c r="DE161" s="113"/>
      <c r="DF161" s="113"/>
      <c r="DG161" s="113"/>
      <c r="DH161" s="113"/>
      <c r="DI161" s="113"/>
      <c r="DJ161" s="113"/>
      <c r="DK161" s="113"/>
      <c r="DL161" s="113"/>
      <c r="DM161" s="114"/>
      <c r="DN161" s="47"/>
    </row>
    <row r="162" spans="5:118" x14ac:dyDescent="0.35">
      <c r="E162" s="111"/>
      <c r="F162" s="112"/>
      <c r="G162" s="112"/>
      <c r="H162" s="116"/>
      <c r="I162" s="115"/>
      <c r="J162" s="70"/>
      <c r="K162" s="68">
        <f t="shared" si="32"/>
        <v>0</v>
      </c>
      <c r="L162" s="38">
        <f t="shared" si="33"/>
        <v>0</v>
      </c>
      <c r="M162" s="39">
        <f t="shared" si="31"/>
        <v>0</v>
      </c>
      <c r="N162" s="113"/>
      <c r="O162" s="113"/>
      <c r="P162" s="113"/>
      <c r="Q162" s="113"/>
      <c r="R162" s="113"/>
      <c r="S162" s="113"/>
      <c r="T162" s="113"/>
      <c r="U162" s="113"/>
      <c r="V162" s="113"/>
      <c r="W162" s="113"/>
      <c r="X162" s="113"/>
      <c r="Y162" s="113"/>
      <c r="Z162" s="113"/>
      <c r="AA162" s="113"/>
      <c r="AB162" s="113"/>
      <c r="AC162" s="113"/>
      <c r="AD162" s="113"/>
      <c r="AE162" s="113"/>
      <c r="AF162" s="113"/>
      <c r="AG162" s="113"/>
      <c r="AH162" s="113"/>
      <c r="AI162" s="113"/>
      <c r="AJ162" s="113"/>
      <c r="AK162" s="113"/>
      <c r="AL162" s="113"/>
      <c r="AM162" s="113"/>
      <c r="AN162" s="113"/>
      <c r="AO162" s="113"/>
      <c r="AP162" s="113"/>
      <c r="AQ162" s="113"/>
      <c r="AR162" s="113"/>
      <c r="AS162" s="113"/>
      <c r="AT162" s="113"/>
      <c r="AU162" s="113"/>
      <c r="AV162" s="113"/>
      <c r="AW162" s="113"/>
      <c r="AX162" s="113"/>
      <c r="AY162" s="113"/>
      <c r="AZ162" s="113"/>
      <c r="BA162" s="113"/>
      <c r="BB162" s="113"/>
      <c r="BC162" s="113"/>
      <c r="BD162" s="113"/>
      <c r="BE162" s="113"/>
      <c r="BF162" s="113"/>
      <c r="BG162" s="113"/>
      <c r="BH162" s="113"/>
      <c r="BI162" s="113"/>
      <c r="BJ162" s="113"/>
      <c r="BK162" s="113"/>
      <c r="BL162" s="113"/>
      <c r="BM162" s="113"/>
      <c r="BN162" s="113"/>
      <c r="BO162" s="113"/>
      <c r="BP162" s="113"/>
      <c r="BQ162" s="113"/>
      <c r="BR162" s="113"/>
      <c r="BS162" s="113"/>
      <c r="BT162" s="113"/>
      <c r="BU162" s="113"/>
      <c r="BV162" s="113"/>
      <c r="BW162" s="113"/>
      <c r="BX162" s="113"/>
      <c r="BY162" s="113"/>
      <c r="BZ162" s="113"/>
      <c r="CA162" s="113"/>
      <c r="CB162" s="113"/>
      <c r="CC162" s="113"/>
      <c r="CD162" s="113"/>
      <c r="CE162" s="113"/>
      <c r="CF162" s="113"/>
      <c r="CG162" s="113"/>
      <c r="CH162" s="113"/>
      <c r="CI162" s="113"/>
      <c r="CJ162" s="113"/>
      <c r="CK162" s="113"/>
      <c r="CL162" s="113"/>
      <c r="CM162" s="113"/>
      <c r="CN162" s="113"/>
      <c r="CO162" s="113"/>
      <c r="CP162" s="113"/>
      <c r="CQ162" s="113"/>
      <c r="CR162" s="113"/>
      <c r="CS162" s="113"/>
      <c r="CT162" s="113"/>
      <c r="CU162" s="113"/>
      <c r="CV162" s="113"/>
      <c r="CW162" s="113"/>
      <c r="CX162" s="113"/>
      <c r="CY162" s="113"/>
      <c r="CZ162" s="113"/>
      <c r="DA162" s="113"/>
      <c r="DB162" s="113"/>
      <c r="DC162" s="113"/>
      <c r="DD162" s="113"/>
      <c r="DE162" s="113"/>
      <c r="DF162" s="113"/>
      <c r="DG162" s="113"/>
      <c r="DH162" s="113"/>
      <c r="DI162" s="113"/>
      <c r="DJ162" s="113"/>
      <c r="DK162" s="113"/>
      <c r="DL162" s="113"/>
      <c r="DM162" s="114"/>
      <c r="DN162" s="47"/>
    </row>
    <row r="163" spans="5:118" x14ac:dyDescent="0.35">
      <c r="E163" s="111"/>
      <c r="F163" s="112"/>
      <c r="G163" s="112"/>
      <c r="H163" s="116"/>
      <c r="I163" s="115"/>
      <c r="J163" s="70"/>
      <c r="K163" s="68">
        <f t="shared" si="32"/>
        <v>0</v>
      </c>
      <c r="L163" s="38">
        <f t="shared" si="33"/>
        <v>0</v>
      </c>
      <c r="M163" s="39">
        <f t="shared" si="31"/>
        <v>0</v>
      </c>
      <c r="N163" s="113"/>
      <c r="O163" s="113"/>
      <c r="P163" s="113"/>
      <c r="Q163" s="113"/>
      <c r="R163" s="113"/>
      <c r="S163" s="113"/>
      <c r="T163" s="113"/>
      <c r="U163" s="113"/>
      <c r="V163" s="113"/>
      <c r="W163" s="113"/>
      <c r="X163" s="113"/>
      <c r="Y163" s="113"/>
      <c r="Z163" s="113"/>
      <c r="AA163" s="113"/>
      <c r="AB163" s="113"/>
      <c r="AC163" s="113"/>
      <c r="AD163" s="113"/>
      <c r="AE163" s="113"/>
      <c r="AF163" s="113"/>
      <c r="AG163" s="113"/>
      <c r="AH163" s="113"/>
      <c r="AI163" s="113"/>
      <c r="AJ163" s="113"/>
      <c r="AK163" s="113"/>
      <c r="AL163" s="113"/>
      <c r="AM163" s="113"/>
      <c r="AN163" s="113"/>
      <c r="AO163" s="113"/>
      <c r="AP163" s="113"/>
      <c r="AQ163" s="113"/>
      <c r="AR163" s="113"/>
      <c r="AS163" s="113"/>
      <c r="AT163" s="113"/>
      <c r="AU163" s="113"/>
      <c r="AV163" s="113"/>
      <c r="AW163" s="113"/>
      <c r="AX163" s="113"/>
      <c r="AY163" s="113"/>
      <c r="AZ163" s="113"/>
      <c r="BA163" s="113"/>
      <c r="BB163" s="113"/>
      <c r="BC163" s="113"/>
      <c r="BD163" s="113"/>
      <c r="BE163" s="113"/>
      <c r="BF163" s="113"/>
      <c r="BG163" s="113"/>
      <c r="BH163" s="113"/>
      <c r="BI163" s="113"/>
      <c r="BJ163" s="113"/>
      <c r="BK163" s="113"/>
      <c r="BL163" s="113"/>
      <c r="BM163" s="113"/>
      <c r="BN163" s="113"/>
      <c r="BO163" s="113"/>
      <c r="BP163" s="113"/>
      <c r="BQ163" s="113"/>
      <c r="BR163" s="113"/>
      <c r="BS163" s="113"/>
      <c r="BT163" s="113"/>
      <c r="BU163" s="113"/>
      <c r="BV163" s="113"/>
      <c r="BW163" s="113"/>
      <c r="BX163" s="113"/>
      <c r="BY163" s="113"/>
      <c r="BZ163" s="113"/>
      <c r="CA163" s="113"/>
      <c r="CB163" s="113"/>
      <c r="CC163" s="113"/>
      <c r="CD163" s="113"/>
      <c r="CE163" s="113"/>
      <c r="CF163" s="113"/>
      <c r="CG163" s="113"/>
      <c r="CH163" s="113"/>
      <c r="CI163" s="113"/>
      <c r="CJ163" s="113"/>
      <c r="CK163" s="113"/>
      <c r="CL163" s="113"/>
      <c r="CM163" s="113"/>
      <c r="CN163" s="113"/>
      <c r="CO163" s="113"/>
      <c r="CP163" s="113"/>
      <c r="CQ163" s="113"/>
      <c r="CR163" s="113"/>
      <c r="CS163" s="113"/>
      <c r="CT163" s="113"/>
      <c r="CU163" s="113"/>
      <c r="CV163" s="113"/>
      <c r="CW163" s="113"/>
      <c r="CX163" s="113"/>
      <c r="CY163" s="113"/>
      <c r="CZ163" s="113"/>
      <c r="DA163" s="113"/>
      <c r="DB163" s="113"/>
      <c r="DC163" s="113"/>
      <c r="DD163" s="113"/>
      <c r="DE163" s="113"/>
      <c r="DF163" s="113"/>
      <c r="DG163" s="113"/>
      <c r="DH163" s="113"/>
      <c r="DI163" s="113"/>
      <c r="DJ163" s="113"/>
      <c r="DK163" s="113"/>
      <c r="DL163" s="113"/>
      <c r="DM163" s="114"/>
      <c r="DN163" s="47"/>
    </row>
    <row r="164" spans="5:118" x14ac:dyDescent="0.35">
      <c r="E164" s="111"/>
      <c r="F164" s="112"/>
      <c r="G164" s="112"/>
      <c r="H164" s="116"/>
      <c r="I164" s="115"/>
      <c r="J164" s="70"/>
      <c r="K164" s="68">
        <f t="shared" si="32"/>
        <v>0</v>
      </c>
      <c r="L164" s="38">
        <f t="shared" si="33"/>
        <v>0</v>
      </c>
      <c r="M164" s="39">
        <f t="shared" si="31"/>
        <v>0</v>
      </c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113"/>
      <c r="Y164" s="113"/>
      <c r="Z164" s="113"/>
      <c r="AA164" s="113"/>
      <c r="AB164" s="113"/>
      <c r="AC164" s="113"/>
      <c r="AD164" s="113"/>
      <c r="AE164" s="113"/>
      <c r="AF164" s="113"/>
      <c r="AG164" s="113"/>
      <c r="AH164" s="113"/>
      <c r="AI164" s="113"/>
      <c r="AJ164" s="113"/>
      <c r="AK164" s="113"/>
      <c r="AL164" s="113"/>
      <c r="AM164" s="113"/>
      <c r="AN164" s="113"/>
      <c r="AO164" s="113"/>
      <c r="AP164" s="113"/>
      <c r="AQ164" s="113"/>
      <c r="AR164" s="113"/>
      <c r="AS164" s="113"/>
      <c r="AT164" s="113"/>
      <c r="AU164" s="113"/>
      <c r="AV164" s="113"/>
      <c r="AW164" s="113"/>
      <c r="AX164" s="113"/>
      <c r="AY164" s="113"/>
      <c r="AZ164" s="113"/>
      <c r="BA164" s="113"/>
      <c r="BB164" s="113"/>
      <c r="BC164" s="113"/>
      <c r="BD164" s="113"/>
      <c r="BE164" s="113"/>
      <c r="BF164" s="113"/>
      <c r="BG164" s="113"/>
      <c r="BH164" s="113"/>
      <c r="BI164" s="113"/>
      <c r="BJ164" s="113"/>
      <c r="BK164" s="113"/>
      <c r="BL164" s="113"/>
      <c r="BM164" s="113"/>
      <c r="BN164" s="113"/>
      <c r="BO164" s="113"/>
      <c r="BP164" s="113"/>
      <c r="BQ164" s="113"/>
      <c r="BR164" s="113"/>
      <c r="BS164" s="113"/>
      <c r="BT164" s="113"/>
      <c r="BU164" s="113"/>
      <c r="BV164" s="113"/>
      <c r="BW164" s="113"/>
      <c r="BX164" s="113"/>
      <c r="BY164" s="113"/>
      <c r="BZ164" s="113"/>
      <c r="CA164" s="113"/>
      <c r="CB164" s="113"/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  <c r="CM164" s="113"/>
      <c r="CN164" s="113"/>
      <c r="CO164" s="113"/>
      <c r="CP164" s="113"/>
      <c r="CQ164" s="113"/>
      <c r="CR164" s="113"/>
      <c r="CS164" s="113"/>
      <c r="CT164" s="113"/>
      <c r="CU164" s="113"/>
      <c r="CV164" s="113"/>
      <c r="CW164" s="113"/>
      <c r="CX164" s="113"/>
      <c r="CY164" s="113"/>
      <c r="CZ164" s="113"/>
      <c r="DA164" s="113"/>
      <c r="DB164" s="113"/>
      <c r="DC164" s="113"/>
      <c r="DD164" s="113"/>
      <c r="DE164" s="113"/>
      <c r="DF164" s="113"/>
      <c r="DG164" s="113"/>
      <c r="DH164" s="113"/>
      <c r="DI164" s="113"/>
      <c r="DJ164" s="113"/>
      <c r="DK164" s="113"/>
      <c r="DL164" s="113"/>
      <c r="DM164" s="114"/>
      <c r="DN164" s="47"/>
    </row>
    <row r="165" spans="5:118" x14ac:dyDescent="0.35">
      <c r="E165" s="111"/>
      <c r="F165" s="112"/>
      <c r="G165" s="112"/>
      <c r="H165" s="116"/>
      <c r="I165" s="115"/>
      <c r="J165" s="70"/>
      <c r="K165" s="68">
        <f t="shared" si="32"/>
        <v>0</v>
      </c>
      <c r="L165" s="38">
        <f t="shared" si="33"/>
        <v>0</v>
      </c>
      <c r="M165" s="39">
        <f t="shared" si="31"/>
        <v>0</v>
      </c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113"/>
      <c r="Y165" s="113"/>
      <c r="Z165" s="113"/>
      <c r="AA165" s="113"/>
      <c r="AB165" s="113"/>
      <c r="AC165" s="113"/>
      <c r="AD165" s="113"/>
      <c r="AE165" s="113"/>
      <c r="AF165" s="113"/>
      <c r="AG165" s="113"/>
      <c r="AH165" s="113"/>
      <c r="AI165" s="113"/>
      <c r="AJ165" s="113"/>
      <c r="AK165" s="113"/>
      <c r="AL165" s="113"/>
      <c r="AM165" s="113"/>
      <c r="AN165" s="113"/>
      <c r="AO165" s="113"/>
      <c r="AP165" s="113"/>
      <c r="AQ165" s="113"/>
      <c r="AR165" s="113"/>
      <c r="AS165" s="113"/>
      <c r="AT165" s="113"/>
      <c r="AU165" s="113"/>
      <c r="AV165" s="113"/>
      <c r="AW165" s="113"/>
      <c r="AX165" s="113"/>
      <c r="AY165" s="113"/>
      <c r="AZ165" s="113"/>
      <c r="BA165" s="113"/>
      <c r="BB165" s="113"/>
      <c r="BC165" s="113"/>
      <c r="BD165" s="113"/>
      <c r="BE165" s="113"/>
      <c r="BF165" s="113"/>
      <c r="BG165" s="113"/>
      <c r="BH165" s="113"/>
      <c r="BI165" s="113"/>
      <c r="BJ165" s="113"/>
      <c r="BK165" s="113"/>
      <c r="BL165" s="113"/>
      <c r="BM165" s="113"/>
      <c r="BN165" s="113"/>
      <c r="BO165" s="113"/>
      <c r="BP165" s="113"/>
      <c r="BQ165" s="113"/>
      <c r="BR165" s="113"/>
      <c r="BS165" s="113"/>
      <c r="BT165" s="113"/>
      <c r="BU165" s="113"/>
      <c r="BV165" s="113"/>
      <c r="BW165" s="113"/>
      <c r="BX165" s="113"/>
      <c r="BY165" s="113"/>
      <c r="BZ165" s="113"/>
      <c r="CA165" s="113"/>
      <c r="CB165" s="113"/>
      <c r="CC165" s="113"/>
      <c r="CD165" s="113"/>
      <c r="CE165" s="113"/>
      <c r="CF165" s="113"/>
      <c r="CG165" s="113"/>
      <c r="CH165" s="113"/>
      <c r="CI165" s="113"/>
      <c r="CJ165" s="113"/>
      <c r="CK165" s="113"/>
      <c r="CL165" s="113"/>
      <c r="CM165" s="113"/>
      <c r="CN165" s="113"/>
      <c r="CO165" s="113"/>
      <c r="CP165" s="113"/>
      <c r="CQ165" s="113"/>
      <c r="CR165" s="113"/>
      <c r="CS165" s="113"/>
      <c r="CT165" s="113"/>
      <c r="CU165" s="113"/>
      <c r="CV165" s="113"/>
      <c r="CW165" s="113"/>
      <c r="CX165" s="113"/>
      <c r="CY165" s="113"/>
      <c r="CZ165" s="113"/>
      <c r="DA165" s="113"/>
      <c r="DB165" s="113"/>
      <c r="DC165" s="113"/>
      <c r="DD165" s="113"/>
      <c r="DE165" s="113"/>
      <c r="DF165" s="113"/>
      <c r="DG165" s="113"/>
      <c r="DH165" s="113"/>
      <c r="DI165" s="113"/>
      <c r="DJ165" s="113"/>
      <c r="DK165" s="113"/>
      <c r="DL165" s="113"/>
      <c r="DM165" s="114"/>
      <c r="DN165" s="47"/>
    </row>
    <row r="166" spans="5:118" x14ac:dyDescent="0.35">
      <c r="E166" s="111"/>
      <c r="F166" s="112"/>
      <c r="G166" s="112"/>
      <c r="H166" s="116"/>
      <c r="I166" s="115"/>
      <c r="J166" s="70"/>
      <c r="K166" s="68">
        <f t="shared" si="32"/>
        <v>0</v>
      </c>
      <c r="L166" s="38">
        <f t="shared" si="33"/>
        <v>0</v>
      </c>
      <c r="M166" s="39">
        <f t="shared" si="31"/>
        <v>0</v>
      </c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X166" s="113"/>
      <c r="Y166" s="113"/>
      <c r="Z166" s="113"/>
      <c r="AA166" s="113"/>
      <c r="AB166" s="113"/>
      <c r="AC166" s="113"/>
      <c r="AD166" s="113"/>
      <c r="AE166" s="113"/>
      <c r="AF166" s="113"/>
      <c r="AG166" s="113"/>
      <c r="AH166" s="113"/>
      <c r="AI166" s="113"/>
      <c r="AJ166" s="113"/>
      <c r="AK166" s="113"/>
      <c r="AL166" s="113"/>
      <c r="AM166" s="113"/>
      <c r="AN166" s="113"/>
      <c r="AO166" s="113"/>
      <c r="AP166" s="113"/>
      <c r="AQ166" s="113"/>
      <c r="AR166" s="113"/>
      <c r="AS166" s="113"/>
      <c r="AT166" s="113"/>
      <c r="AU166" s="113"/>
      <c r="AV166" s="113"/>
      <c r="AW166" s="113"/>
      <c r="AX166" s="113"/>
      <c r="AY166" s="113"/>
      <c r="AZ166" s="113"/>
      <c r="BA166" s="113"/>
      <c r="BB166" s="113"/>
      <c r="BC166" s="113"/>
      <c r="BD166" s="113"/>
      <c r="BE166" s="113"/>
      <c r="BF166" s="113"/>
      <c r="BG166" s="113"/>
      <c r="BH166" s="113"/>
      <c r="BI166" s="113"/>
      <c r="BJ166" s="113"/>
      <c r="BK166" s="113"/>
      <c r="BL166" s="113"/>
      <c r="BM166" s="113"/>
      <c r="BN166" s="113"/>
      <c r="BO166" s="113"/>
      <c r="BP166" s="113"/>
      <c r="BQ166" s="113"/>
      <c r="BR166" s="113"/>
      <c r="BS166" s="113"/>
      <c r="BT166" s="113"/>
      <c r="BU166" s="113"/>
      <c r="BV166" s="113"/>
      <c r="BW166" s="113"/>
      <c r="BX166" s="113"/>
      <c r="BY166" s="113"/>
      <c r="BZ166" s="113"/>
      <c r="CA166" s="113"/>
      <c r="CB166" s="113"/>
      <c r="CC166" s="113"/>
      <c r="CD166" s="113"/>
      <c r="CE166" s="113"/>
      <c r="CF166" s="113"/>
      <c r="CG166" s="113"/>
      <c r="CH166" s="113"/>
      <c r="CI166" s="113"/>
      <c r="CJ166" s="113"/>
      <c r="CK166" s="113"/>
      <c r="CL166" s="113"/>
      <c r="CM166" s="113"/>
      <c r="CN166" s="113"/>
      <c r="CO166" s="113"/>
      <c r="CP166" s="113"/>
      <c r="CQ166" s="113"/>
      <c r="CR166" s="113"/>
      <c r="CS166" s="113"/>
      <c r="CT166" s="113"/>
      <c r="CU166" s="113"/>
      <c r="CV166" s="113"/>
      <c r="CW166" s="113"/>
      <c r="CX166" s="113"/>
      <c r="CY166" s="113"/>
      <c r="CZ166" s="113"/>
      <c r="DA166" s="113"/>
      <c r="DB166" s="113"/>
      <c r="DC166" s="113"/>
      <c r="DD166" s="113"/>
      <c r="DE166" s="113"/>
      <c r="DF166" s="113"/>
      <c r="DG166" s="113"/>
      <c r="DH166" s="113"/>
      <c r="DI166" s="113"/>
      <c r="DJ166" s="113"/>
      <c r="DK166" s="113"/>
      <c r="DL166" s="113"/>
      <c r="DM166" s="114"/>
      <c r="DN166" s="47"/>
    </row>
    <row r="167" spans="5:118" x14ac:dyDescent="0.35">
      <c r="E167" s="111"/>
      <c r="F167" s="112"/>
      <c r="G167" s="112"/>
      <c r="H167" s="116"/>
      <c r="I167" s="115"/>
      <c r="J167" s="70"/>
      <c r="K167" s="68">
        <f t="shared" si="32"/>
        <v>0</v>
      </c>
      <c r="L167" s="38">
        <f t="shared" si="33"/>
        <v>0</v>
      </c>
      <c r="M167" s="39">
        <f t="shared" si="31"/>
        <v>0</v>
      </c>
      <c r="N167" s="113"/>
      <c r="O167" s="113"/>
      <c r="P167" s="113"/>
      <c r="Q167" s="113"/>
      <c r="R167" s="113"/>
      <c r="S167" s="113"/>
      <c r="T167" s="113"/>
      <c r="U167" s="113"/>
      <c r="V167" s="113"/>
      <c r="W167" s="113"/>
      <c r="X167" s="113"/>
      <c r="Y167" s="113"/>
      <c r="Z167" s="113"/>
      <c r="AA167" s="113"/>
      <c r="AB167" s="113"/>
      <c r="AC167" s="113"/>
      <c r="AD167" s="113"/>
      <c r="AE167" s="113"/>
      <c r="AF167" s="113"/>
      <c r="AG167" s="113"/>
      <c r="AH167" s="113"/>
      <c r="AI167" s="113"/>
      <c r="AJ167" s="113"/>
      <c r="AK167" s="113"/>
      <c r="AL167" s="113"/>
      <c r="AM167" s="113"/>
      <c r="AN167" s="113"/>
      <c r="AO167" s="113"/>
      <c r="AP167" s="113"/>
      <c r="AQ167" s="113"/>
      <c r="AR167" s="113"/>
      <c r="AS167" s="113"/>
      <c r="AT167" s="113"/>
      <c r="AU167" s="113"/>
      <c r="AV167" s="113"/>
      <c r="AW167" s="113"/>
      <c r="AX167" s="113"/>
      <c r="AY167" s="113"/>
      <c r="AZ167" s="113"/>
      <c r="BA167" s="113"/>
      <c r="BB167" s="113"/>
      <c r="BC167" s="113"/>
      <c r="BD167" s="113"/>
      <c r="BE167" s="113"/>
      <c r="BF167" s="113"/>
      <c r="BG167" s="113"/>
      <c r="BH167" s="113"/>
      <c r="BI167" s="113"/>
      <c r="BJ167" s="113"/>
      <c r="BK167" s="113"/>
      <c r="BL167" s="113"/>
      <c r="BM167" s="113"/>
      <c r="BN167" s="113"/>
      <c r="BO167" s="113"/>
      <c r="BP167" s="113"/>
      <c r="BQ167" s="113"/>
      <c r="BR167" s="113"/>
      <c r="BS167" s="113"/>
      <c r="BT167" s="113"/>
      <c r="BU167" s="113"/>
      <c r="BV167" s="113"/>
      <c r="BW167" s="113"/>
      <c r="BX167" s="113"/>
      <c r="BY167" s="113"/>
      <c r="BZ167" s="113"/>
      <c r="CA167" s="113"/>
      <c r="CB167" s="113"/>
      <c r="CC167" s="113"/>
      <c r="CD167" s="113"/>
      <c r="CE167" s="113"/>
      <c r="CF167" s="113"/>
      <c r="CG167" s="113"/>
      <c r="CH167" s="113"/>
      <c r="CI167" s="113"/>
      <c r="CJ167" s="113"/>
      <c r="CK167" s="113"/>
      <c r="CL167" s="113"/>
      <c r="CM167" s="113"/>
      <c r="CN167" s="113"/>
      <c r="CO167" s="113"/>
      <c r="CP167" s="113"/>
      <c r="CQ167" s="113"/>
      <c r="CR167" s="113"/>
      <c r="CS167" s="113"/>
      <c r="CT167" s="113"/>
      <c r="CU167" s="113"/>
      <c r="CV167" s="113"/>
      <c r="CW167" s="113"/>
      <c r="CX167" s="113"/>
      <c r="CY167" s="113"/>
      <c r="CZ167" s="113"/>
      <c r="DA167" s="113"/>
      <c r="DB167" s="113"/>
      <c r="DC167" s="113"/>
      <c r="DD167" s="113"/>
      <c r="DE167" s="113"/>
      <c r="DF167" s="113"/>
      <c r="DG167" s="113"/>
      <c r="DH167" s="113"/>
      <c r="DI167" s="113"/>
      <c r="DJ167" s="113"/>
      <c r="DK167" s="113"/>
      <c r="DL167" s="113"/>
      <c r="DM167" s="114"/>
      <c r="DN167" s="47"/>
    </row>
    <row r="168" spans="5:118" x14ac:dyDescent="0.35">
      <c r="E168" s="111"/>
      <c r="F168" s="112"/>
      <c r="G168" s="112"/>
      <c r="H168" s="116"/>
      <c r="I168" s="115"/>
      <c r="J168" s="70"/>
      <c r="K168" s="68">
        <f t="shared" si="32"/>
        <v>0</v>
      </c>
      <c r="L168" s="38">
        <f t="shared" si="33"/>
        <v>0</v>
      </c>
      <c r="M168" s="39">
        <f t="shared" si="31"/>
        <v>0</v>
      </c>
      <c r="N168" s="113"/>
      <c r="O168" s="113"/>
      <c r="P168" s="113"/>
      <c r="Q168" s="113"/>
      <c r="R168" s="113"/>
      <c r="S168" s="113"/>
      <c r="T168" s="113"/>
      <c r="U168" s="113"/>
      <c r="V168" s="113"/>
      <c r="W168" s="113"/>
      <c r="X168" s="113"/>
      <c r="Y168" s="113"/>
      <c r="Z168" s="113"/>
      <c r="AA168" s="113"/>
      <c r="AB168" s="113"/>
      <c r="AC168" s="113"/>
      <c r="AD168" s="113"/>
      <c r="AE168" s="113"/>
      <c r="AF168" s="113"/>
      <c r="AG168" s="113"/>
      <c r="AH168" s="113"/>
      <c r="AI168" s="113"/>
      <c r="AJ168" s="113"/>
      <c r="AK168" s="113"/>
      <c r="AL168" s="113"/>
      <c r="AM168" s="113"/>
      <c r="AN168" s="113"/>
      <c r="AO168" s="113"/>
      <c r="AP168" s="113"/>
      <c r="AQ168" s="113"/>
      <c r="AR168" s="113"/>
      <c r="AS168" s="113"/>
      <c r="AT168" s="113"/>
      <c r="AU168" s="113"/>
      <c r="AV168" s="113"/>
      <c r="AW168" s="113"/>
      <c r="AX168" s="113"/>
      <c r="AY168" s="113"/>
      <c r="AZ168" s="113"/>
      <c r="BA168" s="113"/>
      <c r="BB168" s="113"/>
      <c r="BC168" s="113"/>
      <c r="BD168" s="113"/>
      <c r="BE168" s="113"/>
      <c r="BF168" s="113"/>
      <c r="BG168" s="113"/>
      <c r="BH168" s="113"/>
      <c r="BI168" s="113"/>
      <c r="BJ168" s="113"/>
      <c r="BK168" s="113"/>
      <c r="BL168" s="113"/>
      <c r="BM168" s="113"/>
      <c r="BN168" s="113"/>
      <c r="BO168" s="113"/>
      <c r="BP168" s="113"/>
      <c r="BQ168" s="113"/>
      <c r="BR168" s="113"/>
      <c r="BS168" s="113"/>
      <c r="BT168" s="113"/>
      <c r="BU168" s="113"/>
      <c r="BV168" s="113"/>
      <c r="BW168" s="113"/>
      <c r="BX168" s="113"/>
      <c r="BY168" s="113"/>
      <c r="BZ168" s="113"/>
      <c r="CA168" s="113"/>
      <c r="CB168" s="113"/>
      <c r="CC168" s="113"/>
      <c r="CD168" s="113"/>
      <c r="CE168" s="113"/>
      <c r="CF168" s="113"/>
      <c r="CG168" s="113"/>
      <c r="CH168" s="113"/>
      <c r="CI168" s="113"/>
      <c r="CJ168" s="113"/>
      <c r="CK168" s="113"/>
      <c r="CL168" s="113"/>
      <c r="CM168" s="113"/>
      <c r="CN168" s="113"/>
      <c r="CO168" s="113"/>
      <c r="CP168" s="113"/>
      <c r="CQ168" s="113"/>
      <c r="CR168" s="113"/>
      <c r="CS168" s="113"/>
      <c r="CT168" s="113"/>
      <c r="CU168" s="113"/>
      <c r="CV168" s="113"/>
      <c r="CW168" s="113"/>
      <c r="CX168" s="113"/>
      <c r="CY168" s="113"/>
      <c r="CZ168" s="113"/>
      <c r="DA168" s="113"/>
      <c r="DB168" s="113"/>
      <c r="DC168" s="113"/>
      <c r="DD168" s="113"/>
      <c r="DE168" s="113"/>
      <c r="DF168" s="113"/>
      <c r="DG168" s="113"/>
      <c r="DH168" s="113"/>
      <c r="DI168" s="113"/>
      <c r="DJ168" s="113"/>
      <c r="DK168" s="113"/>
      <c r="DL168" s="113"/>
      <c r="DM168" s="114"/>
      <c r="DN168" s="47"/>
    </row>
    <row r="169" spans="5:118" hidden="1" x14ac:dyDescent="0.35">
      <c r="E169" s="111"/>
      <c r="F169" s="112"/>
      <c r="G169" s="112"/>
      <c r="H169" s="116"/>
      <c r="I169" s="116"/>
      <c r="J169" s="121"/>
      <c r="K169" s="38">
        <f t="shared" si="32"/>
        <v>0</v>
      </c>
      <c r="L169" s="38">
        <f t="shared" si="33"/>
        <v>0</v>
      </c>
      <c r="M169" s="39">
        <f t="shared" si="31"/>
        <v>0</v>
      </c>
      <c r="N169" s="113"/>
      <c r="O169" s="113"/>
      <c r="P169" s="113"/>
      <c r="Q169" s="113"/>
      <c r="R169" s="113"/>
      <c r="S169" s="113"/>
      <c r="T169" s="113"/>
      <c r="U169" s="113"/>
      <c r="V169" s="113"/>
      <c r="W169" s="113"/>
      <c r="X169" s="113"/>
      <c r="Y169" s="113"/>
      <c r="Z169" s="113"/>
      <c r="AA169" s="113"/>
      <c r="AB169" s="113"/>
      <c r="AC169" s="113"/>
      <c r="AD169" s="113"/>
      <c r="AE169" s="113"/>
      <c r="AF169" s="113"/>
      <c r="AG169" s="113"/>
      <c r="AH169" s="113"/>
      <c r="AI169" s="113"/>
      <c r="AJ169" s="113"/>
      <c r="AK169" s="113"/>
      <c r="AL169" s="113"/>
      <c r="AM169" s="113"/>
      <c r="AN169" s="113"/>
      <c r="AO169" s="113"/>
      <c r="AP169" s="113"/>
      <c r="AQ169" s="113"/>
      <c r="AR169" s="113"/>
      <c r="AS169" s="113"/>
      <c r="AT169" s="113"/>
      <c r="AU169" s="113"/>
      <c r="AV169" s="113"/>
      <c r="AW169" s="113"/>
      <c r="AX169" s="113"/>
      <c r="AY169" s="113"/>
      <c r="AZ169" s="113"/>
      <c r="BA169" s="113"/>
      <c r="BB169" s="113"/>
      <c r="BC169" s="113"/>
      <c r="BD169" s="113"/>
      <c r="BE169" s="113"/>
      <c r="BF169" s="113"/>
      <c r="BG169" s="113"/>
      <c r="BH169" s="113"/>
      <c r="BI169" s="113"/>
      <c r="BJ169" s="113"/>
      <c r="BK169" s="113"/>
      <c r="BL169" s="113"/>
      <c r="BM169" s="113"/>
      <c r="BN169" s="113"/>
      <c r="BO169" s="113"/>
      <c r="BP169" s="113"/>
      <c r="BQ169" s="113"/>
      <c r="BR169" s="113"/>
      <c r="BS169" s="113"/>
      <c r="BT169" s="113"/>
      <c r="BU169" s="113"/>
      <c r="BV169" s="113"/>
      <c r="BW169" s="113"/>
      <c r="BX169" s="113"/>
      <c r="BY169" s="113"/>
      <c r="BZ169" s="113"/>
      <c r="CA169" s="113"/>
      <c r="CB169" s="113"/>
      <c r="CC169" s="113"/>
      <c r="CD169" s="113"/>
      <c r="CE169" s="113"/>
      <c r="CF169" s="113"/>
      <c r="CG169" s="113"/>
      <c r="CH169" s="113"/>
      <c r="CI169" s="113"/>
      <c r="CJ169" s="113"/>
      <c r="CK169" s="113"/>
      <c r="CL169" s="113"/>
      <c r="CM169" s="113"/>
      <c r="CN169" s="113"/>
      <c r="CO169" s="113"/>
      <c r="CP169" s="113"/>
      <c r="CQ169" s="113"/>
      <c r="CR169" s="113"/>
      <c r="CS169" s="113"/>
      <c r="CT169" s="113"/>
      <c r="CU169" s="113"/>
      <c r="CV169" s="113"/>
      <c r="CW169" s="113"/>
      <c r="CX169" s="113"/>
      <c r="CY169" s="113"/>
      <c r="CZ169" s="113"/>
      <c r="DA169" s="113"/>
      <c r="DB169" s="113"/>
      <c r="DC169" s="113"/>
      <c r="DD169" s="113"/>
      <c r="DE169" s="113"/>
      <c r="DF169" s="113"/>
      <c r="DG169" s="113"/>
      <c r="DH169" s="113"/>
      <c r="DI169" s="113"/>
      <c r="DJ169" s="113"/>
      <c r="DK169" s="113"/>
      <c r="DL169" s="113"/>
      <c r="DM169" s="114"/>
      <c r="DN169" s="47"/>
    </row>
    <row r="170" spans="5:118" hidden="1" x14ac:dyDescent="0.35">
      <c r="E170" s="111"/>
      <c r="F170" s="112"/>
      <c r="G170" s="112"/>
      <c r="H170" s="116"/>
      <c r="I170" s="116"/>
      <c r="J170" s="122"/>
      <c r="K170" s="38">
        <f t="shared" si="32"/>
        <v>0</v>
      </c>
      <c r="L170" s="38">
        <f t="shared" si="33"/>
        <v>0</v>
      </c>
      <c r="M170" s="39">
        <f t="shared" si="31"/>
        <v>0</v>
      </c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113"/>
      <c r="AH170" s="113"/>
      <c r="AI170" s="113"/>
      <c r="AJ170" s="113"/>
      <c r="AK170" s="113"/>
      <c r="AL170" s="113"/>
      <c r="AM170" s="113"/>
      <c r="AN170" s="113"/>
      <c r="AO170" s="113"/>
      <c r="AP170" s="113"/>
      <c r="AQ170" s="113"/>
      <c r="AR170" s="113"/>
      <c r="AS170" s="113"/>
      <c r="AT170" s="113"/>
      <c r="AU170" s="113"/>
      <c r="AV170" s="113"/>
      <c r="AW170" s="113"/>
      <c r="AX170" s="113"/>
      <c r="AY170" s="113"/>
      <c r="AZ170" s="113"/>
      <c r="BA170" s="113"/>
      <c r="BB170" s="113"/>
      <c r="BC170" s="113"/>
      <c r="BD170" s="113"/>
      <c r="BE170" s="113"/>
      <c r="BF170" s="113"/>
      <c r="BG170" s="113"/>
      <c r="BH170" s="113"/>
      <c r="BI170" s="113"/>
      <c r="BJ170" s="113"/>
      <c r="BK170" s="113"/>
      <c r="BL170" s="113"/>
      <c r="BM170" s="113"/>
      <c r="BN170" s="113"/>
      <c r="BO170" s="113"/>
      <c r="BP170" s="113"/>
      <c r="BQ170" s="113"/>
      <c r="BR170" s="113"/>
      <c r="BS170" s="113"/>
      <c r="BT170" s="113"/>
      <c r="BU170" s="113"/>
      <c r="BV170" s="113"/>
      <c r="BW170" s="113"/>
      <c r="BX170" s="113"/>
      <c r="BY170" s="113"/>
      <c r="BZ170" s="113"/>
      <c r="CA170" s="113"/>
      <c r="CB170" s="113"/>
      <c r="CC170" s="113"/>
      <c r="CD170" s="113"/>
      <c r="CE170" s="113"/>
      <c r="CF170" s="113"/>
      <c r="CG170" s="113"/>
      <c r="CH170" s="113"/>
      <c r="CI170" s="113"/>
      <c r="CJ170" s="113"/>
      <c r="CK170" s="113"/>
      <c r="CL170" s="113"/>
      <c r="CM170" s="113"/>
      <c r="CN170" s="113"/>
      <c r="CO170" s="113"/>
      <c r="CP170" s="113"/>
      <c r="CQ170" s="113"/>
      <c r="CR170" s="113"/>
      <c r="CS170" s="113"/>
      <c r="CT170" s="113"/>
      <c r="CU170" s="113"/>
      <c r="CV170" s="113"/>
      <c r="CW170" s="113"/>
      <c r="CX170" s="113"/>
      <c r="CY170" s="113"/>
      <c r="CZ170" s="113"/>
      <c r="DA170" s="113"/>
      <c r="DB170" s="113"/>
      <c r="DC170" s="113"/>
      <c r="DD170" s="113"/>
      <c r="DE170" s="113"/>
      <c r="DF170" s="113"/>
      <c r="DG170" s="113"/>
      <c r="DH170" s="113"/>
      <c r="DI170" s="113"/>
      <c r="DJ170" s="113"/>
      <c r="DK170" s="113"/>
      <c r="DL170" s="113"/>
      <c r="DM170" s="114"/>
      <c r="DN170" s="47"/>
    </row>
    <row r="171" spans="5:118" hidden="1" x14ac:dyDescent="0.35">
      <c r="E171" s="111"/>
      <c r="F171" s="112"/>
      <c r="G171" s="112"/>
      <c r="H171" s="116"/>
      <c r="I171" s="116"/>
      <c r="J171" s="122"/>
      <c r="K171" s="38">
        <f t="shared" si="32"/>
        <v>0</v>
      </c>
      <c r="L171" s="38">
        <f t="shared" si="33"/>
        <v>0</v>
      </c>
      <c r="M171" s="39">
        <f t="shared" si="31"/>
        <v>0</v>
      </c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13"/>
      <c r="Y171" s="113"/>
      <c r="Z171" s="113"/>
      <c r="AA171" s="113"/>
      <c r="AB171" s="113"/>
      <c r="AC171" s="113"/>
      <c r="AD171" s="113"/>
      <c r="AE171" s="113"/>
      <c r="AF171" s="113"/>
      <c r="AG171" s="113"/>
      <c r="AH171" s="113"/>
      <c r="AI171" s="113"/>
      <c r="AJ171" s="113"/>
      <c r="AK171" s="113"/>
      <c r="AL171" s="113"/>
      <c r="AM171" s="113"/>
      <c r="AN171" s="113"/>
      <c r="AO171" s="113"/>
      <c r="AP171" s="113"/>
      <c r="AQ171" s="113"/>
      <c r="AR171" s="113"/>
      <c r="AS171" s="113"/>
      <c r="AT171" s="113"/>
      <c r="AU171" s="113"/>
      <c r="AV171" s="113"/>
      <c r="AW171" s="113"/>
      <c r="AX171" s="113"/>
      <c r="AY171" s="113"/>
      <c r="AZ171" s="113"/>
      <c r="BA171" s="113"/>
      <c r="BB171" s="113"/>
      <c r="BC171" s="113"/>
      <c r="BD171" s="113"/>
      <c r="BE171" s="113"/>
      <c r="BF171" s="113"/>
      <c r="BG171" s="113"/>
      <c r="BH171" s="113"/>
      <c r="BI171" s="113"/>
      <c r="BJ171" s="113"/>
      <c r="BK171" s="113"/>
      <c r="BL171" s="113"/>
      <c r="BM171" s="113"/>
      <c r="BN171" s="113"/>
      <c r="BO171" s="113"/>
      <c r="BP171" s="113"/>
      <c r="BQ171" s="113"/>
      <c r="BR171" s="113"/>
      <c r="BS171" s="113"/>
      <c r="BT171" s="113"/>
      <c r="BU171" s="113"/>
      <c r="BV171" s="113"/>
      <c r="BW171" s="113"/>
      <c r="BX171" s="113"/>
      <c r="BY171" s="113"/>
      <c r="BZ171" s="113"/>
      <c r="CA171" s="113"/>
      <c r="CB171" s="113"/>
      <c r="CC171" s="113"/>
      <c r="CD171" s="113"/>
      <c r="CE171" s="113"/>
      <c r="CF171" s="113"/>
      <c r="CG171" s="113"/>
      <c r="CH171" s="113"/>
      <c r="CI171" s="113"/>
      <c r="CJ171" s="113"/>
      <c r="CK171" s="113"/>
      <c r="CL171" s="113"/>
      <c r="CM171" s="113"/>
      <c r="CN171" s="113"/>
      <c r="CO171" s="113"/>
      <c r="CP171" s="113"/>
      <c r="CQ171" s="113"/>
      <c r="CR171" s="113"/>
      <c r="CS171" s="113"/>
      <c r="CT171" s="113"/>
      <c r="CU171" s="113"/>
      <c r="CV171" s="113"/>
      <c r="CW171" s="113"/>
      <c r="CX171" s="113"/>
      <c r="CY171" s="113"/>
      <c r="CZ171" s="113"/>
      <c r="DA171" s="113"/>
      <c r="DB171" s="113"/>
      <c r="DC171" s="113"/>
      <c r="DD171" s="113"/>
      <c r="DE171" s="113"/>
      <c r="DF171" s="113"/>
      <c r="DG171" s="113"/>
      <c r="DH171" s="113"/>
      <c r="DI171" s="113"/>
      <c r="DJ171" s="113"/>
      <c r="DK171" s="113"/>
      <c r="DL171" s="113"/>
      <c r="DM171" s="114"/>
      <c r="DN171" s="47"/>
    </row>
    <row r="172" spans="5:118" hidden="1" x14ac:dyDescent="0.35">
      <c r="E172" s="111"/>
      <c r="F172" s="112"/>
      <c r="G172" s="112"/>
      <c r="H172" s="116"/>
      <c r="I172" s="116"/>
      <c r="J172" s="122"/>
      <c r="K172" s="38">
        <f t="shared" si="32"/>
        <v>0</v>
      </c>
      <c r="L172" s="38">
        <f t="shared" si="33"/>
        <v>0</v>
      </c>
      <c r="M172" s="39">
        <f t="shared" si="31"/>
        <v>0</v>
      </c>
      <c r="N172" s="113"/>
      <c r="O172" s="113"/>
      <c r="P172" s="113"/>
      <c r="Q172" s="113"/>
      <c r="R172" s="113"/>
      <c r="S172" s="113"/>
      <c r="T172" s="113"/>
      <c r="U172" s="113"/>
      <c r="V172" s="113"/>
      <c r="W172" s="113"/>
      <c r="X172" s="113"/>
      <c r="Y172" s="113"/>
      <c r="Z172" s="113"/>
      <c r="AA172" s="113"/>
      <c r="AB172" s="113"/>
      <c r="AC172" s="113"/>
      <c r="AD172" s="113"/>
      <c r="AE172" s="113"/>
      <c r="AF172" s="113"/>
      <c r="AG172" s="113"/>
      <c r="AH172" s="113"/>
      <c r="AI172" s="113"/>
      <c r="AJ172" s="113"/>
      <c r="AK172" s="113"/>
      <c r="AL172" s="113"/>
      <c r="AM172" s="113"/>
      <c r="AN172" s="113"/>
      <c r="AO172" s="113"/>
      <c r="AP172" s="113"/>
      <c r="AQ172" s="113"/>
      <c r="AR172" s="113"/>
      <c r="AS172" s="113"/>
      <c r="AT172" s="113"/>
      <c r="AU172" s="113"/>
      <c r="AV172" s="113"/>
      <c r="AW172" s="113"/>
      <c r="AX172" s="113"/>
      <c r="AY172" s="113"/>
      <c r="AZ172" s="113"/>
      <c r="BA172" s="113"/>
      <c r="BB172" s="113"/>
      <c r="BC172" s="113"/>
      <c r="BD172" s="113"/>
      <c r="BE172" s="113"/>
      <c r="BF172" s="113"/>
      <c r="BG172" s="113"/>
      <c r="BH172" s="113"/>
      <c r="BI172" s="113"/>
      <c r="BJ172" s="113"/>
      <c r="BK172" s="113"/>
      <c r="BL172" s="113"/>
      <c r="BM172" s="113"/>
      <c r="BN172" s="113"/>
      <c r="BO172" s="113"/>
      <c r="BP172" s="113"/>
      <c r="BQ172" s="113"/>
      <c r="BR172" s="113"/>
      <c r="BS172" s="113"/>
      <c r="BT172" s="113"/>
      <c r="BU172" s="113"/>
      <c r="BV172" s="113"/>
      <c r="BW172" s="113"/>
      <c r="BX172" s="113"/>
      <c r="BY172" s="113"/>
      <c r="BZ172" s="113"/>
      <c r="CA172" s="113"/>
      <c r="CB172" s="113"/>
      <c r="CC172" s="113"/>
      <c r="CD172" s="113"/>
      <c r="CE172" s="113"/>
      <c r="CF172" s="113"/>
      <c r="CG172" s="113"/>
      <c r="CH172" s="113"/>
      <c r="CI172" s="113"/>
      <c r="CJ172" s="113"/>
      <c r="CK172" s="113"/>
      <c r="CL172" s="113"/>
      <c r="CM172" s="113"/>
      <c r="CN172" s="113"/>
      <c r="CO172" s="113"/>
      <c r="CP172" s="113"/>
      <c r="CQ172" s="113"/>
      <c r="CR172" s="113"/>
      <c r="CS172" s="113"/>
      <c r="CT172" s="113"/>
      <c r="CU172" s="113"/>
      <c r="CV172" s="113"/>
      <c r="CW172" s="113"/>
      <c r="CX172" s="113"/>
      <c r="CY172" s="113"/>
      <c r="CZ172" s="113"/>
      <c r="DA172" s="113"/>
      <c r="DB172" s="113"/>
      <c r="DC172" s="113"/>
      <c r="DD172" s="113"/>
      <c r="DE172" s="113"/>
      <c r="DF172" s="113"/>
      <c r="DG172" s="113"/>
      <c r="DH172" s="113"/>
      <c r="DI172" s="113"/>
      <c r="DJ172" s="113"/>
      <c r="DK172" s="113"/>
      <c r="DL172" s="113"/>
      <c r="DM172" s="114"/>
      <c r="DN172" s="47"/>
    </row>
    <row r="173" spans="5:118" hidden="1" x14ac:dyDescent="0.35">
      <c r="E173" s="111"/>
      <c r="F173" s="112"/>
      <c r="G173" s="112"/>
      <c r="H173" s="116"/>
      <c r="I173" s="116"/>
      <c r="J173" s="122"/>
      <c r="K173" s="38">
        <f t="shared" si="32"/>
        <v>0</v>
      </c>
      <c r="L173" s="38">
        <f t="shared" si="33"/>
        <v>0</v>
      </c>
      <c r="M173" s="39">
        <f t="shared" si="31"/>
        <v>0</v>
      </c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113"/>
      <c r="Y173" s="113"/>
      <c r="Z173" s="113"/>
      <c r="AA173" s="113"/>
      <c r="AB173" s="113"/>
      <c r="AC173" s="113"/>
      <c r="AD173" s="113"/>
      <c r="AE173" s="113"/>
      <c r="AF173" s="113"/>
      <c r="AG173" s="113"/>
      <c r="AH173" s="113"/>
      <c r="AI173" s="113"/>
      <c r="AJ173" s="113"/>
      <c r="AK173" s="113"/>
      <c r="AL173" s="113"/>
      <c r="AM173" s="113"/>
      <c r="AN173" s="113"/>
      <c r="AO173" s="113"/>
      <c r="AP173" s="113"/>
      <c r="AQ173" s="113"/>
      <c r="AR173" s="113"/>
      <c r="AS173" s="113"/>
      <c r="AT173" s="113"/>
      <c r="AU173" s="113"/>
      <c r="AV173" s="113"/>
      <c r="AW173" s="113"/>
      <c r="AX173" s="113"/>
      <c r="AY173" s="113"/>
      <c r="AZ173" s="113"/>
      <c r="BA173" s="113"/>
      <c r="BB173" s="113"/>
      <c r="BC173" s="113"/>
      <c r="BD173" s="113"/>
      <c r="BE173" s="113"/>
      <c r="BF173" s="113"/>
      <c r="BG173" s="113"/>
      <c r="BH173" s="113"/>
      <c r="BI173" s="113"/>
      <c r="BJ173" s="113"/>
      <c r="BK173" s="113"/>
      <c r="BL173" s="113"/>
      <c r="BM173" s="113"/>
      <c r="BN173" s="113"/>
      <c r="BO173" s="113"/>
      <c r="BP173" s="113"/>
      <c r="BQ173" s="113"/>
      <c r="BR173" s="113"/>
      <c r="BS173" s="113"/>
      <c r="BT173" s="113"/>
      <c r="BU173" s="113"/>
      <c r="BV173" s="113"/>
      <c r="BW173" s="113"/>
      <c r="BX173" s="113"/>
      <c r="BY173" s="113"/>
      <c r="BZ173" s="113"/>
      <c r="CA173" s="113"/>
      <c r="CB173" s="113"/>
      <c r="CC173" s="113"/>
      <c r="CD173" s="113"/>
      <c r="CE173" s="113"/>
      <c r="CF173" s="113"/>
      <c r="CG173" s="113"/>
      <c r="CH173" s="113"/>
      <c r="CI173" s="113"/>
      <c r="CJ173" s="113"/>
      <c r="CK173" s="113"/>
      <c r="CL173" s="113"/>
      <c r="CM173" s="113"/>
      <c r="CN173" s="113"/>
      <c r="CO173" s="113"/>
      <c r="CP173" s="113"/>
      <c r="CQ173" s="113"/>
      <c r="CR173" s="113"/>
      <c r="CS173" s="113"/>
      <c r="CT173" s="113"/>
      <c r="CU173" s="113"/>
      <c r="CV173" s="113"/>
      <c r="CW173" s="113"/>
      <c r="CX173" s="113"/>
      <c r="CY173" s="113"/>
      <c r="CZ173" s="113"/>
      <c r="DA173" s="113"/>
      <c r="DB173" s="113"/>
      <c r="DC173" s="113"/>
      <c r="DD173" s="113"/>
      <c r="DE173" s="113"/>
      <c r="DF173" s="113"/>
      <c r="DG173" s="113"/>
      <c r="DH173" s="113"/>
      <c r="DI173" s="113"/>
      <c r="DJ173" s="113"/>
      <c r="DK173" s="113"/>
      <c r="DL173" s="113"/>
      <c r="DM173" s="114"/>
      <c r="DN173" s="47"/>
    </row>
    <row r="174" spans="5:118" hidden="1" x14ac:dyDescent="0.35">
      <c r="E174" s="111"/>
      <c r="F174" s="112"/>
      <c r="G174" s="112"/>
      <c r="H174" s="116"/>
      <c r="I174" s="116"/>
      <c r="J174" s="122"/>
      <c r="K174" s="38">
        <f t="shared" si="32"/>
        <v>0</v>
      </c>
      <c r="L174" s="38">
        <f t="shared" si="33"/>
        <v>0</v>
      </c>
      <c r="M174" s="39">
        <f t="shared" si="31"/>
        <v>0</v>
      </c>
      <c r="N174" s="113"/>
      <c r="O174" s="113"/>
      <c r="P174" s="113"/>
      <c r="Q174" s="113"/>
      <c r="R174" s="113"/>
      <c r="S174" s="113"/>
      <c r="T174" s="113"/>
      <c r="U174" s="113"/>
      <c r="V174" s="113"/>
      <c r="W174" s="113"/>
      <c r="X174" s="113"/>
      <c r="Y174" s="113"/>
      <c r="Z174" s="113"/>
      <c r="AA174" s="113"/>
      <c r="AB174" s="113"/>
      <c r="AC174" s="113"/>
      <c r="AD174" s="113"/>
      <c r="AE174" s="113"/>
      <c r="AF174" s="113"/>
      <c r="AG174" s="113"/>
      <c r="AH174" s="113"/>
      <c r="AI174" s="113"/>
      <c r="AJ174" s="113"/>
      <c r="AK174" s="113"/>
      <c r="AL174" s="113"/>
      <c r="AM174" s="113"/>
      <c r="AN174" s="113"/>
      <c r="AO174" s="113"/>
      <c r="AP174" s="113"/>
      <c r="AQ174" s="113"/>
      <c r="AR174" s="113"/>
      <c r="AS174" s="113"/>
      <c r="AT174" s="113"/>
      <c r="AU174" s="113"/>
      <c r="AV174" s="113"/>
      <c r="AW174" s="113"/>
      <c r="AX174" s="113"/>
      <c r="AY174" s="113"/>
      <c r="AZ174" s="113"/>
      <c r="BA174" s="113"/>
      <c r="BB174" s="113"/>
      <c r="BC174" s="113"/>
      <c r="BD174" s="113"/>
      <c r="BE174" s="113"/>
      <c r="BF174" s="113"/>
      <c r="BG174" s="113"/>
      <c r="BH174" s="113"/>
      <c r="BI174" s="113"/>
      <c r="BJ174" s="113"/>
      <c r="BK174" s="113"/>
      <c r="BL174" s="113"/>
      <c r="BM174" s="113"/>
      <c r="BN174" s="113"/>
      <c r="BO174" s="113"/>
      <c r="BP174" s="113"/>
      <c r="BQ174" s="113"/>
      <c r="BR174" s="113"/>
      <c r="BS174" s="113"/>
      <c r="BT174" s="113"/>
      <c r="BU174" s="113"/>
      <c r="BV174" s="113"/>
      <c r="BW174" s="113"/>
      <c r="BX174" s="113"/>
      <c r="BY174" s="113"/>
      <c r="BZ174" s="113"/>
      <c r="CA174" s="113"/>
      <c r="CB174" s="113"/>
      <c r="CC174" s="113"/>
      <c r="CD174" s="113"/>
      <c r="CE174" s="113"/>
      <c r="CF174" s="113"/>
      <c r="CG174" s="113"/>
      <c r="CH174" s="113"/>
      <c r="CI174" s="113"/>
      <c r="CJ174" s="113"/>
      <c r="CK174" s="113"/>
      <c r="CL174" s="113"/>
      <c r="CM174" s="113"/>
      <c r="CN174" s="113"/>
      <c r="CO174" s="113"/>
      <c r="CP174" s="113"/>
      <c r="CQ174" s="113"/>
      <c r="CR174" s="113"/>
      <c r="CS174" s="113"/>
      <c r="CT174" s="113"/>
      <c r="CU174" s="113"/>
      <c r="CV174" s="113"/>
      <c r="CW174" s="113"/>
      <c r="CX174" s="113"/>
      <c r="CY174" s="113"/>
      <c r="CZ174" s="113"/>
      <c r="DA174" s="113"/>
      <c r="DB174" s="113"/>
      <c r="DC174" s="113"/>
      <c r="DD174" s="113"/>
      <c r="DE174" s="113"/>
      <c r="DF174" s="113"/>
      <c r="DG174" s="113"/>
      <c r="DH174" s="113"/>
      <c r="DI174" s="113"/>
      <c r="DJ174" s="113"/>
      <c r="DK174" s="113"/>
      <c r="DL174" s="113"/>
      <c r="DM174" s="114"/>
      <c r="DN174" s="47"/>
    </row>
    <row r="175" spans="5:118" hidden="1" x14ac:dyDescent="0.35">
      <c r="E175" s="111"/>
      <c r="F175" s="112"/>
      <c r="G175" s="112"/>
      <c r="H175" s="116"/>
      <c r="I175" s="116"/>
      <c r="J175" s="122"/>
      <c r="K175" s="38">
        <f t="shared" si="32"/>
        <v>0</v>
      </c>
      <c r="L175" s="38">
        <f t="shared" si="33"/>
        <v>0</v>
      </c>
      <c r="M175" s="39">
        <f t="shared" si="31"/>
        <v>0</v>
      </c>
      <c r="N175" s="113"/>
      <c r="O175" s="113"/>
      <c r="P175" s="113"/>
      <c r="Q175" s="113"/>
      <c r="R175" s="113"/>
      <c r="S175" s="113"/>
      <c r="T175" s="113"/>
      <c r="U175" s="113"/>
      <c r="V175" s="113"/>
      <c r="W175" s="113"/>
      <c r="X175" s="113"/>
      <c r="Y175" s="113"/>
      <c r="Z175" s="113"/>
      <c r="AA175" s="113"/>
      <c r="AB175" s="113"/>
      <c r="AC175" s="113"/>
      <c r="AD175" s="113"/>
      <c r="AE175" s="113"/>
      <c r="AF175" s="113"/>
      <c r="AG175" s="113"/>
      <c r="AH175" s="113"/>
      <c r="AI175" s="113"/>
      <c r="AJ175" s="113"/>
      <c r="AK175" s="113"/>
      <c r="AL175" s="113"/>
      <c r="AM175" s="113"/>
      <c r="AN175" s="113"/>
      <c r="AO175" s="113"/>
      <c r="AP175" s="113"/>
      <c r="AQ175" s="113"/>
      <c r="AR175" s="113"/>
      <c r="AS175" s="113"/>
      <c r="AT175" s="113"/>
      <c r="AU175" s="113"/>
      <c r="AV175" s="113"/>
      <c r="AW175" s="113"/>
      <c r="AX175" s="113"/>
      <c r="AY175" s="113"/>
      <c r="AZ175" s="113"/>
      <c r="BA175" s="113"/>
      <c r="BB175" s="113"/>
      <c r="BC175" s="113"/>
      <c r="BD175" s="113"/>
      <c r="BE175" s="113"/>
      <c r="BF175" s="113"/>
      <c r="BG175" s="113"/>
      <c r="BH175" s="113"/>
      <c r="BI175" s="113"/>
      <c r="BJ175" s="113"/>
      <c r="BK175" s="113"/>
      <c r="BL175" s="113"/>
      <c r="BM175" s="113"/>
      <c r="BN175" s="113"/>
      <c r="BO175" s="113"/>
      <c r="BP175" s="113"/>
      <c r="BQ175" s="113"/>
      <c r="BR175" s="113"/>
      <c r="BS175" s="113"/>
      <c r="BT175" s="113"/>
      <c r="BU175" s="113"/>
      <c r="BV175" s="113"/>
      <c r="BW175" s="113"/>
      <c r="BX175" s="113"/>
      <c r="BY175" s="113"/>
      <c r="BZ175" s="113"/>
      <c r="CA175" s="113"/>
      <c r="CB175" s="113"/>
      <c r="CC175" s="113"/>
      <c r="CD175" s="113"/>
      <c r="CE175" s="113"/>
      <c r="CF175" s="113"/>
      <c r="CG175" s="113"/>
      <c r="CH175" s="113"/>
      <c r="CI175" s="113"/>
      <c r="CJ175" s="113"/>
      <c r="CK175" s="113"/>
      <c r="CL175" s="113"/>
      <c r="CM175" s="113"/>
      <c r="CN175" s="113"/>
      <c r="CO175" s="113"/>
      <c r="CP175" s="113"/>
      <c r="CQ175" s="113"/>
      <c r="CR175" s="113"/>
      <c r="CS175" s="113"/>
      <c r="CT175" s="113"/>
      <c r="CU175" s="113"/>
      <c r="CV175" s="113"/>
      <c r="CW175" s="113"/>
      <c r="CX175" s="113"/>
      <c r="CY175" s="113"/>
      <c r="CZ175" s="113"/>
      <c r="DA175" s="113"/>
      <c r="DB175" s="113"/>
      <c r="DC175" s="113"/>
      <c r="DD175" s="113"/>
      <c r="DE175" s="113"/>
      <c r="DF175" s="113"/>
      <c r="DG175" s="113"/>
      <c r="DH175" s="113"/>
      <c r="DI175" s="113"/>
      <c r="DJ175" s="113"/>
      <c r="DK175" s="113"/>
      <c r="DL175" s="113"/>
      <c r="DM175" s="114"/>
      <c r="DN175" s="47"/>
    </row>
    <row r="176" spans="5:118" hidden="1" x14ac:dyDescent="0.35">
      <c r="E176" s="111"/>
      <c r="F176" s="112"/>
      <c r="G176" s="112"/>
      <c r="H176" s="116"/>
      <c r="I176" s="116"/>
      <c r="J176" s="122"/>
      <c r="K176" s="38">
        <f t="shared" si="32"/>
        <v>0</v>
      </c>
      <c r="L176" s="38">
        <f t="shared" si="33"/>
        <v>0</v>
      </c>
      <c r="M176" s="39">
        <f t="shared" si="31"/>
        <v>0</v>
      </c>
      <c r="N176" s="113"/>
      <c r="O176" s="113"/>
      <c r="P176" s="113"/>
      <c r="Q176" s="113"/>
      <c r="R176" s="113"/>
      <c r="S176" s="113"/>
      <c r="T176" s="113"/>
      <c r="U176" s="113"/>
      <c r="V176" s="113"/>
      <c r="W176" s="113"/>
      <c r="X176" s="113"/>
      <c r="Y176" s="113"/>
      <c r="Z176" s="113"/>
      <c r="AA176" s="113"/>
      <c r="AB176" s="113"/>
      <c r="AC176" s="113"/>
      <c r="AD176" s="113"/>
      <c r="AE176" s="113"/>
      <c r="AF176" s="113"/>
      <c r="AG176" s="113"/>
      <c r="AH176" s="113"/>
      <c r="AI176" s="113"/>
      <c r="AJ176" s="113"/>
      <c r="AK176" s="113"/>
      <c r="AL176" s="113"/>
      <c r="AM176" s="113"/>
      <c r="AN176" s="113"/>
      <c r="AO176" s="113"/>
      <c r="AP176" s="113"/>
      <c r="AQ176" s="113"/>
      <c r="AR176" s="113"/>
      <c r="AS176" s="113"/>
      <c r="AT176" s="113"/>
      <c r="AU176" s="113"/>
      <c r="AV176" s="113"/>
      <c r="AW176" s="113"/>
      <c r="AX176" s="113"/>
      <c r="AY176" s="113"/>
      <c r="AZ176" s="113"/>
      <c r="BA176" s="113"/>
      <c r="BB176" s="113"/>
      <c r="BC176" s="113"/>
      <c r="BD176" s="113"/>
      <c r="BE176" s="113"/>
      <c r="BF176" s="113"/>
      <c r="BG176" s="113"/>
      <c r="BH176" s="113"/>
      <c r="BI176" s="113"/>
      <c r="BJ176" s="113"/>
      <c r="BK176" s="113"/>
      <c r="BL176" s="113"/>
      <c r="BM176" s="113"/>
      <c r="BN176" s="113"/>
      <c r="BO176" s="113"/>
      <c r="BP176" s="113"/>
      <c r="BQ176" s="113"/>
      <c r="BR176" s="113"/>
      <c r="BS176" s="113"/>
      <c r="BT176" s="113"/>
      <c r="BU176" s="113"/>
      <c r="BV176" s="113"/>
      <c r="BW176" s="113"/>
      <c r="BX176" s="113"/>
      <c r="BY176" s="113"/>
      <c r="BZ176" s="113"/>
      <c r="CA176" s="113"/>
      <c r="CB176" s="113"/>
      <c r="CC176" s="113"/>
      <c r="CD176" s="113"/>
      <c r="CE176" s="113"/>
      <c r="CF176" s="113"/>
      <c r="CG176" s="113"/>
      <c r="CH176" s="113"/>
      <c r="CI176" s="113"/>
      <c r="CJ176" s="113"/>
      <c r="CK176" s="113"/>
      <c r="CL176" s="113"/>
      <c r="CM176" s="113"/>
      <c r="CN176" s="113"/>
      <c r="CO176" s="113"/>
      <c r="CP176" s="113"/>
      <c r="CQ176" s="113"/>
      <c r="CR176" s="113"/>
      <c r="CS176" s="113"/>
      <c r="CT176" s="113"/>
      <c r="CU176" s="113"/>
      <c r="CV176" s="113"/>
      <c r="CW176" s="113"/>
      <c r="CX176" s="113"/>
      <c r="CY176" s="113"/>
      <c r="CZ176" s="113"/>
      <c r="DA176" s="113"/>
      <c r="DB176" s="113"/>
      <c r="DC176" s="113"/>
      <c r="DD176" s="113"/>
      <c r="DE176" s="113"/>
      <c r="DF176" s="113"/>
      <c r="DG176" s="113"/>
      <c r="DH176" s="113"/>
      <c r="DI176" s="113"/>
      <c r="DJ176" s="113"/>
      <c r="DK176" s="113"/>
      <c r="DL176" s="113"/>
      <c r="DM176" s="114"/>
      <c r="DN176" s="47"/>
    </row>
    <row r="177" spans="5:118" hidden="1" x14ac:dyDescent="0.35">
      <c r="E177" s="111"/>
      <c r="F177" s="112"/>
      <c r="G177" s="112"/>
      <c r="H177" s="116"/>
      <c r="I177" s="116"/>
      <c r="J177" s="122"/>
      <c r="K177" s="38">
        <f t="shared" si="32"/>
        <v>0</v>
      </c>
      <c r="L177" s="38">
        <f t="shared" si="33"/>
        <v>0</v>
      </c>
      <c r="M177" s="39">
        <f t="shared" si="31"/>
        <v>0</v>
      </c>
      <c r="N177" s="113"/>
      <c r="O177" s="113"/>
      <c r="P177" s="113"/>
      <c r="Q177" s="113"/>
      <c r="R177" s="113"/>
      <c r="S177" s="113"/>
      <c r="T177" s="113"/>
      <c r="U177" s="113"/>
      <c r="V177" s="113"/>
      <c r="W177" s="113"/>
      <c r="X177" s="113"/>
      <c r="Y177" s="113"/>
      <c r="Z177" s="113"/>
      <c r="AA177" s="113"/>
      <c r="AB177" s="113"/>
      <c r="AC177" s="113"/>
      <c r="AD177" s="113"/>
      <c r="AE177" s="113"/>
      <c r="AF177" s="113"/>
      <c r="AG177" s="113"/>
      <c r="AH177" s="113"/>
      <c r="AI177" s="113"/>
      <c r="AJ177" s="113"/>
      <c r="AK177" s="113"/>
      <c r="AL177" s="113"/>
      <c r="AM177" s="113"/>
      <c r="AN177" s="113"/>
      <c r="AO177" s="113"/>
      <c r="AP177" s="113"/>
      <c r="AQ177" s="113"/>
      <c r="AR177" s="113"/>
      <c r="AS177" s="113"/>
      <c r="AT177" s="113"/>
      <c r="AU177" s="113"/>
      <c r="AV177" s="113"/>
      <c r="AW177" s="113"/>
      <c r="AX177" s="113"/>
      <c r="AY177" s="113"/>
      <c r="AZ177" s="113"/>
      <c r="BA177" s="113"/>
      <c r="BB177" s="113"/>
      <c r="BC177" s="113"/>
      <c r="BD177" s="113"/>
      <c r="BE177" s="113"/>
      <c r="BF177" s="113"/>
      <c r="BG177" s="113"/>
      <c r="BH177" s="113"/>
      <c r="BI177" s="113"/>
      <c r="BJ177" s="113"/>
      <c r="BK177" s="113"/>
      <c r="BL177" s="113"/>
      <c r="BM177" s="113"/>
      <c r="BN177" s="113"/>
      <c r="BO177" s="113"/>
      <c r="BP177" s="113"/>
      <c r="BQ177" s="113"/>
      <c r="BR177" s="113"/>
      <c r="BS177" s="113"/>
      <c r="BT177" s="113"/>
      <c r="BU177" s="113"/>
      <c r="BV177" s="113"/>
      <c r="BW177" s="113"/>
      <c r="BX177" s="113"/>
      <c r="BY177" s="113"/>
      <c r="BZ177" s="113"/>
      <c r="CA177" s="113"/>
      <c r="CB177" s="113"/>
      <c r="CC177" s="113"/>
      <c r="CD177" s="113"/>
      <c r="CE177" s="113"/>
      <c r="CF177" s="113"/>
      <c r="CG177" s="113"/>
      <c r="CH177" s="113"/>
      <c r="CI177" s="113"/>
      <c r="CJ177" s="113"/>
      <c r="CK177" s="113"/>
      <c r="CL177" s="113"/>
      <c r="CM177" s="113"/>
      <c r="CN177" s="113"/>
      <c r="CO177" s="113"/>
      <c r="CP177" s="113"/>
      <c r="CQ177" s="113"/>
      <c r="CR177" s="113"/>
      <c r="CS177" s="113"/>
      <c r="CT177" s="113"/>
      <c r="CU177" s="113"/>
      <c r="CV177" s="113"/>
      <c r="CW177" s="113"/>
      <c r="CX177" s="113"/>
      <c r="CY177" s="113"/>
      <c r="CZ177" s="113"/>
      <c r="DA177" s="113"/>
      <c r="DB177" s="113"/>
      <c r="DC177" s="113"/>
      <c r="DD177" s="113"/>
      <c r="DE177" s="113"/>
      <c r="DF177" s="113"/>
      <c r="DG177" s="113"/>
      <c r="DH177" s="113"/>
      <c r="DI177" s="113"/>
      <c r="DJ177" s="113"/>
      <c r="DK177" s="113"/>
      <c r="DL177" s="113"/>
      <c r="DM177" s="114"/>
      <c r="DN177" s="47"/>
    </row>
    <row r="178" spans="5:118" hidden="1" x14ac:dyDescent="0.35">
      <c r="E178" s="111"/>
      <c r="F178" s="112"/>
      <c r="G178" s="112"/>
      <c r="H178" s="116"/>
      <c r="I178" s="116"/>
      <c r="J178" s="122"/>
      <c r="K178" s="38">
        <f t="shared" si="32"/>
        <v>0</v>
      </c>
      <c r="L178" s="38">
        <f t="shared" si="33"/>
        <v>0</v>
      </c>
      <c r="M178" s="39">
        <f t="shared" si="31"/>
        <v>0</v>
      </c>
      <c r="N178" s="113"/>
      <c r="O178" s="113"/>
      <c r="P178" s="113"/>
      <c r="Q178" s="113"/>
      <c r="R178" s="113"/>
      <c r="S178" s="113"/>
      <c r="T178" s="113"/>
      <c r="U178" s="113"/>
      <c r="V178" s="113"/>
      <c r="W178" s="113"/>
      <c r="X178" s="113"/>
      <c r="Y178" s="113"/>
      <c r="Z178" s="113"/>
      <c r="AA178" s="113"/>
      <c r="AB178" s="113"/>
      <c r="AC178" s="113"/>
      <c r="AD178" s="113"/>
      <c r="AE178" s="113"/>
      <c r="AF178" s="113"/>
      <c r="AG178" s="113"/>
      <c r="AH178" s="113"/>
      <c r="AI178" s="113"/>
      <c r="AJ178" s="113"/>
      <c r="AK178" s="113"/>
      <c r="AL178" s="113"/>
      <c r="AM178" s="113"/>
      <c r="AN178" s="113"/>
      <c r="AO178" s="113"/>
      <c r="AP178" s="113"/>
      <c r="AQ178" s="113"/>
      <c r="AR178" s="113"/>
      <c r="AS178" s="113"/>
      <c r="AT178" s="113"/>
      <c r="AU178" s="113"/>
      <c r="AV178" s="113"/>
      <c r="AW178" s="113"/>
      <c r="AX178" s="113"/>
      <c r="AY178" s="113"/>
      <c r="AZ178" s="113"/>
      <c r="BA178" s="113"/>
      <c r="BB178" s="113"/>
      <c r="BC178" s="113"/>
      <c r="BD178" s="113"/>
      <c r="BE178" s="113"/>
      <c r="BF178" s="113"/>
      <c r="BG178" s="113"/>
      <c r="BH178" s="113"/>
      <c r="BI178" s="113"/>
      <c r="BJ178" s="113"/>
      <c r="BK178" s="113"/>
      <c r="BL178" s="113"/>
      <c r="BM178" s="113"/>
      <c r="BN178" s="113"/>
      <c r="BO178" s="113"/>
      <c r="BP178" s="113"/>
      <c r="BQ178" s="113"/>
      <c r="BR178" s="113"/>
      <c r="BS178" s="113"/>
      <c r="BT178" s="113"/>
      <c r="BU178" s="113"/>
      <c r="BV178" s="113"/>
      <c r="BW178" s="113"/>
      <c r="BX178" s="113"/>
      <c r="BY178" s="113"/>
      <c r="BZ178" s="113"/>
      <c r="CA178" s="113"/>
      <c r="CB178" s="113"/>
      <c r="CC178" s="113"/>
      <c r="CD178" s="113"/>
      <c r="CE178" s="113"/>
      <c r="CF178" s="113"/>
      <c r="CG178" s="113"/>
      <c r="CH178" s="113"/>
      <c r="CI178" s="113"/>
      <c r="CJ178" s="113"/>
      <c r="CK178" s="113"/>
      <c r="CL178" s="113"/>
      <c r="CM178" s="113"/>
      <c r="CN178" s="113"/>
      <c r="CO178" s="113"/>
      <c r="CP178" s="113"/>
      <c r="CQ178" s="113"/>
      <c r="CR178" s="113"/>
      <c r="CS178" s="113"/>
      <c r="CT178" s="113"/>
      <c r="CU178" s="113"/>
      <c r="CV178" s="113"/>
      <c r="CW178" s="113"/>
      <c r="CX178" s="113"/>
      <c r="CY178" s="113"/>
      <c r="CZ178" s="113"/>
      <c r="DA178" s="113"/>
      <c r="DB178" s="113"/>
      <c r="DC178" s="113"/>
      <c r="DD178" s="113"/>
      <c r="DE178" s="113"/>
      <c r="DF178" s="113"/>
      <c r="DG178" s="113"/>
      <c r="DH178" s="113"/>
      <c r="DI178" s="113"/>
      <c r="DJ178" s="113"/>
      <c r="DK178" s="113"/>
      <c r="DL178" s="113"/>
      <c r="DM178" s="114"/>
      <c r="DN178" s="47"/>
    </row>
    <row r="179" spans="5:118" hidden="1" x14ac:dyDescent="0.35">
      <c r="E179" s="111"/>
      <c r="F179" s="112"/>
      <c r="G179" s="112"/>
      <c r="H179" s="116"/>
      <c r="I179" s="116"/>
      <c r="J179" s="122"/>
      <c r="K179" s="38">
        <f t="shared" si="32"/>
        <v>0</v>
      </c>
      <c r="L179" s="38">
        <f t="shared" si="33"/>
        <v>0</v>
      </c>
      <c r="M179" s="39">
        <f t="shared" si="31"/>
        <v>0</v>
      </c>
      <c r="N179" s="113"/>
      <c r="O179" s="113"/>
      <c r="P179" s="113"/>
      <c r="Q179" s="113"/>
      <c r="R179" s="113"/>
      <c r="S179" s="113"/>
      <c r="T179" s="113"/>
      <c r="U179" s="113"/>
      <c r="V179" s="113"/>
      <c r="W179" s="113"/>
      <c r="X179" s="113"/>
      <c r="Y179" s="113"/>
      <c r="Z179" s="113"/>
      <c r="AA179" s="113"/>
      <c r="AB179" s="113"/>
      <c r="AC179" s="113"/>
      <c r="AD179" s="113"/>
      <c r="AE179" s="113"/>
      <c r="AF179" s="113"/>
      <c r="AG179" s="113"/>
      <c r="AH179" s="113"/>
      <c r="AI179" s="113"/>
      <c r="AJ179" s="113"/>
      <c r="AK179" s="113"/>
      <c r="AL179" s="113"/>
      <c r="AM179" s="113"/>
      <c r="AN179" s="113"/>
      <c r="AO179" s="113"/>
      <c r="AP179" s="113"/>
      <c r="AQ179" s="113"/>
      <c r="AR179" s="113"/>
      <c r="AS179" s="113"/>
      <c r="AT179" s="113"/>
      <c r="AU179" s="113"/>
      <c r="AV179" s="113"/>
      <c r="AW179" s="113"/>
      <c r="AX179" s="113"/>
      <c r="AY179" s="113"/>
      <c r="AZ179" s="113"/>
      <c r="BA179" s="113"/>
      <c r="BB179" s="113"/>
      <c r="BC179" s="113"/>
      <c r="BD179" s="113"/>
      <c r="BE179" s="113"/>
      <c r="BF179" s="113"/>
      <c r="BG179" s="113"/>
      <c r="BH179" s="113"/>
      <c r="BI179" s="113"/>
      <c r="BJ179" s="113"/>
      <c r="BK179" s="113"/>
      <c r="BL179" s="113"/>
      <c r="BM179" s="113"/>
      <c r="BN179" s="113"/>
      <c r="BO179" s="113"/>
      <c r="BP179" s="113"/>
      <c r="BQ179" s="113"/>
      <c r="BR179" s="113"/>
      <c r="BS179" s="113"/>
      <c r="BT179" s="113"/>
      <c r="BU179" s="113"/>
      <c r="BV179" s="113"/>
      <c r="BW179" s="113"/>
      <c r="BX179" s="113"/>
      <c r="BY179" s="113"/>
      <c r="BZ179" s="113"/>
      <c r="CA179" s="113"/>
      <c r="CB179" s="113"/>
      <c r="CC179" s="113"/>
      <c r="CD179" s="113"/>
      <c r="CE179" s="113"/>
      <c r="CF179" s="113"/>
      <c r="CG179" s="113"/>
      <c r="CH179" s="113"/>
      <c r="CI179" s="113"/>
      <c r="CJ179" s="113"/>
      <c r="CK179" s="113"/>
      <c r="CL179" s="113"/>
      <c r="CM179" s="113"/>
      <c r="CN179" s="113"/>
      <c r="CO179" s="113"/>
      <c r="CP179" s="113"/>
      <c r="CQ179" s="113"/>
      <c r="CR179" s="113"/>
      <c r="CS179" s="113"/>
      <c r="CT179" s="113"/>
      <c r="CU179" s="113"/>
      <c r="CV179" s="113"/>
      <c r="CW179" s="113"/>
      <c r="CX179" s="113"/>
      <c r="CY179" s="113"/>
      <c r="CZ179" s="113"/>
      <c r="DA179" s="113"/>
      <c r="DB179" s="113"/>
      <c r="DC179" s="113"/>
      <c r="DD179" s="113"/>
      <c r="DE179" s="113"/>
      <c r="DF179" s="113"/>
      <c r="DG179" s="113"/>
      <c r="DH179" s="113"/>
      <c r="DI179" s="113"/>
      <c r="DJ179" s="113"/>
      <c r="DK179" s="113"/>
      <c r="DL179" s="113"/>
      <c r="DM179" s="114"/>
      <c r="DN179" s="47"/>
    </row>
    <row r="180" spans="5:118" hidden="1" x14ac:dyDescent="0.35">
      <c r="E180" s="111"/>
      <c r="F180" s="112"/>
      <c r="G180" s="112"/>
      <c r="H180" s="116"/>
      <c r="I180" s="116"/>
      <c r="J180" s="122"/>
      <c r="K180" s="38">
        <f t="shared" si="32"/>
        <v>0</v>
      </c>
      <c r="L180" s="38">
        <f t="shared" si="33"/>
        <v>0</v>
      </c>
      <c r="M180" s="39">
        <f t="shared" si="31"/>
        <v>0</v>
      </c>
      <c r="N180" s="113"/>
      <c r="O180" s="113"/>
      <c r="P180" s="113"/>
      <c r="Q180" s="113"/>
      <c r="R180" s="113"/>
      <c r="S180" s="113"/>
      <c r="T180" s="113"/>
      <c r="U180" s="113"/>
      <c r="V180" s="113"/>
      <c r="W180" s="113"/>
      <c r="X180" s="113"/>
      <c r="Y180" s="113"/>
      <c r="Z180" s="113"/>
      <c r="AA180" s="113"/>
      <c r="AB180" s="113"/>
      <c r="AC180" s="113"/>
      <c r="AD180" s="113"/>
      <c r="AE180" s="113"/>
      <c r="AF180" s="113"/>
      <c r="AG180" s="113"/>
      <c r="AH180" s="113"/>
      <c r="AI180" s="113"/>
      <c r="AJ180" s="113"/>
      <c r="AK180" s="113"/>
      <c r="AL180" s="113"/>
      <c r="AM180" s="113"/>
      <c r="AN180" s="113"/>
      <c r="AO180" s="113"/>
      <c r="AP180" s="113"/>
      <c r="AQ180" s="113"/>
      <c r="AR180" s="113"/>
      <c r="AS180" s="113"/>
      <c r="AT180" s="113"/>
      <c r="AU180" s="113"/>
      <c r="AV180" s="113"/>
      <c r="AW180" s="113"/>
      <c r="AX180" s="113"/>
      <c r="AY180" s="113"/>
      <c r="AZ180" s="113"/>
      <c r="BA180" s="113"/>
      <c r="BB180" s="113"/>
      <c r="BC180" s="113"/>
      <c r="BD180" s="113"/>
      <c r="BE180" s="113"/>
      <c r="BF180" s="113"/>
      <c r="BG180" s="113"/>
      <c r="BH180" s="113"/>
      <c r="BI180" s="113"/>
      <c r="BJ180" s="113"/>
      <c r="BK180" s="113"/>
      <c r="BL180" s="113"/>
      <c r="BM180" s="113"/>
      <c r="BN180" s="113"/>
      <c r="BO180" s="113"/>
      <c r="BP180" s="113"/>
      <c r="BQ180" s="113"/>
      <c r="BR180" s="113"/>
      <c r="BS180" s="113"/>
      <c r="BT180" s="113"/>
      <c r="BU180" s="113"/>
      <c r="BV180" s="113"/>
      <c r="BW180" s="113"/>
      <c r="BX180" s="113"/>
      <c r="BY180" s="113"/>
      <c r="BZ180" s="113"/>
      <c r="CA180" s="113"/>
      <c r="CB180" s="113"/>
      <c r="CC180" s="113"/>
      <c r="CD180" s="113"/>
      <c r="CE180" s="113"/>
      <c r="CF180" s="113"/>
      <c r="CG180" s="113"/>
      <c r="CH180" s="113"/>
      <c r="CI180" s="113"/>
      <c r="CJ180" s="113"/>
      <c r="CK180" s="113"/>
      <c r="CL180" s="113"/>
      <c r="CM180" s="113"/>
      <c r="CN180" s="113"/>
      <c r="CO180" s="113"/>
      <c r="CP180" s="113"/>
      <c r="CQ180" s="113"/>
      <c r="CR180" s="113"/>
      <c r="CS180" s="113"/>
      <c r="CT180" s="113"/>
      <c r="CU180" s="113"/>
      <c r="CV180" s="113"/>
      <c r="CW180" s="113"/>
      <c r="CX180" s="113"/>
      <c r="CY180" s="113"/>
      <c r="CZ180" s="113"/>
      <c r="DA180" s="113"/>
      <c r="DB180" s="113"/>
      <c r="DC180" s="113"/>
      <c r="DD180" s="113"/>
      <c r="DE180" s="113"/>
      <c r="DF180" s="113"/>
      <c r="DG180" s="113"/>
      <c r="DH180" s="113"/>
      <c r="DI180" s="113"/>
      <c r="DJ180" s="113"/>
      <c r="DK180" s="113"/>
      <c r="DL180" s="113"/>
      <c r="DM180" s="114"/>
      <c r="DN180" s="47"/>
    </row>
    <row r="181" spans="5:118" hidden="1" x14ac:dyDescent="0.35">
      <c r="E181" s="111"/>
      <c r="F181" s="112"/>
      <c r="G181" s="112"/>
      <c r="H181" s="116"/>
      <c r="I181" s="116"/>
      <c r="J181" s="122"/>
      <c r="K181" s="38">
        <f t="shared" si="32"/>
        <v>0</v>
      </c>
      <c r="L181" s="38">
        <f t="shared" si="33"/>
        <v>0</v>
      </c>
      <c r="M181" s="39">
        <f t="shared" si="31"/>
        <v>0</v>
      </c>
      <c r="N181" s="113"/>
      <c r="O181" s="113"/>
      <c r="P181" s="113"/>
      <c r="Q181" s="113"/>
      <c r="R181" s="113"/>
      <c r="S181" s="113"/>
      <c r="T181" s="113"/>
      <c r="U181" s="113"/>
      <c r="V181" s="113"/>
      <c r="W181" s="113"/>
      <c r="X181" s="113"/>
      <c r="Y181" s="113"/>
      <c r="Z181" s="113"/>
      <c r="AA181" s="113"/>
      <c r="AB181" s="113"/>
      <c r="AC181" s="113"/>
      <c r="AD181" s="113"/>
      <c r="AE181" s="113"/>
      <c r="AF181" s="113"/>
      <c r="AG181" s="113"/>
      <c r="AH181" s="113"/>
      <c r="AI181" s="113"/>
      <c r="AJ181" s="113"/>
      <c r="AK181" s="113"/>
      <c r="AL181" s="113"/>
      <c r="AM181" s="113"/>
      <c r="AN181" s="113"/>
      <c r="AO181" s="113"/>
      <c r="AP181" s="113"/>
      <c r="AQ181" s="113"/>
      <c r="AR181" s="113"/>
      <c r="AS181" s="113"/>
      <c r="AT181" s="113"/>
      <c r="AU181" s="113"/>
      <c r="AV181" s="113"/>
      <c r="AW181" s="113"/>
      <c r="AX181" s="113"/>
      <c r="AY181" s="113"/>
      <c r="AZ181" s="113"/>
      <c r="BA181" s="113"/>
      <c r="BB181" s="113"/>
      <c r="BC181" s="113"/>
      <c r="BD181" s="113"/>
      <c r="BE181" s="113"/>
      <c r="BF181" s="113"/>
      <c r="BG181" s="113"/>
      <c r="BH181" s="113"/>
      <c r="BI181" s="113"/>
      <c r="BJ181" s="113"/>
      <c r="BK181" s="113"/>
      <c r="BL181" s="113"/>
      <c r="BM181" s="113"/>
      <c r="BN181" s="113"/>
      <c r="BO181" s="113"/>
      <c r="BP181" s="113"/>
      <c r="BQ181" s="113"/>
      <c r="BR181" s="113"/>
      <c r="BS181" s="113"/>
      <c r="BT181" s="113"/>
      <c r="BU181" s="113"/>
      <c r="BV181" s="113"/>
      <c r="BW181" s="113"/>
      <c r="BX181" s="113"/>
      <c r="BY181" s="113"/>
      <c r="BZ181" s="113"/>
      <c r="CA181" s="113"/>
      <c r="CB181" s="113"/>
      <c r="CC181" s="113"/>
      <c r="CD181" s="113"/>
      <c r="CE181" s="113"/>
      <c r="CF181" s="113"/>
      <c r="CG181" s="113"/>
      <c r="CH181" s="113"/>
      <c r="CI181" s="113"/>
      <c r="CJ181" s="113"/>
      <c r="CK181" s="113"/>
      <c r="CL181" s="113"/>
      <c r="CM181" s="113"/>
      <c r="CN181" s="113"/>
      <c r="CO181" s="113"/>
      <c r="CP181" s="113"/>
      <c r="CQ181" s="113"/>
      <c r="CR181" s="113"/>
      <c r="CS181" s="113"/>
      <c r="CT181" s="113"/>
      <c r="CU181" s="113"/>
      <c r="CV181" s="113"/>
      <c r="CW181" s="113"/>
      <c r="CX181" s="113"/>
      <c r="CY181" s="113"/>
      <c r="CZ181" s="113"/>
      <c r="DA181" s="113"/>
      <c r="DB181" s="113"/>
      <c r="DC181" s="113"/>
      <c r="DD181" s="113"/>
      <c r="DE181" s="113"/>
      <c r="DF181" s="113"/>
      <c r="DG181" s="113"/>
      <c r="DH181" s="113"/>
      <c r="DI181" s="113"/>
      <c r="DJ181" s="113"/>
      <c r="DK181" s="113"/>
      <c r="DL181" s="113"/>
      <c r="DM181" s="114"/>
      <c r="DN181" s="47"/>
    </row>
    <row r="182" spans="5:118" hidden="1" x14ac:dyDescent="0.35">
      <c r="E182" s="111"/>
      <c r="F182" s="112"/>
      <c r="G182" s="112"/>
      <c r="H182" s="116"/>
      <c r="I182" s="116"/>
      <c r="J182" s="122"/>
      <c r="K182" s="38">
        <f t="shared" si="32"/>
        <v>0</v>
      </c>
      <c r="L182" s="38">
        <f t="shared" si="33"/>
        <v>0</v>
      </c>
      <c r="M182" s="39">
        <f t="shared" si="31"/>
        <v>0</v>
      </c>
      <c r="N182" s="113"/>
      <c r="O182" s="113"/>
      <c r="P182" s="113"/>
      <c r="Q182" s="113"/>
      <c r="R182" s="113"/>
      <c r="S182" s="113"/>
      <c r="T182" s="113"/>
      <c r="U182" s="113"/>
      <c r="V182" s="113"/>
      <c r="W182" s="113"/>
      <c r="X182" s="113"/>
      <c r="Y182" s="113"/>
      <c r="Z182" s="113"/>
      <c r="AA182" s="113"/>
      <c r="AB182" s="113"/>
      <c r="AC182" s="113"/>
      <c r="AD182" s="113"/>
      <c r="AE182" s="113"/>
      <c r="AF182" s="113"/>
      <c r="AG182" s="113"/>
      <c r="AH182" s="113"/>
      <c r="AI182" s="113"/>
      <c r="AJ182" s="113"/>
      <c r="AK182" s="113"/>
      <c r="AL182" s="113"/>
      <c r="AM182" s="113"/>
      <c r="AN182" s="113"/>
      <c r="AO182" s="113"/>
      <c r="AP182" s="113"/>
      <c r="AQ182" s="113"/>
      <c r="AR182" s="113"/>
      <c r="AS182" s="113"/>
      <c r="AT182" s="113"/>
      <c r="AU182" s="113"/>
      <c r="AV182" s="113"/>
      <c r="AW182" s="113"/>
      <c r="AX182" s="113"/>
      <c r="AY182" s="113"/>
      <c r="AZ182" s="113"/>
      <c r="BA182" s="113"/>
      <c r="BB182" s="113"/>
      <c r="BC182" s="113"/>
      <c r="BD182" s="113"/>
      <c r="BE182" s="113"/>
      <c r="BF182" s="113"/>
      <c r="BG182" s="113"/>
      <c r="BH182" s="113"/>
      <c r="BI182" s="113"/>
      <c r="BJ182" s="113"/>
      <c r="BK182" s="113"/>
      <c r="BL182" s="113"/>
      <c r="BM182" s="113"/>
      <c r="BN182" s="113"/>
      <c r="BO182" s="113"/>
      <c r="BP182" s="113"/>
      <c r="BQ182" s="113"/>
      <c r="BR182" s="113"/>
      <c r="BS182" s="113"/>
      <c r="BT182" s="113"/>
      <c r="BU182" s="113"/>
      <c r="BV182" s="113"/>
      <c r="BW182" s="113"/>
      <c r="BX182" s="113"/>
      <c r="BY182" s="113"/>
      <c r="BZ182" s="113"/>
      <c r="CA182" s="113"/>
      <c r="CB182" s="113"/>
      <c r="CC182" s="113"/>
      <c r="CD182" s="113"/>
      <c r="CE182" s="113"/>
      <c r="CF182" s="113"/>
      <c r="CG182" s="113"/>
      <c r="CH182" s="113"/>
      <c r="CI182" s="113"/>
      <c r="CJ182" s="113"/>
      <c r="CK182" s="113"/>
      <c r="CL182" s="113"/>
      <c r="CM182" s="113"/>
      <c r="CN182" s="113"/>
      <c r="CO182" s="113"/>
      <c r="CP182" s="113"/>
      <c r="CQ182" s="113"/>
      <c r="CR182" s="113"/>
      <c r="CS182" s="113"/>
      <c r="CT182" s="113"/>
      <c r="CU182" s="113"/>
      <c r="CV182" s="113"/>
      <c r="CW182" s="113"/>
      <c r="CX182" s="113"/>
      <c r="CY182" s="113"/>
      <c r="CZ182" s="113"/>
      <c r="DA182" s="113"/>
      <c r="DB182" s="113"/>
      <c r="DC182" s="113"/>
      <c r="DD182" s="113"/>
      <c r="DE182" s="113"/>
      <c r="DF182" s="113"/>
      <c r="DG182" s="113"/>
      <c r="DH182" s="113"/>
      <c r="DI182" s="113"/>
      <c r="DJ182" s="113"/>
      <c r="DK182" s="113"/>
      <c r="DL182" s="113"/>
      <c r="DM182" s="114"/>
      <c r="DN182" s="47"/>
    </row>
    <row r="183" spans="5:118" hidden="1" x14ac:dyDescent="0.35">
      <c r="E183" s="111"/>
      <c r="F183" s="112"/>
      <c r="G183" s="112"/>
      <c r="H183" s="116"/>
      <c r="I183" s="116"/>
      <c r="J183" s="122"/>
      <c r="K183" s="38">
        <f t="shared" si="32"/>
        <v>0</v>
      </c>
      <c r="L183" s="38">
        <f t="shared" si="33"/>
        <v>0</v>
      </c>
      <c r="M183" s="39">
        <f t="shared" si="31"/>
        <v>0</v>
      </c>
      <c r="N183" s="113"/>
      <c r="O183" s="113"/>
      <c r="P183" s="113"/>
      <c r="Q183" s="113"/>
      <c r="R183" s="113"/>
      <c r="S183" s="113"/>
      <c r="T183" s="113"/>
      <c r="U183" s="113"/>
      <c r="V183" s="113"/>
      <c r="W183" s="113"/>
      <c r="X183" s="113"/>
      <c r="Y183" s="113"/>
      <c r="Z183" s="113"/>
      <c r="AA183" s="113"/>
      <c r="AB183" s="113"/>
      <c r="AC183" s="113"/>
      <c r="AD183" s="113"/>
      <c r="AE183" s="113"/>
      <c r="AF183" s="113"/>
      <c r="AG183" s="113"/>
      <c r="AH183" s="113"/>
      <c r="AI183" s="113"/>
      <c r="AJ183" s="113"/>
      <c r="AK183" s="113"/>
      <c r="AL183" s="113"/>
      <c r="AM183" s="113"/>
      <c r="AN183" s="113"/>
      <c r="AO183" s="113"/>
      <c r="AP183" s="113"/>
      <c r="AQ183" s="113"/>
      <c r="AR183" s="113"/>
      <c r="AS183" s="113"/>
      <c r="AT183" s="113"/>
      <c r="AU183" s="113"/>
      <c r="AV183" s="113"/>
      <c r="AW183" s="113"/>
      <c r="AX183" s="113"/>
      <c r="AY183" s="113"/>
      <c r="AZ183" s="113"/>
      <c r="BA183" s="113"/>
      <c r="BB183" s="113"/>
      <c r="BC183" s="113"/>
      <c r="BD183" s="113"/>
      <c r="BE183" s="113"/>
      <c r="BF183" s="113"/>
      <c r="BG183" s="113"/>
      <c r="BH183" s="113"/>
      <c r="BI183" s="113"/>
      <c r="BJ183" s="113"/>
      <c r="BK183" s="113"/>
      <c r="BL183" s="113"/>
      <c r="BM183" s="113"/>
      <c r="BN183" s="113"/>
      <c r="BO183" s="113"/>
      <c r="BP183" s="113"/>
      <c r="BQ183" s="113"/>
      <c r="BR183" s="113"/>
      <c r="BS183" s="113"/>
      <c r="BT183" s="113"/>
      <c r="BU183" s="113"/>
      <c r="BV183" s="113"/>
      <c r="BW183" s="113"/>
      <c r="BX183" s="113"/>
      <c r="BY183" s="113"/>
      <c r="BZ183" s="113"/>
      <c r="CA183" s="113"/>
      <c r="CB183" s="113"/>
      <c r="CC183" s="113"/>
      <c r="CD183" s="113"/>
      <c r="CE183" s="113"/>
      <c r="CF183" s="113"/>
      <c r="CG183" s="113"/>
      <c r="CH183" s="113"/>
      <c r="CI183" s="113"/>
      <c r="CJ183" s="113"/>
      <c r="CK183" s="113"/>
      <c r="CL183" s="113"/>
      <c r="CM183" s="113"/>
      <c r="CN183" s="113"/>
      <c r="CO183" s="113"/>
      <c r="CP183" s="113"/>
      <c r="CQ183" s="113"/>
      <c r="CR183" s="113"/>
      <c r="CS183" s="113"/>
      <c r="CT183" s="113"/>
      <c r="CU183" s="113"/>
      <c r="CV183" s="113"/>
      <c r="CW183" s="113"/>
      <c r="CX183" s="113"/>
      <c r="CY183" s="113"/>
      <c r="CZ183" s="113"/>
      <c r="DA183" s="113"/>
      <c r="DB183" s="113"/>
      <c r="DC183" s="113"/>
      <c r="DD183" s="113"/>
      <c r="DE183" s="113"/>
      <c r="DF183" s="113"/>
      <c r="DG183" s="113"/>
      <c r="DH183" s="113"/>
      <c r="DI183" s="113"/>
      <c r="DJ183" s="113"/>
      <c r="DK183" s="113"/>
      <c r="DL183" s="113"/>
      <c r="DM183" s="114"/>
      <c r="DN183" s="47"/>
    </row>
    <row r="184" spans="5:118" hidden="1" x14ac:dyDescent="0.35">
      <c r="E184" s="111"/>
      <c r="F184" s="112"/>
      <c r="G184" s="112"/>
      <c r="H184" s="116"/>
      <c r="I184" s="116"/>
      <c r="J184" s="122"/>
      <c r="K184" s="38">
        <f t="shared" si="32"/>
        <v>0</v>
      </c>
      <c r="L184" s="38">
        <f t="shared" si="33"/>
        <v>0</v>
      </c>
      <c r="M184" s="39">
        <f t="shared" si="31"/>
        <v>0</v>
      </c>
      <c r="N184" s="113"/>
      <c r="O184" s="113"/>
      <c r="P184" s="113"/>
      <c r="Q184" s="113"/>
      <c r="R184" s="113"/>
      <c r="S184" s="113"/>
      <c r="T184" s="113"/>
      <c r="U184" s="113"/>
      <c r="V184" s="113"/>
      <c r="W184" s="113"/>
      <c r="X184" s="113"/>
      <c r="Y184" s="113"/>
      <c r="Z184" s="113"/>
      <c r="AA184" s="113"/>
      <c r="AB184" s="113"/>
      <c r="AC184" s="113"/>
      <c r="AD184" s="113"/>
      <c r="AE184" s="113"/>
      <c r="AF184" s="113"/>
      <c r="AG184" s="113"/>
      <c r="AH184" s="113"/>
      <c r="AI184" s="113"/>
      <c r="AJ184" s="113"/>
      <c r="AK184" s="113"/>
      <c r="AL184" s="113"/>
      <c r="AM184" s="113"/>
      <c r="AN184" s="113"/>
      <c r="AO184" s="113"/>
      <c r="AP184" s="113"/>
      <c r="AQ184" s="113"/>
      <c r="AR184" s="113"/>
      <c r="AS184" s="113"/>
      <c r="AT184" s="113"/>
      <c r="AU184" s="113"/>
      <c r="AV184" s="113"/>
      <c r="AW184" s="113"/>
      <c r="AX184" s="113"/>
      <c r="AY184" s="113"/>
      <c r="AZ184" s="113"/>
      <c r="BA184" s="113"/>
      <c r="BB184" s="113"/>
      <c r="BC184" s="113"/>
      <c r="BD184" s="113"/>
      <c r="BE184" s="113"/>
      <c r="BF184" s="113"/>
      <c r="BG184" s="113"/>
      <c r="BH184" s="113"/>
      <c r="BI184" s="113"/>
      <c r="BJ184" s="113"/>
      <c r="BK184" s="113"/>
      <c r="BL184" s="113"/>
      <c r="BM184" s="113"/>
      <c r="BN184" s="113"/>
      <c r="BO184" s="113"/>
      <c r="BP184" s="113"/>
      <c r="BQ184" s="113"/>
      <c r="BR184" s="113"/>
      <c r="BS184" s="113"/>
      <c r="BT184" s="113"/>
      <c r="BU184" s="113"/>
      <c r="BV184" s="113"/>
      <c r="BW184" s="113"/>
      <c r="BX184" s="113"/>
      <c r="BY184" s="113"/>
      <c r="BZ184" s="113"/>
      <c r="CA184" s="113"/>
      <c r="CB184" s="113"/>
      <c r="CC184" s="113"/>
      <c r="CD184" s="113"/>
      <c r="CE184" s="113"/>
      <c r="CF184" s="113"/>
      <c r="CG184" s="113"/>
      <c r="CH184" s="113"/>
      <c r="CI184" s="113"/>
      <c r="CJ184" s="113"/>
      <c r="CK184" s="113"/>
      <c r="CL184" s="113"/>
      <c r="CM184" s="113"/>
      <c r="CN184" s="113"/>
      <c r="CO184" s="113"/>
      <c r="CP184" s="113"/>
      <c r="CQ184" s="113"/>
      <c r="CR184" s="113"/>
      <c r="CS184" s="113"/>
      <c r="CT184" s="113"/>
      <c r="CU184" s="113"/>
      <c r="CV184" s="113"/>
      <c r="CW184" s="113"/>
      <c r="CX184" s="113"/>
      <c r="CY184" s="113"/>
      <c r="CZ184" s="113"/>
      <c r="DA184" s="113"/>
      <c r="DB184" s="113"/>
      <c r="DC184" s="113"/>
      <c r="DD184" s="113"/>
      <c r="DE184" s="113"/>
      <c r="DF184" s="113"/>
      <c r="DG184" s="113"/>
      <c r="DH184" s="113"/>
      <c r="DI184" s="113"/>
      <c r="DJ184" s="113"/>
      <c r="DK184" s="113"/>
      <c r="DL184" s="113"/>
      <c r="DM184" s="114"/>
      <c r="DN184" s="47"/>
    </row>
    <row r="185" spans="5:118" hidden="1" x14ac:dyDescent="0.35">
      <c r="E185" s="111"/>
      <c r="F185" s="112"/>
      <c r="G185" s="112"/>
      <c r="H185" s="116"/>
      <c r="I185" s="116"/>
      <c r="J185" s="122"/>
      <c r="K185" s="38">
        <f t="shared" si="32"/>
        <v>0</v>
      </c>
      <c r="L185" s="38">
        <f t="shared" si="33"/>
        <v>0</v>
      </c>
      <c r="M185" s="39">
        <f t="shared" si="31"/>
        <v>0</v>
      </c>
      <c r="N185" s="113"/>
      <c r="O185" s="113"/>
      <c r="P185" s="113"/>
      <c r="Q185" s="113"/>
      <c r="R185" s="113"/>
      <c r="S185" s="113"/>
      <c r="T185" s="113"/>
      <c r="U185" s="113"/>
      <c r="V185" s="113"/>
      <c r="W185" s="113"/>
      <c r="X185" s="113"/>
      <c r="Y185" s="113"/>
      <c r="Z185" s="113"/>
      <c r="AA185" s="113"/>
      <c r="AB185" s="113"/>
      <c r="AC185" s="113"/>
      <c r="AD185" s="113"/>
      <c r="AE185" s="113"/>
      <c r="AF185" s="113"/>
      <c r="AG185" s="113"/>
      <c r="AH185" s="113"/>
      <c r="AI185" s="113"/>
      <c r="AJ185" s="113"/>
      <c r="AK185" s="113"/>
      <c r="AL185" s="113"/>
      <c r="AM185" s="113"/>
      <c r="AN185" s="113"/>
      <c r="AO185" s="113"/>
      <c r="AP185" s="113"/>
      <c r="AQ185" s="113"/>
      <c r="AR185" s="113"/>
      <c r="AS185" s="113"/>
      <c r="AT185" s="113"/>
      <c r="AU185" s="113"/>
      <c r="AV185" s="113"/>
      <c r="AW185" s="113"/>
      <c r="AX185" s="113"/>
      <c r="AY185" s="113"/>
      <c r="AZ185" s="113"/>
      <c r="BA185" s="113"/>
      <c r="BB185" s="113"/>
      <c r="BC185" s="113"/>
      <c r="BD185" s="113"/>
      <c r="BE185" s="113"/>
      <c r="BF185" s="113"/>
      <c r="BG185" s="113"/>
      <c r="BH185" s="113"/>
      <c r="BI185" s="113"/>
      <c r="BJ185" s="113"/>
      <c r="BK185" s="113"/>
      <c r="BL185" s="113"/>
      <c r="BM185" s="113"/>
      <c r="BN185" s="113"/>
      <c r="BO185" s="113"/>
      <c r="BP185" s="113"/>
      <c r="BQ185" s="113"/>
      <c r="BR185" s="113"/>
      <c r="BS185" s="113"/>
      <c r="BT185" s="113"/>
      <c r="BU185" s="113"/>
      <c r="BV185" s="113"/>
      <c r="BW185" s="113"/>
      <c r="BX185" s="113"/>
      <c r="BY185" s="113"/>
      <c r="BZ185" s="113"/>
      <c r="CA185" s="113"/>
      <c r="CB185" s="113"/>
      <c r="CC185" s="113"/>
      <c r="CD185" s="113"/>
      <c r="CE185" s="113"/>
      <c r="CF185" s="113"/>
      <c r="CG185" s="113"/>
      <c r="CH185" s="113"/>
      <c r="CI185" s="113"/>
      <c r="CJ185" s="113"/>
      <c r="CK185" s="113"/>
      <c r="CL185" s="113"/>
      <c r="CM185" s="113"/>
      <c r="CN185" s="113"/>
      <c r="CO185" s="113"/>
      <c r="CP185" s="113"/>
      <c r="CQ185" s="113"/>
      <c r="CR185" s="113"/>
      <c r="CS185" s="113"/>
      <c r="CT185" s="113"/>
      <c r="CU185" s="113"/>
      <c r="CV185" s="113"/>
      <c r="CW185" s="113"/>
      <c r="CX185" s="113"/>
      <c r="CY185" s="113"/>
      <c r="CZ185" s="113"/>
      <c r="DA185" s="113"/>
      <c r="DB185" s="113"/>
      <c r="DC185" s="113"/>
      <c r="DD185" s="113"/>
      <c r="DE185" s="113"/>
      <c r="DF185" s="113"/>
      <c r="DG185" s="113"/>
      <c r="DH185" s="113"/>
      <c r="DI185" s="113"/>
      <c r="DJ185" s="113"/>
      <c r="DK185" s="113"/>
      <c r="DL185" s="113"/>
      <c r="DM185" s="114"/>
      <c r="DN185" s="47"/>
    </row>
    <row r="186" spans="5:118" hidden="1" x14ac:dyDescent="0.35">
      <c r="E186" s="111"/>
      <c r="F186" s="112"/>
      <c r="G186" s="112"/>
      <c r="H186" s="116"/>
      <c r="I186" s="116"/>
      <c r="J186" s="122"/>
      <c r="K186" s="38">
        <f t="shared" si="32"/>
        <v>0</v>
      </c>
      <c r="L186" s="38">
        <f t="shared" si="33"/>
        <v>0</v>
      </c>
      <c r="M186" s="39">
        <f t="shared" si="31"/>
        <v>0</v>
      </c>
      <c r="N186" s="113"/>
      <c r="O186" s="113"/>
      <c r="P186" s="113"/>
      <c r="Q186" s="113"/>
      <c r="R186" s="113"/>
      <c r="S186" s="113"/>
      <c r="T186" s="113"/>
      <c r="U186" s="113"/>
      <c r="V186" s="113"/>
      <c r="W186" s="113"/>
      <c r="X186" s="113"/>
      <c r="Y186" s="113"/>
      <c r="Z186" s="113"/>
      <c r="AA186" s="113"/>
      <c r="AB186" s="113"/>
      <c r="AC186" s="113"/>
      <c r="AD186" s="113"/>
      <c r="AE186" s="113"/>
      <c r="AF186" s="113"/>
      <c r="AG186" s="113"/>
      <c r="AH186" s="113"/>
      <c r="AI186" s="113"/>
      <c r="AJ186" s="113"/>
      <c r="AK186" s="113"/>
      <c r="AL186" s="113"/>
      <c r="AM186" s="113"/>
      <c r="AN186" s="113"/>
      <c r="AO186" s="113"/>
      <c r="AP186" s="113"/>
      <c r="AQ186" s="113"/>
      <c r="AR186" s="113"/>
      <c r="AS186" s="113"/>
      <c r="AT186" s="113"/>
      <c r="AU186" s="113"/>
      <c r="AV186" s="113"/>
      <c r="AW186" s="113"/>
      <c r="AX186" s="113"/>
      <c r="AY186" s="113"/>
      <c r="AZ186" s="113"/>
      <c r="BA186" s="113"/>
      <c r="BB186" s="113"/>
      <c r="BC186" s="113"/>
      <c r="BD186" s="113"/>
      <c r="BE186" s="113"/>
      <c r="BF186" s="113"/>
      <c r="BG186" s="113"/>
      <c r="BH186" s="113"/>
      <c r="BI186" s="113"/>
      <c r="BJ186" s="113"/>
      <c r="BK186" s="113"/>
      <c r="BL186" s="113"/>
      <c r="BM186" s="113"/>
      <c r="BN186" s="113"/>
      <c r="BO186" s="113"/>
      <c r="BP186" s="113"/>
      <c r="BQ186" s="113"/>
      <c r="BR186" s="113"/>
      <c r="BS186" s="113"/>
      <c r="BT186" s="113"/>
      <c r="BU186" s="113"/>
      <c r="BV186" s="113"/>
      <c r="BW186" s="113"/>
      <c r="BX186" s="113"/>
      <c r="BY186" s="113"/>
      <c r="BZ186" s="113"/>
      <c r="CA186" s="113"/>
      <c r="CB186" s="113"/>
      <c r="CC186" s="113"/>
      <c r="CD186" s="113"/>
      <c r="CE186" s="113"/>
      <c r="CF186" s="113"/>
      <c r="CG186" s="113"/>
      <c r="CH186" s="113"/>
      <c r="CI186" s="113"/>
      <c r="CJ186" s="113"/>
      <c r="CK186" s="113"/>
      <c r="CL186" s="113"/>
      <c r="CM186" s="113"/>
      <c r="CN186" s="113"/>
      <c r="CO186" s="113"/>
      <c r="CP186" s="113"/>
      <c r="CQ186" s="113"/>
      <c r="CR186" s="113"/>
      <c r="CS186" s="113"/>
      <c r="CT186" s="113"/>
      <c r="CU186" s="113"/>
      <c r="CV186" s="113"/>
      <c r="CW186" s="113"/>
      <c r="CX186" s="113"/>
      <c r="CY186" s="113"/>
      <c r="CZ186" s="113"/>
      <c r="DA186" s="113"/>
      <c r="DB186" s="113"/>
      <c r="DC186" s="113"/>
      <c r="DD186" s="113"/>
      <c r="DE186" s="113"/>
      <c r="DF186" s="113"/>
      <c r="DG186" s="113"/>
      <c r="DH186" s="113"/>
      <c r="DI186" s="113"/>
      <c r="DJ186" s="113"/>
      <c r="DK186" s="113"/>
      <c r="DL186" s="113"/>
      <c r="DM186" s="114"/>
      <c r="DN186" s="47"/>
    </row>
    <row r="187" spans="5:118" hidden="1" x14ac:dyDescent="0.35">
      <c r="E187" s="111"/>
      <c r="F187" s="112"/>
      <c r="G187" s="112"/>
      <c r="H187" s="116"/>
      <c r="I187" s="116"/>
      <c r="J187" s="122"/>
      <c r="K187" s="38">
        <f t="shared" si="32"/>
        <v>0</v>
      </c>
      <c r="L187" s="38">
        <f t="shared" si="33"/>
        <v>0</v>
      </c>
      <c r="M187" s="39">
        <f t="shared" si="31"/>
        <v>0</v>
      </c>
      <c r="N187" s="113"/>
      <c r="O187" s="113"/>
      <c r="P187" s="113"/>
      <c r="Q187" s="113"/>
      <c r="R187" s="113"/>
      <c r="S187" s="113"/>
      <c r="T187" s="113"/>
      <c r="U187" s="113"/>
      <c r="V187" s="113"/>
      <c r="W187" s="113"/>
      <c r="X187" s="113"/>
      <c r="Y187" s="113"/>
      <c r="Z187" s="113"/>
      <c r="AA187" s="113"/>
      <c r="AB187" s="113"/>
      <c r="AC187" s="113"/>
      <c r="AD187" s="113"/>
      <c r="AE187" s="113"/>
      <c r="AF187" s="113"/>
      <c r="AG187" s="113"/>
      <c r="AH187" s="113"/>
      <c r="AI187" s="113"/>
      <c r="AJ187" s="113"/>
      <c r="AK187" s="113"/>
      <c r="AL187" s="113"/>
      <c r="AM187" s="113"/>
      <c r="AN187" s="113"/>
      <c r="AO187" s="113"/>
      <c r="AP187" s="113"/>
      <c r="AQ187" s="113"/>
      <c r="AR187" s="113"/>
      <c r="AS187" s="113"/>
      <c r="AT187" s="113"/>
      <c r="AU187" s="113"/>
      <c r="AV187" s="113"/>
      <c r="AW187" s="113"/>
      <c r="AX187" s="113"/>
      <c r="AY187" s="113"/>
      <c r="AZ187" s="113"/>
      <c r="BA187" s="113"/>
      <c r="BB187" s="113"/>
      <c r="BC187" s="113"/>
      <c r="BD187" s="113"/>
      <c r="BE187" s="113"/>
      <c r="BF187" s="113"/>
      <c r="BG187" s="113"/>
      <c r="BH187" s="113"/>
      <c r="BI187" s="113"/>
      <c r="BJ187" s="113"/>
      <c r="BK187" s="113"/>
      <c r="BL187" s="113"/>
      <c r="BM187" s="113"/>
      <c r="BN187" s="113"/>
      <c r="BO187" s="113"/>
      <c r="BP187" s="113"/>
      <c r="BQ187" s="113"/>
      <c r="BR187" s="113"/>
      <c r="BS187" s="113"/>
      <c r="BT187" s="113"/>
      <c r="BU187" s="113"/>
      <c r="BV187" s="113"/>
      <c r="BW187" s="113"/>
      <c r="BX187" s="113"/>
      <c r="BY187" s="113"/>
      <c r="BZ187" s="113"/>
      <c r="CA187" s="113"/>
      <c r="CB187" s="113"/>
      <c r="CC187" s="113"/>
      <c r="CD187" s="113"/>
      <c r="CE187" s="113"/>
      <c r="CF187" s="113"/>
      <c r="CG187" s="113"/>
      <c r="CH187" s="113"/>
      <c r="CI187" s="113"/>
      <c r="CJ187" s="113"/>
      <c r="CK187" s="113"/>
      <c r="CL187" s="113"/>
      <c r="CM187" s="113"/>
      <c r="CN187" s="113"/>
      <c r="CO187" s="113"/>
      <c r="CP187" s="113"/>
      <c r="CQ187" s="113"/>
      <c r="CR187" s="113"/>
      <c r="CS187" s="113"/>
      <c r="CT187" s="113"/>
      <c r="CU187" s="113"/>
      <c r="CV187" s="113"/>
      <c r="CW187" s="113"/>
      <c r="CX187" s="113"/>
      <c r="CY187" s="113"/>
      <c r="CZ187" s="113"/>
      <c r="DA187" s="113"/>
      <c r="DB187" s="113"/>
      <c r="DC187" s="113"/>
      <c r="DD187" s="113"/>
      <c r="DE187" s="113"/>
      <c r="DF187" s="113"/>
      <c r="DG187" s="113"/>
      <c r="DH187" s="113"/>
      <c r="DI187" s="113"/>
      <c r="DJ187" s="113"/>
      <c r="DK187" s="113"/>
      <c r="DL187" s="113"/>
      <c r="DM187" s="114"/>
      <c r="DN187" s="47"/>
    </row>
    <row r="188" spans="5:118" ht="15" thickBot="1" x14ac:dyDescent="0.4">
      <c r="E188" s="3" t="s">
        <v>315</v>
      </c>
      <c r="F188" s="41"/>
      <c r="G188" s="41"/>
      <c r="H188" s="41"/>
      <c r="I188" s="8"/>
      <c r="J188" s="8" t="s">
        <v>150</v>
      </c>
      <c r="K188" s="98">
        <f>SUM(K158:K187)</f>
        <v>0</v>
      </c>
      <c r="L188" s="98">
        <f>SUM(L158:L187)</f>
        <v>0</v>
      </c>
      <c r="M188" s="99">
        <f>SUM(M158:M187)</f>
        <v>0</v>
      </c>
      <c r="N188" s="4">
        <f>SUM(N158:N187)</f>
        <v>0</v>
      </c>
      <c r="O188" s="4">
        <f t="shared" ref="O188:BZ188" si="34">SUM(O158:O187)</f>
        <v>0</v>
      </c>
      <c r="P188" s="4">
        <f t="shared" si="34"/>
        <v>0</v>
      </c>
      <c r="Q188" s="4">
        <f t="shared" si="34"/>
        <v>0</v>
      </c>
      <c r="R188" s="4">
        <f t="shared" si="34"/>
        <v>0</v>
      </c>
      <c r="S188" s="4">
        <f t="shared" si="34"/>
        <v>0</v>
      </c>
      <c r="T188" s="4">
        <f t="shared" si="34"/>
        <v>0</v>
      </c>
      <c r="U188" s="4">
        <f t="shared" si="34"/>
        <v>0</v>
      </c>
      <c r="V188" s="4">
        <f t="shared" si="34"/>
        <v>0</v>
      </c>
      <c r="W188" s="4">
        <f t="shared" si="34"/>
        <v>0</v>
      </c>
      <c r="X188" s="4">
        <f t="shared" si="34"/>
        <v>0</v>
      </c>
      <c r="Y188" s="4">
        <f t="shared" si="34"/>
        <v>0</v>
      </c>
      <c r="Z188" s="4">
        <f t="shared" si="34"/>
        <v>0</v>
      </c>
      <c r="AA188" s="4">
        <f t="shared" si="34"/>
        <v>0</v>
      </c>
      <c r="AB188" s="4">
        <f t="shared" si="34"/>
        <v>0</v>
      </c>
      <c r="AC188" s="4">
        <f t="shared" si="34"/>
        <v>0</v>
      </c>
      <c r="AD188" s="4">
        <f t="shared" si="34"/>
        <v>0</v>
      </c>
      <c r="AE188" s="4">
        <f t="shared" si="34"/>
        <v>0</v>
      </c>
      <c r="AF188" s="4">
        <f t="shared" si="34"/>
        <v>0</v>
      </c>
      <c r="AG188" s="4">
        <f t="shared" si="34"/>
        <v>0</v>
      </c>
      <c r="AH188" s="4">
        <f t="shared" si="34"/>
        <v>0</v>
      </c>
      <c r="AI188" s="4">
        <f t="shared" si="34"/>
        <v>0</v>
      </c>
      <c r="AJ188" s="4">
        <f t="shared" si="34"/>
        <v>0</v>
      </c>
      <c r="AK188" s="4">
        <f t="shared" si="34"/>
        <v>0</v>
      </c>
      <c r="AL188" s="4">
        <f t="shared" si="34"/>
        <v>0</v>
      </c>
      <c r="AM188" s="4">
        <f t="shared" si="34"/>
        <v>0</v>
      </c>
      <c r="AN188" s="4">
        <f t="shared" si="34"/>
        <v>0</v>
      </c>
      <c r="AO188" s="4">
        <f t="shared" si="34"/>
        <v>0</v>
      </c>
      <c r="AP188" s="4">
        <f t="shared" si="34"/>
        <v>0</v>
      </c>
      <c r="AQ188" s="4">
        <f t="shared" si="34"/>
        <v>0</v>
      </c>
      <c r="AR188" s="4">
        <f t="shared" si="34"/>
        <v>0</v>
      </c>
      <c r="AS188" s="4">
        <f t="shared" si="34"/>
        <v>0</v>
      </c>
      <c r="AT188" s="4">
        <f t="shared" si="34"/>
        <v>0</v>
      </c>
      <c r="AU188" s="4">
        <f t="shared" si="34"/>
        <v>0</v>
      </c>
      <c r="AV188" s="4">
        <f t="shared" si="34"/>
        <v>0</v>
      </c>
      <c r="AW188" s="4">
        <f t="shared" si="34"/>
        <v>0</v>
      </c>
      <c r="AX188" s="4">
        <f t="shared" si="34"/>
        <v>0</v>
      </c>
      <c r="AY188" s="4">
        <f t="shared" si="34"/>
        <v>0</v>
      </c>
      <c r="AZ188" s="4">
        <f t="shared" si="34"/>
        <v>0</v>
      </c>
      <c r="BA188" s="4">
        <f t="shared" si="34"/>
        <v>0</v>
      </c>
      <c r="BB188" s="4">
        <f t="shared" si="34"/>
        <v>0</v>
      </c>
      <c r="BC188" s="4">
        <f t="shared" si="34"/>
        <v>0</v>
      </c>
      <c r="BD188" s="4">
        <f t="shared" si="34"/>
        <v>0</v>
      </c>
      <c r="BE188" s="4">
        <f t="shared" si="34"/>
        <v>0</v>
      </c>
      <c r="BF188" s="4">
        <f t="shared" si="34"/>
        <v>0</v>
      </c>
      <c r="BG188" s="4">
        <f t="shared" si="34"/>
        <v>0</v>
      </c>
      <c r="BH188" s="4">
        <f t="shared" si="34"/>
        <v>0</v>
      </c>
      <c r="BI188" s="4">
        <f t="shared" si="34"/>
        <v>0</v>
      </c>
      <c r="BJ188" s="4">
        <f t="shared" si="34"/>
        <v>0</v>
      </c>
      <c r="BK188" s="4">
        <f t="shared" si="34"/>
        <v>0</v>
      </c>
      <c r="BL188" s="4">
        <f t="shared" si="34"/>
        <v>0</v>
      </c>
      <c r="BM188" s="4">
        <f t="shared" si="34"/>
        <v>0</v>
      </c>
      <c r="BN188" s="4">
        <f t="shared" si="34"/>
        <v>0</v>
      </c>
      <c r="BO188" s="4">
        <f t="shared" si="34"/>
        <v>0</v>
      </c>
      <c r="BP188" s="4">
        <f t="shared" si="34"/>
        <v>0</v>
      </c>
      <c r="BQ188" s="4">
        <f t="shared" si="34"/>
        <v>0</v>
      </c>
      <c r="BR188" s="4">
        <f t="shared" si="34"/>
        <v>0</v>
      </c>
      <c r="BS188" s="4">
        <f t="shared" si="34"/>
        <v>0</v>
      </c>
      <c r="BT188" s="4">
        <f t="shared" si="34"/>
        <v>0</v>
      </c>
      <c r="BU188" s="4">
        <f t="shared" si="34"/>
        <v>0</v>
      </c>
      <c r="BV188" s="4">
        <f t="shared" si="34"/>
        <v>0</v>
      </c>
      <c r="BW188" s="4">
        <f t="shared" si="34"/>
        <v>0</v>
      </c>
      <c r="BX188" s="4">
        <f t="shared" si="34"/>
        <v>0</v>
      </c>
      <c r="BY188" s="4">
        <f t="shared" si="34"/>
        <v>0</v>
      </c>
      <c r="BZ188" s="4">
        <f t="shared" si="34"/>
        <v>0</v>
      </c>
      <c r="CA188" s="4">
        <f t="shared" ref="CA188:DM188" si="35">SUM(CA158:CA187)</f>
        <v>0</v>
      </c>
      <c r="CB188" s="4">
        <f t="shared" si="35"/>
        <v>0</v>
      </c>
      <c r="CC188" s="4">
        <f t="shared" si="35"/>
        <v>0</v>
      </c>
      <c r="CD188" s="4">
        <f t="shared" si="35"/>
        <v>0</v>
      </c>
      <c r="CE188" s="4">
        <f t="shared" si="35"/>
        <v>0</v>
      </c>
      <c r="CF188" s="4">
        <f t="shared" si="35"/>
        <v>0</v>
      </c>
      <c r="CG188" s="4">
        <f t="shared" si="35"/>
        <v>0</v>
      </c>
      <c r="CH188" s="4">
        <f t="shared" si="35"/>
        <v>0</v>
      </c>
      <c r="CI188" s="4">
        <f t="shared" si="35"/>
        <v>0</v>
      </c>
      <c r="CJ188" s="4">
        <f t="shared" si="35"/>
        <v>0</v>
      </c>
      <c r="CK188" s="4">
        <f t="shared" si="35"/>
        <v>0</v>
      </c>
      <c r="CL188" s="4">
        <f t="shared" si="35"/>
        <v>0</v>
      </c>
      <c r="CM188" s="4">
        <f t="shared" si="35"/>
        <v>0</v>
      </c>
      <c r="CN188" s="4">
        <f t="shared" si="35"/>
        <v>0</v>
      </c>
      <c r="CO188" s="4">
        <f t="shared" si="35"/>
        <v>0</v>
      </c>
      <c r="CP188" s="4">
        <f t="shared" si="35"/>
        <v>0</v>
      </c>
      <c r="CQ188" s="4">
        <f t="shared" si="35"/>
        <v>0</v>
      </c>
      <c r="CR188" s="4">
        <f t="shared" si="35"/>
        <v>0</v>
      </c>
      <c r="CS188" s="4">
        <f t="shared" si="35"/>
        <v>0</v>
      </c>
      <c r="CT188" s="4">
        <f t="shared" si="35"/>
        <v>0</v>
      </c>
      <c r="CU188" s="4">
        <f t="shared" si="35"/>
        <v>0</v>
      </c>
      <c r="CV188" s="4">
        <f t="shared" si="35"/>
        <v>0</v>
      </c>
      <c r="CW188" s="4">
        <f t="shared" si="35"/>
        <v>0</v>
      </c>
      <c r="CX188" s="4">
        <f t="shared" si="35"/>
        <v>0</v>
      </c>
      <c r="CY188" s="4">
        <f t="shared" si="35"/>
        <v>0</v>
      </c>
      <c r="CZ188" s="4">
        <f t="shared" si="35"/>
        <v>0</v>
      </c>
      <c r="DA188" s="4">
        <f t="shared" si="35"/>
        <v>0</v>
      </c>
      <c r="DB188" s="4">
        <f t="shared" si="35"/>
        <v>0</v>
      </c>
      <c r="DC188" s="4">
        <f t="shared" si="35"/>
        <v>0</v>
      </c>
      <c r="DD188" s="4">
        <f t="shared" si="35"/>
        <v>0</v>
      </c>
      <c r="DE188" s="4">
        <f t="shared" si="35"/>
        <v>0</v>
      </c>
      <c r="DF188" s="4">
        <f t="shared" si="35"/>
        <v>0</v>
      </c>
      <c r="DG188" s="4">
        <f t="shared" si="35"/>
        <v>0</v>
      </c>
      <c r="DH188" s="4">
        <f t="shared" si="35"/>
        <v>0</v>
      </c>
      <c r="DI188" s="4">
        <f t="shared" si="35"/>
        <v>0</v>
      </c>
      <c r="DJ188" s="4">
        <f t="shared" si="35"/>
        <v>0</v>
      </c>
      <c r="DK188" s="4">
        <f t="shared" si="35"/>
        <v>0</v>
      </c>
      <c r="DL188" s="4">
        <f t="shared" si="35"/>
        <v>0</v>
      </c>
      <c r="DM188" s="4">
        <f t="shared" si="35"/>
        <v>0</v>
      </c>
      <c r="DN188" s="47"/>
    </row>
    <row r="189" spans="5:118" ht="15" thickBot="1" x14ac:dyDescent="0.4"/>
    <row r="190" spans="5:118" ht="15" thickBot="1" x14ac:dyDescent="0.4">
      <c r="K190" s="48"/>
      <c r="L190" s="49" t="s">
        <v>272</v>
      </c>
      <c r="M190" s="50" t="s">
        <v>34</v>
      </c>
      <c r="N190" s="51" t="s">
        <v>35</v>
      </c>
      <c r="O190" s="51" t="s">
        <v>36</v>
      </c>
      <c r="P190" s="51" t="s">
        <v>37</v>
      </c>
      <c r="Q190" s="51" t="s">
        <v>38</v>
      </c>
      <c r="R190" s="51" t="s">
        <v>39</v>
      </c>
      <c r="S190" s="51" t="s">
        <v>40</v>
      </c>
      <c r="T190" s="51" t="s">
        <v>41</v>
      </c>
      <c r="U190" s="51" t="s">
        <v>42</v>
      </c>
      <c r="V190" s="51" t="s">
        <v>43</v>
      </c>
      <c r="W190" s="51" t="s">
        <v>44</v>
      </c>
      <c r="X190" s="51" t="s">
        <v>45</v>
      </c>
      <c r="Y190" s="51" t="s">
        <v>46</v>
      </c>
      <c r="Z190" s="51" t="s">
        <v>47</v>
      </c>
      <c r="AA190" s="51" t="s">
        <v>48</v>
      </c>
      <c r="AB190" s="51" t="s">
        <v>49</v>
      </c>
      <c r="AC190" s="51" t="s">
        <v>50</v>
      </c>
      <c r="AD190" s="51" t="s">
        <v>51</v>
      </c>
      <c r="AE190" s="51" t="s">
        <v>52</v>
      </c>
      <c r="AF190" s="51" t="s">
        <v>53</v>
      </c>
      <c r="AG190" s="51" t="s">
        <v>54</v>
      </c>
      <c r="AH190" s="51" t="s">
        <v>55</v>
      </c>
      <c r="AI190" s="51" t="s">
        <v>56</v>
      </c>
      <c r="AJ190" s="51" t="s">
        <v>57</v>
      </c>
      <c r="AK190" s="51" t="s">
        <v>58</v>
      </c>
      <c r="AL190" s="51" t="s">
        <v>59</v>
      </c>
      <c r="AM190" s="51" t="s">
        <v>60</v>
      </c>
      <c r="AN190" s="51" t="s">
        <v>61</v>
      </c>
      <c r="AO190" s="51" t="s">
        <v>62</v>
      </c>
      <c r="AP190" s="51" t="s">
        <v>63</v>
      </c>
      <c r="AQ190" s="51" t="s">
        <v>64</v>
      </c>
      <c r="AR190" s="51" t="s">
        <v>65</v>
      </c>
      <c r="AS190" s="51" t="s">
        <v>66</v>
      </c>
      <c r="AT190" s="51" t="s">
        <v>67</v>
      </c>
      <c r="AU190" s="51" t="s">
        <v>68</v>
      </c>
      <c r="AV190" s="51" t="s">
        <v>69</v>
      </c>
      <c r="AW190" s="51" t="s">
        <v>70</v>
      </c>
      <c r="AX190" s="51" t="s">
        <v>71</v>
      </c>
      <c r="AY190" s="51" t="s">
        <v>72</v>
      </c>
      <c r="AZ190" s="51" t="s">
        <v>73</v>
      </c>
      <c r="BA190" s="51" t="s">
        <v>74</v>
      </c>
      <c r="BB190" s="51" t="s">
        <v>75</v>
      </c>
      <c r="BC190" s="51" t="s">
        <v>76</v>
      </c>
      <c r="BD190" s="51" t="s">
        <v>77</v>
      </c>
      <c r="BE190" s="51" t="s">
        <v>78</v>
      </c>
      <c r="BF190" s="51" t="s">
        <v>79</v>
      </c>
      <c r="BG190" s="51" t="s">
        <v>80</v>
      </c>
      <c r="BH190" s="51" t="s">
        <v>81</v>
      </c>
      <c r="BI190" s="51" t="s">
        <v>82</v>
      </c>
      <c r="BJ190" s="51" t="s">
        <v>83</v>
      </c>
      <c r="BK190" s="51" t="s">
        <v>84</v>
      </c>
      <c r="BL190" s="51" t="s">
        <v>85</v>
      </c>
      <c r="BM190" s="51" t="s">
        <v>86</v>
      </c>
      <c r="BN190" s="51" t="s">
        <v>87</v>
      </c>
      <c r="BO190" s="51" t="s">
        <v>88</v>
      </c>
      <c r="BP190" s="51" t="s">
        <v>89</v>
      </c>
      <c r="BQ190" s="51" t="s">
        <v>90</v>
      </c>
      <c r="BR190" s="51" t="s">
        <v>91</v>
      </c>
      <c r="BS190" s="51" t="s">
        <v>92</v>
      </c>
      <c r="BT190" s="51" t="s">
        <v>93</v>
      </c>
      <c r="BU190" s="51" t="s">
        <v>94</v>
      </c>
      <c r="BV190" s="51" t="s">
        <v>95</v>
      </c>
      <c r="BW190" s="51" t="s">
        <v>96</v>
      </c>
      <c r="BX190" s="51" t="s">
        <v>97</v>
      </c>
      <c r="BY190" s="51" t="s">
        <v>98</v>
      </c>
      <c r="BZ190" s="51" t="s">
        <v>99</v>
      </c>
      <c r="CA190" s="51" t="s">
        <v>100</v>
      </c>
      <c r="CB190" s="51" t="s">
        <v>101</v>
      </c>
      <c r="CC190" s="51" t="s">
        <v>102</v>
      </c>
      <c r="CD190" s="51" t="s">
        <v>103</v>
      </c>
      <c r="CE190" s="51" t="s">
        <v>104</v>
      </c>
      <c r="CF190" s="51" t="s">
        <v>105</v>
      </c>
      <c r="CG190" s="51" t="s">
        <v>106</v>
      </c>
      <c r="CH190" s="51" t="s">
        <v>107</v>
      </c>
      <c r="CI190" s="51" t="s">
        <v>108</v>
      </c>
      <c r="CJ190" s="51" t="s">
        <v>109</v>
      </c>
      <c r="CK190" s="51" t="s">
        <v>110</v>
      </c>
      <c r="CL190" s="51" t="s">
        <v>111</v>
      </c>
      <c r="CM190" s="51" t="s">
        <v>112</v>
      </c>
      <c r="CN190" s="51" t="s">
        <v>113</v>
      </c>
      <c r="CO190" s="51" t="s">
        <v>114</v>
      </c>
      <c r="CP190" s="51" t="s">
        <v>115</v>
      </c>
      <c r="CQ190" s="51" t="s">
        <v>116</v>
      </c>
      <c r="CR190" s="51" t="s">
        <v>117</v>
      </c>
      <c r="CS190" s="51" t="s">
        <v>118</v>
      </c>
      <c r="CT190" s="51" t="s">
        <v>119</v>
      </c>
      <c r="CU190" s="51" t="s">
        <v>120</v>
      </c>
      <c r="CV190" s="51" t="s">
        <v>121</v>
      </c>
      <c r="CW190" s="51" t="s">
        <v>122</v>
      </c>
      <c r="CX190" s="51" t="s">
        <v>123</v>
      </c>
      <c r="CY190" s="51" t="s">
        <v>124</v>
      </c>
      <c r="CZ190" s="51" t="s">
        <v>125</v>
      </c>
      <c r="DA190" s="51" t="s">
        <v>126</v>
      </c>
      <c r="DB190" s="51" t="s">
        <v>127</v>
      </c>
      <c r="DC190" s="51" t="s">
        <v>128</v>
      </c>
      <c r="DD190" s="51" t="s">
        <v>129</v>
      </c>
      <c r="DE190" s="51" t="s">
        <v>130</v>
      </c>
      <c r="DF190" s="51" t="s">
        <v>131</v>
      </c>
      <c r="DG190" s="51" t="s">
        <v>132</v>
      </c>
      <c r="DH190" s="51" t="s">
        <v>133</v>
      </c>
      <c r="DI190" s="51" t="s">
        <v>134</v>
      </c>
      <c r="DJ190" s="51" t="s">
        <v>135</v>
      </c>
      <c r="DK190" s="51" t="s">
        <v>136</v>
      </c>
      <c r="DL190" s="51" t="s">
        <v>137</v>
      </c>
      <c r="DM190" s="52" t="s">
        <v>138</v>
      </c>
    </row>
    <row r="191" spans="5:118" x14ac:dyDescent="0.35">
      <c r="K191" s="7" t="s">
        <v>144</v>
      </c>
      <c r="L191" s="53">
        <f>SUM(L188,L154,L70)</f>
        <v>701530</v>
      </c>
      <c r="M191" s="39">
        <f>SUM(M188,M154,M70)</f>
        <v>240</v>
      </c>
      <c r="N191" s="5">
        <f>SUM(N188,N154,N70)</f>
        <v>8</v>
      </c>
      <c r="O191" s="5">
        <f t="shared" ref="O191:BZ191" si="36">SUM(O188,O154,O70)</f>
        <v>40</v>
      </c>
      <c r="P191" s="5">
        <f t="shared" si="36"/>
        <v>48</v>
      </c>
      <c r="Q191" s="5">
        <f t="shared" si="36"/>
        <v>80</v>
      </c>
      <c r="R191" s="5">
        <f t="shared" si="36"/>
        <v>64</v>
      </c>
      <c r="S191" s="5">
        <f t="shared" si="36"/>
        <v>0</v>
      </c>
      <c r="T191" s="5">
        <f t="shared" si="36"/>
        <v>0</v>
      </c>
      <c r="U191" s="5">
        <f t="shared" si="36"/>
        <v>0</v>
      </c>
      <c r="V191" s="5">
        <f t="shared" si="36"/>
        <v>0</v>
      </c>
      <c r="W191" s="5">
        <f t="shared" si="36"/>
        <v>0</v>
      </c>
      <c r="X191" s="5">
        <f t="shared" si="36"/>
        <v>0</v>
      </c>
      <c r="Y191" s="5">
        <f t="shared" si="36"/>
        <v>0</v>
      </c>
      <c r="Z191" s="5">
        <f t="shared" si="36"/>
        <v>0</v>
      </c>
      <c r="AA191" s="5">
        <f t="shared" si="36"/>
        <v>0</v>
      </c>
      <c r="AB191" s="5">
        <f t="shared" si="36"/>
        <v>0</v>
      </c>
      <c r="AC191" s="5">
        <f t="shared" si="36"/>
        <v>0</v>
      </c>
      <c r="AD191" s="5">
        <f t="shared" si="36"/>
        <v>0</v>
      </c>
      <c r="AE191" s="5">
        <f t="shared" si="36"/>
        <v>0</v>
      </c>
      <c r="AF191" s="5">
        <f t="shared" si="36"/>
        <v>0</v>
      </c>
      <c r="AG191" s="5">
        <f t="shared" si="36"/>
        <v>0</v>
      </c>
      <c r="AH191" s="5">
        <f t="shared" si="36"/>
        <v>0</v>
      </c>
      <c r="AI191" s="5">
        <f t="shared" si="36"/>
        <v>0</v>
      </c>
      <c r="AJ191" s="5">
        <f t="shared" si="36"/>
        <v>0</v>
      </c>
      <c r="AK191" s="5">
        <f t="shared" si="36"/>
        <v>0</v>
      </c>
      <c r="AL191" s="5">
        <f t="shared" si="36"/>
        <v>0</v>
      </c>
      <c r="AM191" s="5">
        <f t="shared" si="36"/>
        <v>0</v>
      </c>
      <c r="AN191" s="5">
        <f t="shared" si="36"/>
        <v>0</v>
      </c>
      <c r="AO191" s="5">
        <f t="shared" si="36"/>
        <v>0</v>
      </c>
      <c r="AP191" s="5">
        <f t="shared" si="36"/>
        <v>0</v>
      </c>
      <c r="AQ191" s="5">
        <f t="shared" si="36"/>
        <v>0</v>
      </c>
      <c r="AR191" s="5">
        <f t="shared" si="36"/>
        <v>0</v>
      </c>
      <c r="AS191" s="5">
        <f t="shared" si="36"/>
        <v>0</v>
      </c>
      <c r="AT191" s="5">
        <f t="shared" si="36"/>
        <v>0</v>
      </c>
      <c r="AU191" s="5">
        <f t="shared" si="36"/>
        <v>0</v>
      </c>
      <c r="AV191" s="5">
        <f t="shared" si="36"/>
        <v>0</v>
      </c>
      <c r="AW191" s="5">
        <f t="shared" si="36"/>
        <v>0</v>
      </c>
      <c r="AX191" s="5">
        <f t="shared" si="36"/>
        <v>0</v>
      </c>
      <c r="AY191" s="5">
        <f t="shared" si="36"/>
        <v>0</v>
      </c>
      <c r="AZ191" s="5">
        <f t="shared" si="36"/>
        <v>0</v>
      </c>
      <c r="BA191" s="5">
        <f t="shared" si="36"/>
        <v>0</v>
      </c>
      <c r="BB191" s="5">
        <f t="shared" si="36"/>
        <v>0</v>
      </c>
      <c r="BC191" s="5">
        <f t="shared" si="36"/>
        <v>0</v>
      </c>
      <c r="BD191" s="5">
        <f t="shared" si="36"/>
        <v>0</v>
      </c>
      <c r="BE191" s="5">
        <f t="shared" si="36"/>
        <v>0</v>
      </c>
      <c r="BF191" s="5">
        <f t="shared" si="36"/>
        <v>0</v>
      </c>
      <c r="BG191" s="5">
        <f t="shared" si="36"/>
        <v>0</v>
      </c>
      <c r="BH191" s="5">
        <f t="shared" si="36"/>
        <v>0</v>
      </c>
      <c r="BI191" s="5">
        <f t="shared" si="36"/>
        <v>0</v>
      </c>
      <c r="BJ191" s="5">
        <f t="shared" si="36"/>
        <v>0</v>
      </c>
      <c r="BK191" s="5">
        <f t="shared" si="36"/>
        <v>0</v>
      </c>
      <c r="BL191" s="5">
        <f t="shared" si="36"/>
        <v>0</v>
      </c>
      <c r="BM191" s="5">
        <f t="shared" si="36"/>
        <v>0</v>
      </c>
      <c r="BN191" s="5">
        <f t="shared" si="36"/>
        <v>0</v>
      </c>
      <c r="BO191" s="5">
        <f t="shared" si="36"/>
        <v>0</v>
      </c>
      <c r="BP191" s="5">
        <f t="shared" si="36"/>
        <v>0</v>
      </c>
      <c r="BQ191" s="5">
        <f t="shared" si="36"/>
        <v>0</v>
      </c>
      <c r="BR191" s="5">
        <f t="shared" si="36"/>
        <v>0</v>
      </c>
      <c r="BS191" s="5">
        <f t="shared" si="36"/>
        <v>0</v>
      </c>
      <c r="BT191" s="5">
        <f t="shared" si="36"/>
        <v>0</v>
      </c>
      <c r="BU191" s="5">
        <f t="shared" si="36"/>
        <v>0</v>
      </c>
      <c r="BV191" s="5">
        <f t="shared" si="36"/>
        <v>0</v>
      </c>
      <c r="BW191" s="5">
        <f t="shared" si="36"/>
        <v>0</v>
      </c>
      <c r="BX191" s="5">
        <f t="shared" si="36"/>
        <v>0</v>
      </c>
      <c r="BY191" s="5">
        <f t="shared" si="36"/>
        <v>0</v>
      </c>
      <c r="BZ191" s="5">
        <f t="shared" si="36"/>
        <v>0</v>
      </c>
      <c r="CA191" s="5">
        <f t="shared" ref="CA191:DM191" si="37">SUM(CA188,CA154,CA70)</f>
        <v>0</v>
      </c>
      <c r="CB191" s="5">
        <f t="shared" si="37"/>
        <v>0</v>
      </c>
      <c r="CC191" s="5">
        <f t="shared" si="37"/>
        <v>0</v>
      </c>
      <c r="CD191" s="5">
        <f t="shared" si="37"/>
        <v>0</v>
      </c>
      <c r="CE191" s="5">
        <f t="shared" si="37"/>
        <v>0</v>
      </c>
      <c r="CF191" s="5">
        <f t="shared" si="37"/>
        <v>0</v>
      </c>
      <c r="CG191" s="5">
        <f t="shared" si="37"/>
        <v>0</v>
      </c>
      <c r="CH191" s="5">
        <f t="shared" si="37"/>
        <v>0</v>
      </c>
      <c r="CI191" s="5">
        <f t="shared" si="37"/>
        <v>0</v>
      </c>
      <c r="CJ191" s="5">
        <f t="shared" si="37"/>
        <v>0</v>
      </c>
      <c r="CK191" s="5">
        <f t="shared" si="37"/>
        <v>0</v>
      </c>
      <c r="CL191" s="5">
        <f t="shared" si="37"/>
        <v>0</v>
      </c>
      <c r="CM191" s="5">
        <f t="shared" si="37"/>
        <v>0</v>
      </c>
      <c r="CN191" s="5">
        <f t="shared" si="37"/>
        <v>0</v>
      </c>
      <c r="CO191" s="5">
        <f t="shared" si="37"/>
        <v>0</v>
      </c>
      <c r="CP191" s="5">
        <f t="shared" si="37"/>
        <v>0</v>
      </c>
      <c r="CQ191" s="5">
        <f t="shared" si="37"/>
        <v>0</v>
      </c>
      <c r="CR191" s="5">
        <f t="shared" si="37"/>
        <v>0</v>
      </c>
      <c r="CS191" s="5">
        <f t="shared" si="37"/>
        <v>0</v>
      </c>
      <c r="CT191" s="5">
        <f t="shared" si="37"/>
        <v>0</v>
      </c>
      <c r="CU191" s="5">
        <f t="shared" si="37"/>
        <v>0</v>
      </c>
      <c r="CV191" s="5">
        <f t="shared" si="37"/>
        <v>0</v>
      </c>
      <c r="CW191" s="5">
        <f t="shared" si="37"/>
        <v>0</v>
      </c>
      <c r="CX191" s="5">
        <f t="shared" si="37"/>
        <v>0</v>
      </c>
      <c r="CY191" s="5">
        <f t="shared" si="37"/>
        <v>0</v>
      </c>
      <c r="CZ191" s="5">
        <f t="shared" si="37"/>
        <v>0</v>
      </c>
      <c r="DA191" s="5">
        <f t="shared" si="37"/>
        <v>0</v>
      </c>
      <c r="DB191" s="5">
        <f t="shared" si="37"/>
        <v>0</v>
      </c>
      <c r="DC191" s="5">
        <f t="shared" si="37"/>
        <v>0</v>
      </c>
      <c r="DD191" s="5">
        <f t="shared" si="37"/>
        <v>0</v>
      </c>
      <c r="DE191" s="5">
        <f t="shared" si="37"/>
        <v>0</v>
      </c>
      <c r="DF191" s="5">
        <f t="shared" si="37"/>
        <v>0</v>
      </c>
      <c r="DG191" s="5">
        <f t="shared" si="37"/>
        <v>0</v>
      </c>
      <c r="DH191" s="5">
        <f t="shared" si="37"/>
        <v>0</v>
      </c>
      <c r="DI191" s="5">
        <f t="shared" si="37"/>
        <v>0</v>
      </c>
      <c r="DJ191" s="5">
        <f t="shared" si="37"/>
        <v>0</v>
      </c>
      <c r="DK191" s="5">
        <f t="shared" si="37"/>
        <v>0</v>
      </c>
      <c r="DL191" s="5">
        <f t="shared" si="37"/>
        <v>0</v>
      </c>
      <c r="DM191" s="6">
        <f t="shared" si="37"/>
        <v>0</v>
      </c>
    </row>
    <row r="192" spans="5:118" ht="15" thickBot="1" x14ac:dyDescent="0.4">
      <c r="K192" s="255" t="s">
        <v>273</v>
      </c>
      <c r="L192" s="256"/>
      <c r="M192" s="257"/>
      <c r="N192" s="54">
        <f>SUMPRODUCT(N158:N187,$I$158:$I$187)+SUMPRODUCT(N124:N153,$I$124:$I$153)+SUMPRODUCT(N20:N69,$I$20:$I$69)</f>
        <v>22769</v>
      </c>
      <c r="O192" s="54">
        <f t="shared" ref="O192:BZ192" si="38">SUMPRODUCT(O158:O187,$I$158:$I$187)+SUMPRODUCT(O124:O153,$I$124:$I$153)+SUMPRODUCT(O20:O69,$I$20:$I$69)</f>
        <v>113845</v>
      </c>
      <c r="P192" s="54">
        <f t="shared" si="38"/>
        <v>138460</v>
      </c>
      <c r="Q192" s="54">
        <f t="shared" si="38"/>
        <v>236920</v>
      </c>
      <c r="R192" s="54">
        <f t="shared" si="38"/>
        <v>189536</v>
      </c>
      <c r="S192" s="54">
        <f t="shared" si="38"/>
        <v>0</v>
      </c>
      <c r="T192" s="54">
        <f t="shared" si="38"/>
        <v>0</v>
      </c>
      <c r="U192" s="54">
        <f t="shared" si="38"/>
        <v>0</v>
      </c>
      <c r="V192" s="54">
        <f t="shared" si="38"/>
        <v>0</v>
      </c>
      <c r="W192" s="54">
        <f t="shared" si="38"/>
        <v>0</v>
      </c>
      <c r="X192" s="54">
        <f t="shared" si="38"/>
        <v>0</v>
      </c>
      <c r="Y192" s="54">
        <f t="shared" si="38"/>
        <v>0</v>
      </c>
      <c r="Z192" s="54">
        <f t="shared" si="38"/>
        <v>0</v>
      </c>
      <c r="AA192" s="54">
        <f t="shared" si="38"/>
        <v>0</v>
      </c>
      <c r="AB192" s="54">
        <f t="shared" si="38"/>
        <v>0</v>
      </c>
      <c r="AC192" s="54">
        <f t="shared" si="38"/>
        <v>0</v>
      </c>
      <c r="AD192" s="54">
        <f t="shared" si="38"/>
        <v>0</v>
      </c>
      <c r="AE192" s="54">
        <f t="shared" si="38"/>
        <v>0</v>
      </c>
      <c r="AF192" s="54">
        <f t="shared" si="38"/>
        <v>0</v>
      </c>
      <c r="AG192" s="54">
        <f t="shared" si="38"/>
        <v>0</v>
      </c>
      <c r="AH192" s="54">
        <f t="shared" si="38"/>
        <v>0</v>
      </c>
      <c r="AI192" s="54">
        <f t="shared" si="38"/>
        <v>0</v>
      </c>
      <c r="AJ192" s="54">
        <f t="shared" si="38"/>
        <v>0</v>
      </c>
      <c r="AK192" s="54">
        <f t="shared" si="38"/>
        <v>0</v>
      </c>
      <c r="AL192" s="54">
        <f t="shared" si="38"/>
        <v>0</v>
      </c>
      <c r="AM192" s="54">
        <f t="shared" si="38"/>
        <v>0</v>
      </c>
      <c r="AN192" s="54">
        <f t="shared" si="38"/>
        <v>0</v>
      </c>
      <c r="AO192" s="54">
        <f t="shared" si="38"/>
        <v>0</v>
      </c>
      <c r="AP192" s="54">
        <f t="shared" si="38"/>
        <v>0</v>
      </c>
      <c r="AQ192" s="54">
        <f t="shared" si="38"/>
        <v>0</v>
      </c>
      <c r="AR192" s="54">
        <f t="shared" si="38"/>
        <v>0</v>
      </c>
      <c r="AS192" s="54">
        <f t="shared" si="38"/>
        <v>0</v>
      </c>
      <c r="AT192" s="54">
        <f t="shared" si="38"/>
        <v>0</v>
      </c>
      <c r="AU192" s="54">
        <f t="shared" si="38"/>
        <v>0</v>
      </c>
      <c r="AV192" s="54">
        <f t="shared" si="38"/>
        <v>0</v>
      </c>
      <c r="AW192" s="54">
        <f t="shared" si="38"/>
        <v>0</v>
      </c>
      <c r="AX192" s="54">
        <f t="shared" si="38"/>
        <v>0</v>
      </c>
      <c r="AY192" s="54">
        <f t="shared" si="38"/>
        <v>0</v>
      </c>
      <c r="AZ192" s="54">
        <f t="shared" si="38"/>
        <v>0</v>
      </c>
      <c r="BA192" s="54">
        <f t="shared" si="38"/>
        <v>0</v>
      </c>
      <c r="BB192" s="54">
        <f t="shared" si="38"/>
        <v>0</v>
      </c>
      <c r="BC192" s="54">
        <f t="shared" si="38"/>
        <v>0</v>
      </c>
      <c r="BD192" s="54">
        <f t="shared" si="38"/>
        <v>0</v>
      </c>
      <c r="BE192" s="54">
        <f t="shared" si="38"/>
        <v>0</v>
      </c>
      <c r="BF192" s="54">
        <f t="shared" si="38"/>
        <v>0</v>
      </c>
      <c r="BG192" s="54">
        <f t="shared" si="38"/>
        <v>0</v>
      </c>
      <c r="BH192" s="54">
        <f t="shared" si="38"/>
        <v>0</v>
      </c>
      <c r="BI192" s="54">
        <f t="shared" si="38"/>
        <v>0</v>
      </c>
      <c r="BJ192" s="54">
        <f t="shared" si="38"/>
        <v>0</v>
      </c>
      <c r="BK192" s="54">
        <f t="shared" si="38"/>
        <v>0</v>
      </c>
      <c r="BL192" s="54">
        <f t="shared" si="38"/>
        <v>0</v>
      </c>
      <c r="BM192" s="54">
        <f t="shared" si="38"/>
        <v>0</v>
      </c>
      <c r="BN192" s="54">
        <f t="shared" si="38"/>
        <v>0</v>
      </c>
      <c r="BO192" s="54">
        <f t="shared" si="38"/>
        <v>0</v>
      </c>
      <c r="BP192" s="54">
        <f t="shared" si="38"/>
        <v>0</v>
      </c>
      <c r="BQ192" s="54">
        <f t="shared" si="38"/>
        <v>0</v>
      </c>
      <c r="BR192" s="54">
        <f t="shared" si="38"/>
        <v>0</v>
      </c>
      <c r="BS192" s="54">
        <f t="shared" si="38"/>
        <v>0</v>
      </c>
      <c r="BT192" s="54">
        <f t="shared" si="38"/>
        <v>0</v>
      </c>
      <c r="BU192" s="54">
        <f t="shared" si="38"/>
        <v>0</v>
      </c>
      <c r="BV192" s="54">
        <f t="shared" si="38"/>
        <v>0</v>
      </c>
      <c r="BW192" s="54">
        <f t="shared" si="38"/>
        <v>0</v>
      </c>
      <c r="BX192" s="54">
        <f t="shared" si="38"/>
        <v>0</v>
      </c>
      <c r="BY192" s="54">
        <f t="shared" si="38"/>
        <v>0</v>
      </c>
      <c r="BZ192" s="54">
        <f t="shared" si="38"/>
        <v>0</v>
      </c>
      <c r="CA192" s="54">
        <f t="shared" ref="CA192:DM192" si="39">SUMPRODUCT(CA158:CA187,$I$158:$I$187)+SUMPRODUCT(CA124:CA153,$I$124:$I$153)+SUMPRODUCT(CA20:CA69,$I$20:$I$69)</f>
        <v>0</v>
      </c>
      <c r="CB192" s="54">
        <f t="shared" si="39"/>
        <v>0</v>
      </c>
      <c r="CC192" s="54">
        <f t="shared" si="39"/>
        <v>0</v>
      </c>
      <c r="CD192" s="54">
        <f t="shared" si="39"/>
        <v>0</v>
      </c>
      <c r="CE192" s="54">
        <f t="shared" si="39"/>
        <v>0</v>
      </c>
      <c r="CF192" s="54">
        <f t="shared" si="39"/>
        <v>0</v>
      </c>
      <c r="CG192" s="54">
        <f t="shared" si="39"/>
        <v>0</v>
      </c>
      <c r="CH192" s="54">
        <f t="shared" si="39"/>
        <v>0</v>
      </c>
      <c r="CI192" s="54">
        <f t="shared" si="39"/>
        <v>0</v>
      </c>
      <c r="CJ192" s="54">
        <f t="shared" si="39"/>
        <v>0</v>
      </c>
      <c r="CK192" s="54">
        <f t="shared" si="39"/>
        <v>0</v>
      </c>
      <c r="CL192" s="54">
        <f t="shared" si="39"/>
        <v>0</v>
      </c>
      <c r="CM192" s="54">
        <f t="shared" si="39"/>
        <v>0</v>
      </c>
      <c r="CN192" s="54">
        <f t="shared" si="39"/>
        <v>0</v>
      </c>
      <c r="CO192" s="54">
        <f t="shared" si="39"/>
        <v>0</v>
      </c>
      <c r="CP192" s="54">
        <f t="shared" si="39"/>
        <v>0</v>
      </c>
      <c r="CQ192" s="54">
        <f t="shared" si="39"/>
        <v>0</v>
      </c>
      <c r="CR192" s="54">
        <f t="shared" si="39"/>
        <v>0</v>
      </c>
      <c r="CS192" s="54">
        <f t="shared" si="39"/>
        <v>0</v>
      </c>
      <c r="CT192" s="54">
        <f t="shared" si="39"/>
        <v>0</v>
      </c>
      <c r="CU192" s="54">
        <f t="shared" si="39"/>
        <v>0</v>
      </c>
      <c r="CV192" s="54">
        <f t="shared" si="39"/>
        <v>0</v>
      </c>
      <c r="CW192" s="54">
        <f t="shared" si="39"/>
        <v>0</v>
      </c>
      <c r="CX192" s="54">
        <f t="shared" si="39"/>
        <v>0</v>
      </c>
      <c r="CY192" s="54">
        <f t="shared" si="39"/>
        <v>0</v>
      </c>
      <c r="CZ192" s="54">
        <f t="shared" si="39"/>
        <v>0</v>
      </c>
      <c r="DA192" s="54">
        <f t="shared" si="39"/>
        <v>0</v>
      </c>
      <c r="DB192" s="54">
        <f t="shared" si="39"/>
        <v>0</v>
      </c>
      <c r="DC192" s="54">
        <f t="shared" si="39"/>
        <v>0</v>
      </c>
      <c r="DD192" s="54">
        <f t="shared" si="39"/>
        <v>0</v>
      </c>
      <c r="DE192" s="54">
        <f t="shared" si="39"/>
        <v>0</v>
      </c>
      <c r="DF192" s="54">
        <f t="shared" si="39"/>
        <v>0</v>
      </c>
      <c r="DG192" s="54">
        <f t="shared" si="39"/>
        <v>0</v>
      </c>
      <c r="DH192" s="54">
        <f t="shared" si="39"/>
        <v>0</v>
      </c>
      <c r="DI192" s="54">
        <f t="shared" si="39"/>
        <v>0</v>
      </c>
      <c r="DJ192" s="54">
        <f t="shared" si="39"/>
        <v>0</v>
      </c>
      <c r="DK192" s="54">
        <f t="shared" si="39"/>
        <v>0</v>
      </c>
      <c r="DL192" s="54">
        <f t="shared" si="39"/>
        <v>0</v>
      </c>
      <c r="DM192" s="21">
        <f t="shared" si="39"/>
        <v>0</v>
      </c>
    </row>
  </sheetData>
  <sheetProtection formatRows="0" sort="0" autoFilter="0" pivotTables="0"/>
  <mergeCells count="2">
    <mergeCell ref="K192:M192"/>
    <mergeCell ref="K8:N8"/>
  </mergeCells>
  <conditionalFormatting sqref="A3:B3">
    <cfRule type="cellIs" dxfId="4" priority="1" operator="lessThan">
      <formula>0.4</formula>
    </cfRule>
    <cfRule type="cellIs" dxfId="3" priority="2" operator="between">
      <formula>0.4</formula>
      <formula>0.45</formula>
    </cfRule>
    <cfRule type="cellIs" dxfId="2" priority="3" operator="between">
      <formula>0.451</formula>
      <formula>0.52</formula>
    </cfRule>
    <cfRule type="cellIs" dxfId="1" priority="4" operator="between">
      <formula>0.521</formula>
      <formula>0.6</formula>
    </cfRule>
    <cfRule type="cellIs" dxfId="0" priority="5" operator="greaterThan">
      <formula>0.6</formula>
    </cfRule>
  </conditionalFormatting>
  <dataValidations count="3">
    <dataValidation allowBlank="1" error="Please enter a value between 0 and 40 hours." sqref="N90:DM119 N124:DM153 N158:DM187" xr:uid="{E74A6A47-D4C8-4CAE-BD02-677D8B3189C7}"/>
    <dataValidation type="whole" allowBlank="1" showErrorMessage="1" error="Please enter a value between 0 and 40 hours." sqref="N20:DM69" xr:uid="{85D0D74A-6A4E-427A-A5A5-30E6D607A4EA}">
      <formula1>0</formula1>
      <formula2>40</formula2>
    </dataValidation>
    <dataValidation type="decimal" operator="greaterThan" allowBlank="1" showErrorMessage="1" error="Please enter a value greater than 0." sqref="N74:DM83" xr:uid="{46A4F2F3-412D-4996-BB7A-5BDC7D02E47E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F07DC97-AC85-4ABA-810F-5B7A4C1B3434}">
          <x14:formula1>
            <xm:f>'KL Resource List'!$B$3:$B$6</xm:f>
          </x14:formula1>
          <xm:sqref>G20:G69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0DD97-2B67-4DC8-B788-523578850FD5}">
  <sheetPr codeName="Sheet4"/>
  <dimension ref="B1:E6"/>
  <sheetViews>
    <sheetView workbookViewId="0">
      <selection activeCell="E6" sqref="E6"/>
    </sheetView>
  </sheetViews>
  <sheetFormatPr defaultRowHeight="14.5" x14ac:dyDescent="0.35"/>
  <cols>
    <col min="1" max="1" width="4.90625" bestFit="1" customWidth="1"/>
    <col min="2" max="2" width="20.36328125" bestFit="1" customWidth="1"/>
    <col min="3" max="3" width="23.6328125" bestFit="1" customWidth="1"/>
    <col min="4" max="4" width="15.6328125" bestFit="1" customWidth="1"/>
    <col min="5" max="5" width="33.08984375" bestFit="1" customWidth="1"/>
  </cols>
  <sheetData>
    <row r="1" spans="2:5" ht="15" thickBot="1" x14ac:dyDescent="0.4"/>
    <row r="2" spans="2:5" ht="15" thickBot="1" x14ac:dyDescent="0.4">
      <c r="B2" s="1" t="s">
        <v>149</v>
      </c>
      <c r="C2" s="2" t="s">
        <v>147</v>
      </c>
      <c r="D2" s="2" t="s">
        <v>148</v>
      </c>
      <c r="E2" s="135" t="s">
        <v>323</v>
      </c>
    </row>
    <row r="3" spans="2:5" x14ac:dyDescent="0.35">
      <c r="B3" s="129" t="s">
        <v>322</v>
      </c>
      <c r="C3" s="130">
        <v>6150</v>
      </c>
      <c r="D3" s="131">
        <v>4123.0769230769238</v>
      </c>
      <c r="E3" s="134">
        <f>C3*0.013</f>
        <v>79.95</v>
      </c>
    </row>
    <row r="4" spans="2:5" x14ac:dyDescent="0.35">
      <c r="B4" s="129" t="s">
        <v>320</v>
      </c>
      <c r="C4" s="130">
        <v>1450</v>
      </c>
      <c r="D4" s="131">
        <v>1000</v>
      </c>
      <c r="E4" s="134">
        <f>C4*0.013</f>
        <v>18.849999999999998</v>
      </c>
    </row>
    <row r="5" spans="2:5" x14ac:dyDescent="0.35">
      <c r="B5" s="129" t="s">
        <v>316</v>
      </c>
      <c r="C5" s="131"/>
      <c r="D5" s="131">
        <v>12353.846153846154</v>
      </c>
      <c r="E5" s="134"/>
    </row>
    <row r="6" spans="2:5" x14ac:dyDescent="0.35">
      <c r="B6" s="129" t="s">
        <v>321</v>
      </c>
      <c r="C6" s="130">
        <v>2580</v>
      </c>
      <c r="D6" s="131">
        <v>1769.2307692307693</v>
      </c>
      <c r="E6" s="134">
        <f>C6*0.013</f>
        <v>33.54</v>
      </c>
    </row>
  </sheetData>
  <sheetProtection formatRows="0" sort="0" autoFilter="0" pivotTables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9AB05-F532-43FD-9974-263978606ECD}">
  <sheetPr codeName="Sheet5"/>
  <dimension ref="B2:D4"/>
  <sheetViews>
    <sheetView workbookViewId="0">
      <selection activeCell="D6" sqref="D6"/>
    </sheetView>
  </sheetViews>
  <sheetFormatPr defaultRowHeight="14.5" x14ac:dyDescent="0.35"/>
  <cols>
    <col min="2" max="2" width="12.453125" bestFit="1" customWidth="1"/>
  </cols>
  <sheetData>
    <row r="2" spans="2:4" x14ac:dyDescent="0.35">
      <c r="B2" t="s">
        <v>9</v>
      </c>
      <c r="D2" t="s">
        <v>282</v>
      </c>
    </row>
    <row r="3" spans="2:4" x14ac:dyDescent="0.35">
      <c r="B3" t="s">
        <v>10</v>
      </c>
      <c r="D3" s="63">
        <v>1.2999999999999999E-2</v>
      </c>
    </row>
    <row r="4" spans="2:4" x14ac:dyDescent="0.35">
      <c r="B4" t="s">
        <v>11</v>
      </c>
    </row>
  </sheetData>
  <sheetProtection algorithmName="SHA-512" hashValue="HqnFz7R0atzGIBsF2jLhNBHThd9mQeDvaiHu1wcH8diY5Jnkt9Q4y2ufvoHYTgNgLpfgCWzC8nVMSMxUC1aG1g==" saltValue="EfQ6tIGtA6ZGM7g3v1/C7Q==" spinCount="100000" sheet="1" objects="1" scenarios="1" formatRows="0" sort="0" autoFilter="0" pivotTables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36"/>
  <sheetViews>
    <sheetView tabSelected="1" workbookViewId="0"/>
  </sheetViews>
  <sheetFormatPr defaultRowHeight="14.5" x14ac:dyDescent="0.35"/>
  <cols>
    <col min="1" max="1" width="6" customWidth="1"/>
    <col min="2" max="2" width="28" customWidth="1"/>
    <col min="3" max="3" width="14" customWidth="1"/>
    <col min="4" max="4" width="12" customWidth="1"/>
    <col min="5" max="5" width="16" customWidth="1"/>
    <col min="6" max="8" width="18" customWidth="1"/>
    <col min="9" max="9" width="24" customWidth="1"/>
    <col min="10" max="10" width="50" customWidth="1"/>
  </cols>
  <sheetData>
    <row r="1" spans="1:10" ht="17" x14ac:dyDescent="0.4">
      <c r="A1" s="136" t="s">
        <v>331</v>
      </c>
    </row>
    <row r="2" spans="1:10" x14ac:dyDescent="0.35">
      <c r="A2" s="137" t="s">
        <v>332</v>
      </c>
    </row>
    <row r="4" spans="1:10" x14ac:dyDescent="0.35">
      <c r="A4" s="138" t="s">
        <v>333</v>
      </c>
    </row>
    <row r="5" spans="1:10" x14ac:dyDescent="0.35">
      <c r="A5" s="139" t="s">
        <v>334</v>
      </c>
      <c r="B5" s="140" t="s">
        <v>335</v>
      </c>
      <c r="C5" s="141" t="s">
        <v>336</v>
      </c>
      <c r="D5" s="142" t="s">
        <v>337</v>
      </c>
      <c r="E5" s="143" t="s">
        <v>338</v>
      </c>
      <c r="F5" s="144" t="s">
        <v>339</v>
      </c>
      <c r="G5" s="145" t="s">
        <v>340</v>
      </c>
      <c r="H5" s="146" t="s">
        <v>341</v>
      </c>
      <c r="I5" s="147" t="s">
        <v>342</v>
      </c>
      <c r="J5" s="148" t="s">
        <v>343</v>
      </c>
    </row>
    <row r="6" spans="1:10" x14ac:dyDescent="0.35">
      <c r="A6" s="149">
        <v>1</v>
      </c>
      <c r="B6" s="150" t="s">
        <v>344</v>
      </c>
      <c r="C6" s="151" t="s">
        <v>329</v>
      </c>
      <c r="D6" s="152" t="s">
        <v>320</v>
      </c>
      <c r="E6" s="153" t="s">
        <v>345</v>
      </c>
      <c r="F6" s="154">
        <v>22769</v>
      </c>
      <c r="G6" s="155">
        <v>2846.13</v>
      </c>
      <c r="H6" s="156" t="s">
        <v>346</v>
      </c>
      <c r="I6" s="157" t="s">
        <v>347</v>
      </c>
      <c r="J6" s="158">
        <v>160</v>
      </c>
    </row>
    <row r="7" spans="1:10" x14ac:dyDescent="0.35">
      <c r="A7" s="159">
        <v>2</v>
      </c>
      <c r="B7" s="160" t="s">
        <v>348</v>
      </c>
      <c r="C7" s="161" t="s">
        <v>330</v>
      </c>
      <c r="D7" s="162" t="s">
        <v>320</v>
      </c>
      <c r="E7" s="163" t="s">
        <v>349</v>
      </c>
      <c r="F7" s="164">
        <v>24615</v>
      </c>
      <c r="G7" s="165">
        <v>3076.88</v>
      </c>
      <c r="H7" s="166" t="s">
        <v>350</v>
      </c>
      <c r="I7" s="167" t="s">
        <v>347</v>
      </c>
      <c r="J7" s="168">
        <v>80</v>
      </c>
    </row>
    <row r="10" spans="1:10" x14ac:dyDescent="0.35">
      <c r="A10" s="169" t="s">
        <v>351</v>
      </c>
    </row>
    <row r="11" spans="1:10" x14ac:dyDescent="0.35">
      <c r="A11" s="170" t="s">
        <v>334</v>
      </c>
      <c r="B11" s="171" t="s">
        <v>336</v>
      </c>
      <c r="C11" s="172" t="s">
        <v>352</v>
      </c>
      <c r="D11" s="173" t="s">
        <v>353</v>
      </c>
      <c r="E11" s="174" t="s">
        <v>354</v>
      </c>
      <c r="F11" s="175" t="s">
        <v>355</v>
      </c>
      <c r="G11" s="176" t="s">
        <v>356</v>
      </c>
      <c r="H11" s="177" t="s">
        <v>357</v>
      </c>
      <c r="I11" s="178" t="s">
        <v>358</v>
      </c>
      <c r="J11" s="179" t="s">
        <v>359</v>
      </c>
    </row>
    <row r="12" spans="1:10" x14ac:dyDescent="0.35">
      <c r="A12" s="180">
        <v>1</v>
      </c>
      <c r="B12" s="181" t="s">
        <v>329</v>
      </c>
      <c r="C12" s="182" t="s">
        <v>360</v>
      </c>
      <c r="D12" s="183">
        <v>22</v>
      </c>
      <c r="E12" s="184">
        <v>1</v>
      </c>
      <c r="F12" s="185">
        <v>1</v>
      </c>
      <c r="G12" s="186">
        <v>20</v>
      </c>
      <c r="H12" s="187">
        <v>160</v>
      </c>
      <c r="I12" s="188" t="s">
        <v>361</v>
      </c>
      <c r="J12" s="189" t="s">
        <v>362</v>
      </c>
    </row>
    <row r="13" spans="1:10" x14ac:dyDescent="0.35">
      <c r="A13" s="190" t="s">
        <v>363</v>
      </c>
      <c r="B13" s="191" t="s">
        <v>364</v>
      </c>
      <c r="C13" s="192" t="s">
        <v>363</v>
      </c>
      <c r="D13" s="193">
        <v>22</v>
      </c>
      <c r="E13" s="194">
        <v>1</v>
      </c>
      <c r="F13" s="195">
        <v>1</v>
      </c>
      <c r="G13" s="196">
        <v>20</v>
      </c>
      <c r="H13" s="197">
        <v>160</v>
      </c>
      <c r="I13" s="198" t="s">
        <v>363</v>
      </c>
      <c r="J13" s="199" t="s">
        <v>363</v>
      </c>
    </row>
    <row r="14" spans="1:10" x14ac:dyDescent="0.35">
      <c r="A14" s="200">
        <v>2</v>
      </c>
      <c r="B14" s="201" t="s">
        <v>330</v>
      </c>
      <c r="C14" s="202" t="s">
        <v>360</v>
      </c>
      <c r="D14" s="203">
        <v>12</v>
      </c>
      <c r="E14" s="204">
        <v>1</v>
      </c>
      <c r="F14" s="205">
        <v>1</v>
      </c>
      <c r="G14" s="206">
        <v>10</v>
      </c>
      <c r="H14" s="207">
        <v>80</v>
      </c>
      <c r="I14" s="208" t="s">
        <v>365</v>
      </c>
      <c r="J14" s="209" t="s">
        <v>362</v>
      </c>
    </row>
    <row r="15" spans="1:10" x14ac:dyDescent="0.35">
      <c r="A15" s="210" t="s">
        <v>363</v>
      </c>
      <c r="B15" s="211" t="s">
        <v>366</v>
      </c>
      <c r="C15" s="212" t="s">
        <v>363</v>
      </c>
      <c r="D15" s="213">
        <v>12</v>
      </c>
      <c r="E15" s="214">
        <v>1</v>
      </c>
      <c r="F15" s="215">
        <v>1</v>
      </c>
      <c r="G15" s="216">
        <v>10</v>
      </c>
      <c r="H15" s="217">
        <v>80</v>
      </c>
      <c r="I15" s="218" t="s">
        <v>363</v>
      </c>
      <c r="J15" s="219" t="s">
        <v>363</v>
      </c>
    </row>
    <row r="18" spans="1:3" x14ac:dyDescent="0.35">
      <c r="A18" s="220" t="s">
        <v>367</v>
      </c>
    </row>
    <row r="19" spans="1:3" x14ac:dyDescent="0.35">
      <c r="A19" s="221" t="s">
        <v>368</v>
      </c>
      <c r="B19" s="222" t="s">
        <v>369</v>
      </c>
      <c r="C19" s="223" t="s">
        <v>370</v>
      </c>
    </row>
    <row r="20" spans="1:3" x14ac:dyDescent="0.35">
      <c r="A20" s="224" t="s">
        <v>371</v>
      </c>
      <c r="B20" s="225" t="s">
        <v>372</v>
      </c>
      <c r="C20" s="226" t="s">
        <v>373</v>
      </c>
    </row>
    <row r="21" spans="1:3" x14ac:dyDescent="0.35">
      <c r="A21" s="227" t="s">
        <v>374</v>
      </c>
      <c r="B21" s="228" t="s">
        <v>375</v>
      </c>
      <c r="C21" s="229" t="s">
        <v>376</v>
      </c>
    </row>
    <row r="22" spans="1:3" x14ac:dyDescent="0.35">
      <c r="A22" s="230" t="s">
        <v>377</v>
      </c>
      <c r="B22" s="231" t="s">
        <v>378</v>
      </c>
      <c r="C22" s="232" t="s">
        <v>379</v>
      </c>
    </row>
    <row r="23" spans="1:3" x14ac:dyDescent="0.35">
      <c r="A23" s="233" t="s">
        <v>380</v>
      </c>
      <c r="B23" s="234" t="s">
        <v>381</v>
      </c>
      <c r="C23" s="235" t="s">
        <v>379</v>
      </c>
    </row>
    <row r="24" spans="1:3" x14ac:dyDescent="0.35">
      <c r="A24" s="236" t="s">
        <v>382</v>
      </c>
      <c r="B24" s="237" t="s">
        <v>383</v>
      </c>
      <c r="C24" s="238" t="s">
        <v>384</v>
      </c>
    </row>
    <row r="25" spans="1:3" x14ac:dyDescent="0.35">
      <c r="A25" s="239" t="s">
        <v>385</v>
      </c>
      <c r="B25" s="240" t="s">
        <v>386</v>
      </c>
      <c r="C25" s="241" t="s">
        <v>384</v>
      </c>
    </row>
    <row r="26" spans="1:3" x14ac:dyDescent="0.35">
      <c r="A26" s="242" t="s">
        <v>387</v>
      </c>
      <c r="B26" s="243" t="s">
        <v>388</v>
      </c>
      <c r="C26" s="244" t="s">
        <v>379</v>
      </c>
    </row>
    <row r="29" spans="1:3" x14ac:dyDescent="0.35">
      <c r="A29" s="245" t="s">
        <v>389</v>
      </c>
    </row>
    <row r="30" spans="1:3" x14ac:dyDescent="0.35">
      <c r="A30" s="246" t="s">
        <v>390</v>
      </c>
    </row>
    <row r="31" spans="1:3" x14ac:dyDescent="0.35">
      <c r="A31" s="247" t="s">
        <v>391</v>
      </c>
    </row>
    <row r="32" spans="1:3" x14ac:dyDescent="0.35">
      <c r="A32" s="248" t="s">
        <v>392</v>
      </c>
    </row>
    <row r="33" spans="1:1" x14ac:dyDescent="0.35">
      <c r="A33" s="249" t="s">
        <v>393</v>
      </c>
    </row>
    <row r="34" spans="1:1" x14ac:dyDescent="0.35">
      <c r="A34" s="250" t="s">
        <v>394</v>
      </c>
    </row>
    <row r="35" spans="1:1" x14ac:dyDescent="0.35">
      <c r="A35" s="251" t="s">
        <v>395</v>
      </c>
    </row>
    <row r="36" spans="1:1" x14ac:dyDescent="0.35">
      <c r="A36" s="252" t="s">
        <v>396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62504168DD55845932BC2E505299595" ma:contentTypeVersion="7" ma:contentTypeDescription="Create a new document." ma:contentTypeScope="" ma:versionID="581a1c8a44a2e1a6259f3b323bc21a26">
  <xsd:schema xmlns:xsd="http://www.w3.org/2001/XMLSchema" xmlns:xs="http://www.w3.org/2001/XMLSchema" xmlns:p="http://schemas.microsoft.com/office/2006/metadata/properties" xmlns:ns2="64dccf47-912d-4673-88f0-bf4752349a47" targetNamespace="http://schemas.microsoft.com/office/2006/metadata/properties" ma:root="true" ma:fieldsID="f8b426282f98436f2c43600c004dcd68" ns2:_="">
    <xsd:import namespace="64dccf47-912d-4673-88f0-bf4752349a4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dccf47-912d-4673-88f0-bf4752349a4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E38DB1F-CF87-46A4-827D-1AE8E7473D5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C18D3FB-35D4-4921-A3C7-B04166C357AB}">
  <ds:schemaRefs>
    <ds:schemaRef ds:uri="2be7533a-df7f-419f-aca7-b54da3a5a166"/>
    <ds:schemaRef ds:uri="http://schemas.microsoft.com/office/2006/metadata/properties"/>
    <ds:schemaRef ds:uri="http://purl.org/dc/terms/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18fdfcd2-1be0-475c-a96f-a382e24f6818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1F4FD87-C7FB-4453-B1B7-A2300708A3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4dccf47-912d-4673-88f0-bf4752349a4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FrontPage</vt:lpstr>
      <vt:lpstr>Calculation</vt:lpstr>
      <vt:lpstr>ProjectContractType</vt:lpstr>
      <vt:lpstr>Resource_List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Anjana Sharma</dc:creator>
  <cp:lastModifiedBy>Anjana Sharma</cp:lastModifiedBy>
  <dcterms:created xsi:type="dcterms:W3CDTF">2023-12-08T19:09:16Z</dcterms:created>
  <dcterms:modified xsi:type="dcterms:W3CDTF">2026-06-19T14:20:12Z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2023-12-11T22:02:46Z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a3cd8481-1c97-45c6-a76c-aefeb6db0903</vt:lpwstr>
  </property>
  <property fmtid="{D5CDD505-2E9C-101B-9397-08002B2CF9AE}" pid="8" name="MSIP_Label_e14c1950-b3a8-4278-88f1-6df69d73b9d5_ContentBits">
    <vt:lpwstr>0</vt:lpwstr>
  </property>
  <property fmtid="{D5CDD505-2E9C-101B-9397-08002B2CF9AE}" pid="9" name="ContentTypeId">
    <vt:lpwstr>0x010100262504168DD55845932BC2E505299595</vt:lpwstr>
  </property>
  <property fmtid="{D5CDD505-2E9C-101B-9397-08002B2CF9AE}" pid="10" name="MediaServiceImageTags">
    <vt:lpwstr/>
  </property>
</Properties>
</file>