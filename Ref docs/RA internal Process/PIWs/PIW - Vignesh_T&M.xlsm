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ockwellautomation-my.sharepoint.com/personal/anjana_sharma_rockwellautomation_com/Documents/Anjana Sharma - All Important Documents/1. My work/RA Work/AM-APP/Ref docs/RA internal Process/PIWs/"/>
    </mc:Choice>
  </mc:AlternateContent>
  <xr:revisionPtr revIDLastSave="1" documentId="8_{A4528291-9CB9-4D35-A745-EF9BCB8EE7D6}" xr6:coauthVersionLast="47" xr6:coauthVersionMax="47" xr10:uidLastSave="{DD83469B-1A7B-40B2-B10B-19C28AEF677C}"/>
  <bookViews>
    <workbookView xWindow="-110" yWindow="-110" windowWidth="19420" windowHeight="11500" activeTab="5" xr2:uid="{03127074-84F6-4729-B4B5-73360BFC3C21}"/>
  </bookViews>
  <sheets>
    <sheet name="FrontPage" sheetId="1" r:id="rId1"/>
    <sheet name="Fixed Fee" sheetId="5" state="veryHidden" r:id="rId2"/>
    <sheet name="T&amp;M" sheetId="6" state="veryHidden" r:id="rId3"/>
    <sheet name="KL Resource List" sheetId="4" state="veryHidden" r:id="rId4"/>
    <sheet name="Data Validation" sheetId="2" state="veryHidden" r:id="rId5"/>
    <sheet name="Calculation" sheetId="7" r:id="rId6"/>
  </sheets>
  <externalReferences>
    <externalReference r:id="rId7"/>
  </externalReferences>
  <definedNames>
    <definedName name="EmployeeList" localSheetId="2">[1]!Table_Test_EmployeeList[Name]</definedName>
    <definedName name="EmployeeList">[1]!Table_Test_EmployeeList[Name]</definedName>
    <definedName name="KL_Cost" localSheetId="2">[1]!KLCOST[#All]</definedName>
    <definedName name="KL_Cost">[1]!KLCOST[#All]</definedName>
    <definedName name="KL_Rate" localSheetId="2">[1]!KLRATE[#All]</definedName>
    <definedName name="KL_Rate">[1]!KLRATE[#All]</definedName>
    <definedName name="KL_Titles" localSheetId="2">[1]!KLCOST[Title]</definedName>
    <definedName name="KL_Titles">[1]!KLCOST[Title]</definedName>
    <definedName name="ProjectContractType">FrontPage!$B$7</definedName>
    <definedName name="ProjectCurrency">[1]FrontPage!$B$8</definedName>
    <definedName name="RequiredSkillet" localSheetId="2">[1]!Required_Skillset[Title]</definedName>
    <definedName name="RequiredSkillet">[1]!Required_Skillset[Title]</definedName>
    <definedName name="Resource_List">'KL Resource List'!$B:$D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E4" i="4"/>
  <c r="E3" i="4"/>
  <c r="CZ192" i="6"/>
  <c r="CN192" i="6"/>
  <c r="CL192" i="6"/>
  <c r="BI192" i="6"/>
  <c r="BH192" i="6"/>
  <c r="N192" i="6"/>
  <c r="DF191" i="6"/>
  <c r="DE191" i="6"/>
  <c r="CR191" i="6"/>
  <c r="CP191" i="6"/>
  <c r="CB191" i="6"/>
  <c r="BR191" i="6"/>
  <c r="BH191" i="6"/>
  <c r="AZ191" i="6"/>
  <c r="AN191" i="6"/>
  <c r="AM191" i="6"/>
  <c r="AL191" i="6"/>
  <c r="AF191" i="6"/>
  <c r="X191" i="6"/>
  <c r="DM188" i="6"/>
  <c r="DM191" i="6" s="1"/>
  <c r="DL188" i="6"/>
  <c r="DL191" i="6" s="1"/>
  <c r="DK188" i="6"/>
  <c r="DK191" i="6" s="1"/>
  <c r="DJ188" i="6"/>
  <c r="DI188" i="6"/>
  <c r="DH188" i="6"/>
  <c r="DH191" i="6" s="1"/>
  <c r="DG188" i="6"/>
  <c r="DF188" i="6"/>
  <c r="DE188" i="6"/>
  <c r="DD188" i="6"/>
  <c r="DC188" i="6"/>
  <c r="DB188" i="6"/>
  <c r="DA188" i="6"/>
  <c r="CZ188" i="6"/>
  <c r="CZ191" i="6" s="1"/>
  <c r="CY188" i="6"/>
  <c r="CY191" i="6" s="1"/>
  <c r="CX188" i="6"/>
  <c r="CW188" i="6"/>
  <c r="CW191" i="6" s="1"/>
  <c r="CV188" i="6"/>
  <c r="CU188" i="6"/>
  <c r="CT188" i="6"/>
  <c r="CS188" i="6"/>
  <c r="CR188" i="6"/>
  <c r="CQ188" i="6"/>
  <c r="CP188" i="6"/>
  <c r="CO188" i="6"/>
  <c r="CN188" i="6"/>
  <c r="CM188" i="6"/>
  <c r="CL188" i="6"/>
  <c r="CL191" i="6" s="1"/>
  <c r="CK188" i="6"/>
  <c r="CK191" i="6" s="1"/>
  <c r="CJ188" i="6"/>
  <c r="CJ191" i="6" s="1"/>
  <c r="CI188" i="6"/>
  <c r="CI191" i="6" s="1"/>
  <c r="CH188" i="6"/>
  <c r="CG188" i="6"/>
  <c r="CG191" i="6" s="1"/>
  <c r="CF188" i="6"/>
  <c r="CF191" i="6" s="1"/>
  <c r="CE188" i="6"/>
  <c r="CD188" i="6"/>
  <c r="CD191" i="6" s="1"/>
  <c r="CC188" i="6"/>
  <c r="CB188" i="6"/>
  <c r="CA188" i="6"/>
  <c r="BZ188" i="6"/>
  <c r="BY188" i="6"/>
  <c r="BX188" i="6"/>
  <c r="BX191" i="6" s="1"/>
  <c r="BW188" i="6"/>
  <c r="BW191" i="6" s="1"/>
  <c r="BV188" i="6"/>
  <c r="BU188" i="6"/>
  <c r="BU191" i="6" s="1"/>
  <c r="BT188" i="6"/>
  <c r="BS188" i="6"/>
  <c r="BR188" i="6"/>
  <c r="BQ188" i="6"/>
  <c r="BP188" i="6"/>
  <c r="BP191" i="6" s="1"/>
  <c r="BO188" i="6"/>
  <c r="BN188" i="6"/>
  <c r="BM188" i="6"/>
  <c r="BL188" i="6"/>
  <c r="BK188" i="6"/>
  <c r="BJ188" i="6"/>
  <c r="BJ191" i="6" s="1"/>
  <c r="BI188" i="6"/>
  <c r="BI191" i="6" s="1"/>
  <c r="BH188" i="6"/>
  <c r="BG188" i="6"/>
  <c r="BG191" i="6" s="1"/>
  <c r="BF188" i="6"/>
  <c r="BE188" i="6"/>
  <c r="BD188" i="6"/>
  <c r="BD191" i="6" s="1"/>
  <c r="BC188" i="6"/>
  <c r="BB188" i="6"/>
  <c r="BB191" i="6" s="1"/>
  <c r="BA188" i="6"/>
  <c r="AZ188" i="6"/>
  <c r="AY188" i="6"/>
  <c r="AX188" i="6"/>
  <c r="AW188" i="6"/>
  <c r="AV188" i="6"/>
  <c r="AV191" i="6" s="1"/>
  <c r="AU188" i="6"/>
  <c r="AU191" i="6" s="1"/>
  <c r="AT188" i="6"/>
  <c r="AS188" i="6"/>
  <c r="AS191" i="6" s="1"/>
  <c r="AR188" i="6"/>
  <c r="AQ188" i="6"/>
  <c r="AP188" i="6"/>
  <c r="AP191" i="6" s="1"/>
  <c r="AO188" i="6"/>
  <c r="AN188" i="6"/>
  <c r="AM188" i="6"/>
  <c r="AL188" i="6"/>
  <c r="AK188" i="6"/>
  <c r="AJ188" i="6"/>
  <c r="AI188" i="6"/>
  <c r="AH188" i="6"/>
  <c r="AH191" i="6" s="1"/>
  <c r="AG188" i="6"/>
  <c r="AG191" i="6" s="1"/>
  <c r="AF188" i="6"/>
  <c r="AE188" i="6"/>
  <c r="AE191" i="6" s="1"/>
  <c r="AD188" i="6"/>
  <c r="AC188" i="6"/>
  <c r="AC191" i="6" s="1"/>
  <c r="AB188" i="6"/>
  <c r="AB191" i="6" s="1"/>
  <c r="AA188" i="6"/>
  <c r="Z188" i="6"/>
  <c r="Z191" i="6" s="1"/>
  <c r="Y188" i="6"/>
  <c r="X188" i="6"/>
  <c r="W188" i="6"/>
  <c r="V188" i="6"/>
  <c r="U188" i="6"/>
  <c r="T188" i="6"/>
  <c r="T191" i="6" s="1"/>
  <c r="S188" i="6"/>
  <c r="S191" i="6" s="1"/>
  <c r="R188" i="6"/>
  <c r="R191" i="6" s="1"/>
  <c r="Q188" i="6"/>
  <c r="Q191" i="6" s="1"/>
  <c r="P188" i="6"/>
  <c r="O188" i="6"/>
  <c r="N188" i="6"/>
  <c r="N191" i="6" s="1"/>
  <c r="M187" i="6"/>
  <c r="L187" i="6"/>
  <c r="K187" i="6"/>
  <c r="M186" i="6"/>
  <c r="L186" i="6"/>
  <c r="K186" i="6"/>
  <c r="M185" i="6"/>
  <c r="L185" i="6" s="1"/>
  <c r="K185" i="6"/>
  <c r="M184" i="6"/>
  <c r="L184" i="6"/>
  <c r="K184" i="6"/>
  <c r="M183" i="6"/>
  <c r="L183" i="6" s="1"/>
  <c r="K183" i="6"/>
  <c r="M182" i="6"/>
  <c r="L182" i="6"/>
  <c r="K182" i="6"/>
  <c r="M181" i="6"/>
  <c r="L181" i="6"/>
  <c r="K181" i="6"/>
  <c r="M180" i="6"/>
  <c r="L180" i="6" s="1"/>
  <c r="K180" i="6"/>
  <c r="M179" i="6"/>
  <c r="L179" i="6"/>
  <c r="K179" i="6"/>
  <c r="M178" i="6"/>
  <c r="L178" i="6" s="1"/>
  <c r="K178" i="6"/>
  <c r="M177" i="6"/>
  <c r="L177" i="6" s="1"/>
  <c r="K177" i="6"/>
  <c r="M176" i="6"/>
  <c r="L176" i="6"/>
  <c r="K176" i="6"/>
  <c r="M175" i="6"/>
  <c r="L175" i="6"/>
  <c r="K175" i="6"/>
  <c r="M174" i="6"/>
  <c r="L174" i="6"/>
  <c r="K174" i="6"/>
  <c r="M173" i="6"/>
  <c r="L173" i="6" s="1"/>
  <c r="K173" i="6"/>
  <c r="M172" i="6"/>
  <c r="L172" i="6"/>
  <c r="K172" i="6"/>
  <c r="M171" i="6"/>
  <c r="L171" i="6"/>
  <c r="K171" i="6"/>
  <c r="M170" i="6"/>
  <c r="L170" i="6" s="1"/>
  <c r="K170" i="6"/>
  <c r="M169" i="6"/>
  <c r="L169" i="6" s="1"/>
  <c r="K169" i="6"/>
  <c r="M168" i="6"/>
  <c r="L168" i="6"/>
  <c r="K168" i="6"/>
  <c r="M167" i="6"/>
  <c r="L167" i="6" s="1"/>
  <c r="K167" i="6"/>
  <c r="M166" i="6"/>
  <c r="L166" i="6" s="1"/>
  <c r="K166" i="6"/>
  <c r="M165" i="6"/>
  <c r="L165" i="6" s="1"/>
  <c r="K165" i="6"/>
  <c r="M164" i="6"/>
  <c r="L164" i="6" s="1"/>
  <c r="K164" i="6"/>
  <c r="M163" i="6"/>
  <c r="L163" i="6" s="1"/>
  <c r="K163" i="6"/>
  <c r="M162" i="6"/>
  <c r="L162" i="6"/>
  <c r="K162" i="6"/>
  <c r="M161" i="6"/>
  <c r="L161" i="6"/>
  <c r="K161" i="6"/>
  <c r="M160" i="6"/>
  <c r="L160" i="6" s="1"/>
  <c r="K160" i="6"/>
  <c r="M159" i="6"/>
  <c r="K159" i="6"/>
  <c r="M158" i="6"/>
  <c r="L158" i="6"/>
  <c r="K158" i="6"/>
  <c r="DM154" i="6"/>
  <c r="DL154" i="6"/>
  <c r="DK154" i="6"/>
  <c r="DJ154" i="6"/>
  <c r="DJ191" i="6" s="1"/>
  <c r="DI154" i="6"/>
  <c r="DH154" i="6"/>
  <c r="DG154" i="6"/>
  <c r="DF154" i="6"/>
  <c r="DE154" i="6"/>
  <c r="DD154" i="6"/>
  <c r="DD191" i="6" s="1"/>
  <c r="DC154" i="6"/>
  <c r="DB154" i="6"/>
  <c r="DA154" i="6"/>
  <c r="DA191" i="6" s="1"/>
  <c r="CZ154" i="6"/>
  <c r="CY154" i="6"/>
  <c r="CX154" i="6"/>
  <c r="CX191" i="6" s="1"/>
  <c r="CW154" i="6"/>
  <c r="CV154" i="6"/>
  <c r="CV191" i="6" s="1"/>
  <c r="CU154" i="6"/>
  <c r="CT154" i="6"/>
  <c r="CS154" i="6"/>
  <c r="CR154" i="6"/>
  <c r="CQ154" i="6"/>
  <c r="CQ191" i="6" s="1"/>
  <c r="CP154" i="6"/>
  <c r="CO154" i="6"/>
  <c r="CO191" i="6" s="1"/>
  <c r="CN154" i="6"/>
  <c r="CM154" i="6"/>
  <c r="CM191" i="6" s="1"/>
  <c r="CL154" i="6"/>
  <c r="CK154" i="6"/>
  <c r="CJ154" i="6"/>
  <c r="CI154" i="6"/>
  <c r="CH154" i="6"/>
  <c r="CH191" i="6" s="1"/>
  <c r="CG154" i="6"/>
  <c r="CF154" i="6"/>
  <c r="CE154" i="6"/>
  <c r="CD154" i="6"/>
  <c r="CC154" i="6"/>
  <c r="CC191" i="6" s="1"/>
  <c r="CB154" i="6"/>
  <c r="CA154" i="6"/>
  <c r="CA191" i="6" s="1"/>
  <c r="BZ154" i="6"/>
  <c r="BY154" i="6"/>
  <c r="BY191" i="6" s="1"/>
  <c r="BX154" i="6"/>
  <c r="BW154" i="6"/>
  <c r="BV154" i="6"/>
  <c r="BV191" i="6" s="1"/>
  <c r="BU154" i="6"/>
  <c r="BT154" i="6"/>
  <c r="BT191" i="6" s="1"/>
  <c r="BS154" i="6"/>
  <c r="BR154" i="6"/>
  <c r="BQ154" i="6"/>
  <c r="BP154" i="6"/>
  <c r="BO154" i="6"/>
  <c r="BO191" i="6" s="1"/>
  <c r="BN154" i="6"/>
  <c r="BN191" i="6" s="1"/>
  <c r="BM154" i="6"/>
  <c r="BM191" i="6" s="1"/>
  <c r="BL154" i="6"/>
  <c r="BK154" i="6"/>
  <c r="BK191" i="6" s="1"/>
  <c r="BJ154" i="6"/>
  <c r="BI154" i="6"/>
  <c r="BH154" i="6"/>
  <c r="BG154" i="6"/>
  <c r="BF154" i="6"/>
  <c r="BF191" i="6" s="1"/>
  <c r="BE154" i="6"/>
  <c r="BD154" i="6"/>
  <c r="BC154" i="6"/>
  <c r="BB154" i="6"/>
  <c r="BA154" i="6"/>
  <c r="BA191" i="6" s="1"/>
  <c r="AZ154" i="6"/>
  <c r="AY154" i="6"/>
  <c r="AY191" i="6" s="1"/>
  <c r="AX154" i="6"/>
  <c r="AW154" i="6"/>
  <c r="AW191" i="6" s="1"/>
  <c r="AV154" i="6"/>
  <c r="AU154" i="6"/>
  <c r="AT154" i="6"/>
  <c r="AT191" i="6" s="1"/>
  <c r="AS154" i="6"/>
  <c r="AR154" i="6"/>
  <c r="AR191" i="6" s="1"/>
  <c r="AQ154" i="6"/>
  <c r="AP154" i="6"/>
  <c r="AO154" i="6"/>
  <c r="AN154" i="6"/>
  <c r="AM154" i="6"/>
  <c r="AL154" i="6"/>
  <c r="AK154" i="6"/>
  <c r="AJ154" i="6"/>
  <c r="AI154" i="6"/>
  <c r="AI191" i="6" s="1"/>
  <c r="AH154" i="6"/>
  <c r="AG154" i="6"/>
  <c r="AF154" i="6"/>
  <c r="AE154" i="6"/>
  <c r="AD154" i="6"/>
  <c r="AD191" i="6" s="1"/>
  <c r="AC154" i="6"/>
  <c r="AB154" i="6"/>
  <c r="AA154" i="6"/>
  <c r="Z154" i="6"/>
  <c r="Y154" i="6"/>
  <c r="Y191" i="6" s="1"/>
  <c r="X154" i="6"/>
  <c r="W154" i="6"/>
  <c r="W191" i="6" s="1"/>
  <c r="V154" i="6"/>
  <c r="U154" i="6"/>
  <c r="U191" i="6" s="1"/>
  <c r="T154" i="6"/>
  <c r="S154" i="6"/>
  <c r="R154" i="6"/>
  <c r="Q154" i="6"/>
  <c r="P154" i="6"/>
  <c r="P191" i="6" s="1"/>
  <c r="O154" i="6"/>
  <c r="N154" i="6"/>
  <c r="M153" i="6"/>
  <c r="L153" i="6"/>
  <c r="K153" i="6"/>
  <c r="M152" i="6"/>
  <c r="L152" i="6" s="1"/>
  <c r="K152" i="6"/>
  <c r="M151" i="6"/>
  <c r="L151" i="6" s="1"/>
  <c r="K151" i="6"/>
  <c r="M150" i="6"/>
  <c r="L150" i="6" s="1"/>
  <c r="K150" i="6"/>
  <c r="M149" i="6"/>
  <c r="L149" i="6"/>
  <c r="K149" i="6"/>
  <c r="M148" i="6"/>
  <c r="L148" i="6" s="1"/>
  <c r="K148" i="6"/>
  <c r="M147" i="6"/>
  <c r="L147" i="6"/>
  <c r="K147" i="6"/>
  <c r="M146" i="6"/>
  <c r="L146" i="6"/>
  <c r="K146" i="6"/>
  <c r="M145" i="6"/>
  <c r="L145" i="6" s="1"/>
  <c r="K145" i="6"/>
  <c r="M144" i="6"/>
  <c r="L144" i="6"/>
  <c r="K144" i="6"/>
  <c r="M143" i="6"/>
  <c r="L143" i="6"/>
  <c r="K143" i="6"/>
  <c r="M142" i="6"/>
  <c r="L142" i="6" s="1"/>
  <c r="K142" i="6"/>
  <c r="M141" i="6"/>
  <c r="L141" i="6"/>
  <c r="K141" i="6"/>
  <c r="M140" i="6"/>
  <c r="L140" i="6" s="1"/>
  <c r="K140" i="6"/>
  <c r="M139" i="6"/>
  <c r="L139" i="6"/>
  <c r="K139" i="6"/>
  <c r="M138" i="6"/>
  <c r="L138" i="6"/>
  <c r="K138" i="6"/>
  <c r="M137" i="6"/>
  <c r="L137" i="6" s="1"/>
  <c r="K137" i="6"/>
  <c r="M136" i="6"/>
  <c r="L136" i="6"/>
  <c r="K136" i="6"/>
  <c r="M135" i="6"/>
  <c r="L135" i="6" s="1"/>
  <c r="K135" i="6"/>
  <c r="M134" i="6"/>
  <c r="L134" i="6" s="1"/>
  <c r="K134" i="6"/>
  <c r="M133" i="6"/>
  <c r="L133" i="6"/>
  <c r="K133" i="6"/>
  <c r="M132" i="6"/>
  <c r="L132" i="6"/>
  <c r="K132" i="6"/>
  <c r="M131" i="6"/>
  <c r="L131" i="6"/>
  <c r="K131" i="6"/>
  <c r="M130" i="6"/>
  <c r="L130" i="6" s="1"/>
  <c r="K130" i="6"/>
  <c r="M129" i="6"/>
  <c r="L129" i="6"/>
  <c r="K129" i="6"/>
  <c r="M128" i="6"/>
  <c r="L128" i="6"/>
  <c r="K128" i="6"/>
  <c r="M127" i="6"/>
  <c r="L127" i="6"/>
  <c r="K127" i="6"/>
  <c r="M126" i="6"/>
  <c r="L126" i="6"/>
  <c r="K126" i="6"/>
  <c r="M125" i="6"/>
  <c r="L125" i="6" s="1"/>
  <c r="K125" i="6"/>
  <c r="M124" i="6"/>
  <c r="K124" i="6"/>
  <c r="DM120" i="6"/>
  <c r="DL120" i="6"/>
  <c r="DK120" i="6"/>
  <c r="DJ120" i="6"/>
  <c r="DI120" i="6"/>
  <c r="DH120" i="6"/>
  <c r="DG120" i="6"/>
  <c r="DF120" i="6"/>
  <c r="DE120" i="6"/>
  <c r="DD120" i="6"/>
  <c r="DC120" i="6"/>
  <c r="DB120" i="6"/>
  <c r="DA120" i="6"/>
  <c r="CZ120" i="6"/>
  <c r="CY120" i="6"/>
  <c r="CX120" i="6"/>
  <c r="CW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19" i="6"/>
  <c r="L119" i="6"/>
  <c r="K119" i="6"/>
  <c r="M118" i="6"/>
  <c r="L118" i="6"/>
  <c r="K118" i="6"/>
  <c r="M117" i="6"/>
  <c r="L117" i="6"/>
  <c r="K117" i="6"/>
  <c r="M116" i="6"/>
  <c r="L116" i="6"/>
  <c r="K116" i="6"/>
  <c r="M115" i="6"/>
  <c r="L115" i="6" s="1"/>
  <c r="K115" i="6"/>
  <c r="M114" i="6"/>
  <c r="L114" i="6" s="1"/>
  <c r="K114" i="6"/>
  <c r="M113" i="6"/>
  <c r="L113" i="6" s="1"/>
  <c r="K113" i="6"/>
  <c r="M112" i="6"/>
  <c r="L112" i="6"/>
  <c r="K112" i="6"/>
  <c r="M111" i="6"/>
  <c r="L111" i="6"/>
  <c r="K111" i="6"/>
  <c r="M110" i="6"/>
  <c r="L110" i="6" s="1"/>
  <c r="K110" i="6"/>
  <c r="M109" i="6"/>
  <c r="L109" i="6"/>
  <c r="K109" i="6"/>
  <c r="M108" i="6"/>
  <c r="L108" i="6"/>
  <c r="K108" i="6"/>
  <c r="M107" i="6"/>
  <c r="L107" i="6"/>
  <c r="K107" i="6"/>
  <c r="M106" i="6"/>
  <c r="L106" i="6"/>
  <c r="K106" i="6"/>
  <c r="M105" i="6"/>
  <c r="L105" i="6"/>
  <c r="K105" i="6"/>
  <c r="M104" i="6"/>
  <c r="L104" i="6" s="1"/>
  <c r="K104" i="6"/>
  <c r="M103" i="6"/>
  <c r="L103" i="6"/>
  <c r="K103" i="6"/>
  <c r="M102" i="6"/>
  <c r="L102" i="6" s="1"/>
  <c r="K102" i="6"/>
  <c r="M101" i="6"/>
  <c r="L101" i="6" s="1"/>
  <c r="K101" i="6"/>
  <c r="M100" i="6"/>
  <c r="L100" i="6"/>
  <c r="K100" i="6"/>
  <c r="M99" i="6"/>
  <c r="L99" i="6" s="1"/>
  <c r="K99" i="6"/>
  <c r="M98" i="6"/>
  <c r="L98" i="6" s="1"/>
  <c r="K98" i="6"/>
  <c r="M97" i="6"/>
  <c r="L97" i="6" s="1"/>
  <c r="K97" i="6"/>
  <c r="M96" i="6"/>
  <c r="L96" i="6" s="1"/>
  <c r="K96" i="6"/>
  <c r="M95" i="6"/>
  <c r="L95" i="6" s="1"/>
  <c r="K95" i="6"/>
  <c r="M94" i="6"/>
  <c r="L94" i="6"/>
  <c r="K94" i="6"/>
  <c r="M93" i="6"/>
  <c r="L93" i="6"/>
  <c r="K93" i="6"/>
  <c r="M92" i="6"/>
  <c r="L92" i="6" s="1"/>
  <c r="K92" i="6"/>
  <c r="M91" i="6"/>
  <c r="L91" i="6"/>
  <c r="K91" i="6"/>
  <c r="M90" i="6"/>
  <c r="L90" i="6"/>
  <c r="K90" i="6"/>
  <c r="P84" i="6"/>
  <c r="M83" i="6"/>
  <c r="L83" i="6" s="1"/>
  <c r="M82" i="6"/>
  <c r="L82" i="6" s="1"/>
  <c r="M81" i="6"/>
  <c r="L81" i="6" s="1"/>
  <c r="M80" i="6"/>
  <c r="L80" i="6"/>
  <c r="M79" i="6"/>
  <c r="L79" i="6"/>
  <c r="M78" i="6"/>
  <c r="L78" i="6" s="1"/>
  <c r="M77" i="6"/>
  <c r="L77" i="6"/>
  <c r="M76" i="6"/>
  <c r="L76" i="6" s="1"/>
  <c r="M75" i="6"/>
  <c r="L75" i="6"/>
  <c r="M74" i="6"/>
  <c r="L74" i="6" s="1"/>
  <c r="N72" i="6"/>
  <c r="O72" i="6" s="1"/>
  <c r="P72" i="6" s="1"/>
  <c r="DM70" i="6"/>
  <c r="DL70" i="6"/>
  <c r="DK70" i="6"/>
  <c r="DJ70" i="6"/>
  <c r="DI70" i="6"/>
  <c r="DI191" i="6" s="1"/>
  <c r="DH70" i="6"/>
  <c r="DG70" i="6"/>
  <c r="DF70" i="6"/>
  <c r="DE70" i="6"/>
  <c r="DD70" i="6"/>
  <c r="DC70" i="6"/>
  <c r="DB70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Q191" i="6" s="1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O191" i="6" s="1"/>
  <c r="N70" i="6"/>
  <c r="O84" i="6" s="1"/>
  <c r="M69" i="6"/>
  <c r="DN69" i="6" s="1"/>
  <c r="H69" i="6"/>
  <c r="K69" i="6" s="1"/>
  <c r="DN68" i="6"/>
  <c r="M68" i="6"/>
  <c r="H68" i="6"/>
  <c r="K68" i="6" s="1"/>
  <c r="M67" i="6"/>
  <c r="DN67" i="6" s="1"/>
  <c r="H67" i="6"/>
  <c r="M66" i="6"/>
  <c r="DN66" i="6" s="1"/>
  <c r="J66" i="6"/>
  <c r="H66" i="6"/>
  <c r="DN65" i="6"/>
  <c r="M65" i="6"/>
  <c r="K65" i="6"/>
  <c r="J65" i="6"/>
  <c r="L65" i="6" s="1"/>
  <c r="H65" i="6"/>
  <c r="DN64" i="6"/>
  <c r="M64" i="6"/>
  <c r="K64" i="6"/>
  <c r="J64" i="6"/>
  <c r="L64" i="6" s="1"/>
  <c r="H64" i="6"/>
  <c r="DN63" i="6"/>
  <c r="M63" i="6"/>
  <c r="K63" i="6" s="1"/>
  <c r="H63" i="6"/>
  <c r="J63" i="6" s="1"/>
  <c r="L63" i="6" s="1"/>
  <c r="M62" i="6"/>
  <c r="DN62" i="6" s="1"/>
  <c r="H62" i="6"/>
  <c r="DN61" i="6"/>
  <c r="M61" i="6"/>
  <c r="H61" i="6"/>
  <c r="K61" i="6" s="1"/>
  <c r="M60" i="6"/>
  <c r="DN60" i="6" s="1"/>
  <c r="H60" i="6"/>
  <c r="DN59" i="6"/>
  <c r="M59" i="6"/>
  <c r="J59" i="6"/>
  <c r="L59" i="6" s="1"/>
  <c r="H59" i="6"/>
  <c r="K59" i="6" s="1"/>
  <c r="M58" i="6"/>
  <c r="DN58" i="6" s="1"/>
  <c r="H58" i="6"/>
  <c r="K58" i="6" s="1"/>
  <c r="DN57" i="6"/>
  <c r="M57" i="6"/>
  <c r="L57" i="6"/>
  <c r="K57" i="6"/>
  <c r="J57" i="6"/>
  <c r="H57" i="6"/>
  <c r="M56" i="6"/>
  <c r="H56" i="6"/>
  <c r="J56" i="6" s="1"/>
  <c r="DN55" i="6"/>
  <c r="M55" i="6"/>
  <c r="K55" i="6"/>
  <c r="J55" i="6"/>
  <c r="L55" i="6" s="1"/>
  <c r="H55" i="6"/>
  <c r="DN54" i="6"/>
  <c r="M54" i="6"/>
  <c r="H54" i="6"/>
  <c r="K54" i="6" s="1"/>
  <c r="M53" i="6"/>
  <c r="DN53" i="6" s="1"/>
  <c r="H53" i="6"/>
  <c r="M52" i="6"/>
  <c r="J52" i="6"/>
  <c r="H52" i="6"/>
  <c r="M51" i="6"/>
  <c r="DN51" i="6" s="1"/>
  <c r="J51" i="6"/>
  <c r="L51" i="6" s="1"/>
  <c r="H51" i="6"/>
  <c r="K51" i="6" s="1"/>
  <c r="DN50" i="6"/>
  <c r="M50" i="6"/>
  <c r="K50" i="6" s="1"/>
  <c r="J50" i="6"/>
  <c r="L50" i="6" s="1"/>
  <c r="H50" i="6"/>
  <c r="M49" i="6"/>
  <c r="DN49" i="6" s="1"/>
  <c r="H49" i="6"/>
  <c r="J49" i="6" s="1"/>
  <c r="L49" i="6" s="1"/>
  <c r="M48" i="6"/>
  <c r="J48" i="6"/>
  <c r="H48" i="6"/>
  <c r="DN47" i="6"/>
  <c r="M47" i="6"/>
  <c r="K47" i="6"/>
  <c r="J47" i="6"/>
  <c r="L47" i="6" s="1"/>
  <c r="H47" i="6"/>
  <c r="M46" i="6"/>
  <c r="DN46" i="6" s="1"/>
  <c r="H46" i="6"/>
  <c r="J46" i="6" s="1"/>
  <c r="L46" i="6" s="1"/>
  <c r="M45" i="6"/>
  <c r="DN45" i="6" s="1"/>
  <c r="J45" i="6"/>
  <c r="L45" i="6" s="1"/>
  <c r="H45" i="6"/>
  <c r="M44" i="6"/>
  <c r="DN44" i="6" s="1"/>
  <c r="K44" i="6"/>
  <c r="J44" i="6"/>
  <c r="H44" i="6"/>
  <c r="M43" i="6"/>
  <c r="J43" i="6"/>
  <c r="L43" i="6" s="1"/>
  <c r="H43" i="6"/>
  <c r="M42" i="6"/>
  <c r="K42" i="6" s="1"/>
  <c r="L42" i="6"/>
  <c r="H42" i="6"/>
  <c r="J42" i="6" s="1"/>
  <c r="DN41" i="6"/>
  <c r="M41" i="6"/>
  <c r="H41" i="6"/>
  <c r="DN40" i="6"/>
  <c r="M40" i="6"/>
  <c r="K40" i="6"/>
  <c r="H40" i="6"/>
  <c r="J40" i="6" s="1"/>
  <c r="L40" i="6" s="1"/>
  <c r="M39" i="6"/>
  <c r="L39" i="6"/>
  <c r="J39" i="6"/>
  <c r="H39" i="6"/>
  <c r="M38" i="6"/>
  <c r="DN38" i="6" s="1"/>
  <c r="H38" i="6"/>
  <c r="K38" i="6" s="1"/>
  <c r="DN37" i="6"/>
  <c r="M37" i="6"/>
  <c r="K37" i="6"/>
  <c r="H37" i="6"/>
  <c r="J37" i="6" s="1"/>
  <c r="L37" i="6" s="1"/>
  <c r="M36" i="6"/>
  <c r="K36" i="6" s="1"/>
  <c r="J36" i="6"/>
  <c r="H36" i="6"/>
  <c r="M35" i="6"/>
  <c r="DN35" i="6" s="1"/>
  <c r="K35" i="6"/>
  <c r="H35" i="6"/>
  <c r="J35" i="6" s="1"/>
  <c r="DN34" i="6"/>
  <c r="M34" i="6"/>
  <c r="K34" i="6" s="1"/>
  <c r="J34" i="6"/>
  <c r="L34" i="6" s="1"/>
  <c r="H34" i="6"/>
  <c r="DN33" i="6"/>
  <c r="M33" i="6"/>
  <c r="J33" i="6"/>
  <c r="L33" i="6" s="1"/>
  <c r="H33" i="6"/>
  <c r="K33" i="6" s="1"/>
  <c r="M32" i="6"/>
  <c r="DN32" i="6" s="1"/>
  <c r="H32" i="6"/>
  <c r="J32" i="6" s="1"/>
  <c r="L32" i="6" s="1"/>
  <c r="M31" i="6"/>
  <c r="DN31" i="6" s="1"/>
  <c r="H31" i="6"/>
  <c r="DN30" i="6"/>
  <c r="M30" i="6"/>
  <c r="H30" i="6"/>
  <c r="M29" i="6"/>
  <c r="L29" i="6" s="1"/>
  <c r="J29" i="6"/>
  <c r="H29" i="6"/>
  <c r="DN28" i="6"/>
  <c r="M28" i="6"/>
  <c r="K28" i="6"/>
  <c r="H28" i="6"/>
  <c r="J28" i="6" s="1"/>
  <c r="L28" i="6" s="1"/>
  <c r="DN27" i="6"/>
  <c r="M27" i="6"/>
  <c r="K27" i="6"/>
  <c r="J27" i="6"/>
  <c r="L27" i="6" s="1"/>
  <c r="H27" i="6"/>
  <c r="DN26" i="6"/>
  <c r="M26" i="6"/>
  <c r="H26" i="6"/>
  <c r="K26" i="6" s="1"/>
  <c r="M25" i="6"/>
  <c r="DN25" i="6" s="1"/>
  <c r="K25" i="6"/>
  <c r="J25" i="6"/>
  <c r="L25" i="6" s="1"/>
  <c r="H25" i="6"/>
  <c r="M24" i="6"/>
  <c r="DN24" i="6" s="1"/>
  <c r="H24" i="6"/>
  <c r="K24" i="6" s="1"/>
  <c r="DN23" i="6"/>
  <c r="M23" i="6"/>
  <c r="H23" i="6"/>
  <c r="M22" i="6"/>
  <c r="DN22" i="6" s="1"/>
  <c r="K22" i="6"/>
  <c r="J22" i="6"/>
  <c r="L22" i="6" s="1"/>
  <c r="H22" i="6"/>
  <c r="M21" i="6"/>
  <c r="DN21" i="6" s="1"/>
  <c r="L21" i="6"/>
  <c r="K21" i="6"/>
  <c r="H21" i="6"/>
  <c r="J21" i="6" s="1"/>
  <c r="M20" i="6"/>
  <c r="DN20" i="6" s="1"/>
  <c r="L20" i="6"/>
  <c r="K20" i="6"/>
  <c r="J20" i="6"/>
  <c r="I20" i="6"/>
  <c r="H20" i="6"/>
  <c r="R18" i="6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P18" i="6"/>
  <c r="Q18" i="6" s="1"/>
  <c r="O18" i="6"/>
  <c r="N18" i="6"/>
  <c r="DH189" i="5"/>
  <c r="DE189" i="5"/>
  <c r="DD189" i="5"/>
  <c r="CY189" i="5"/>
  <c r="CO189" i="5"/>
  <c r="CM189" i="5"/>
  <c r="CL189" i="5"/>
  <c r="CC189" i="5"/>
  <c r="CB189" i="5"/>
  <c r="BW189" i="5"/>
  <c r="BO189" i="5"/>
  <c r="BN189" i="5"/>
  <c r="BM189" i="5"/>
  <c r="BJ189" i="5"/>
  <c r="BI189" i="5"/>
  <c r="BA189" i="5"/>
  <c r="AZ189" i="5"/>
  <c r="AW189" i="5"/>
  <c r="AV189" i="5"/>
  <c r="AU189" i="5"/>
  <c r="AS189" i="5"/>
  <c r="AR189" i="5"/>
  <c r="AQ189" i="5"/>
  <c r="AH189" i="5"/>
  <c r="AG189" i="5"/>
  <c r="AC189" i="5"/>
  <c r="AB189" i="5"/>
  <c r="Y189" i="5"/>
  <c r="X189" i="5"/>
  <c r="U189" i="5"/>
  <c r="P189" i="5"/>
  <c r="O189" i="5"/>
  <c r="DL186" i="5"/>
  <c r="DK186" i="5"/>
  <c r="DJ186" i="5"/>
  <c r="DI186" i="5"/>
  <c r="DH186" i="5"/>
  <c r="DG186" i="5"/>
  <c r="DF186" i="5"/>
  <c r="DE186" i="5"/>
  <c r="DD186" i="5"/>
  <c r="DC186" i="5"/>
  <c r="DC189" i="5" s="1"/>
  <c r="DB186" i="5"/>
  <c r="DA186" i="5"/>
  <c r="CZ186" i="5"/>
  <c r="CY186" i="5"/>
  <c r="CX186" i="5"/>
  <c r="CW186" i="5"/>
  <c r="CV186" i="5"/>
  <c r="CV189" i="5" s="1"/>
  <c r="CU186" i="5"/>
  <c r="CT186" i="5"/>
  <c r="CS186" i="5"/>
  <c r="CR186" i="5"/>
  <c r="CQ186" i="5"/>
  <c r="CQ189" i="5" s="1"/>
  <c r="CP186" i="5"/>
  <c r="CP189" i="5" s="1"/>
  <c r="CO186" i="5"/>
  <c r="CN186" i="5"/>
  <c r="CM186" i="5"/>
  <c r="CL186" i="5"/>
  <c r="CK186" i="5"/>
  <c r="CJ186" i="5"/>
  <c r="CI186" i="5"/>
  <c r="CH186" i="5"/>
  <c r="CH189" i="5" s="1"/>
  <c r="CG186" i="5"/>
  <c r="CF186" i="5"/>
  <c r="CE186" i="5"/>
  <c r="CD186" i="5"/>
  <c r="CC186" i="5"/>
  <c r="CB186" i="5"/>
  <c r="CA186" i="5"/>
  <c r="BZ186" i="5"/>
  <c r="BY186" i="5"/>
  <c r="BX186" i="5"/>
  <c r="BW186" i="5"/>
  <c r="BV186" i="5"/>
  <c r="BU186" i="5"/>
  <c r="BU189" i="5" s="1"/>
  <c r="BT186" i="5"/>
  <c r="BS186" i="5"/>
  <c r="BS189" i="5" s="1"/>
  <c r="BR186" i="5"/>
  <c r="BQ186" i="5"/>
  <c r="BP186" i="5"/>
  <c r="BO186" i="5"/>
  <c r="BN186" i="5"/>
  <c r="BM186" i="5"/>
  <c r="BL186" i="5"/>
  <c r="BK186" i="5"/>
  <c r="BJ186" i="5"/>
  <c r="BI186" i="5"/>
  <c r="BH186" i="5"/>
  <c r="BG186" i="5"/>
  <c r="BF186" i="5"/>
  <c r="BE186" i="5"/>
  <c r="BD186" i="5"/>
  <c r="BD189" i="5" s="1"/>
  <c r="BC186" i="5"/>
  <c r="BB186" i="5"/>
  <c r="BA186" i="5"/>
  <c r="AZ186" i="5"/>
  <c r="AY186" i="5"/>
  <c r="AX186" i="5"/>
  <c r="AW186" i="5"/>
  <c r="AV186" i="5"/>
  <c r="AU186" i="5"/>
  <c r="AT186" i="5"/>
  <c r="AS186" i="5"/>
  <c r="AR186" i="5"/>
  <c r="AQ186" i="5"/>
  <c r="AP186" i="5"/>
  <c r="AO186" i="5"/>
  <c r="AN186" i="5"/>
  <c r="AM186" i="5"/>
  <c r="AL186" i="5"/>
  <c r="AK186" i="5"/>
  <c r="AJ186" i="5"/>
  <c r="AI186" i="5"/>
  <c r="AH186" i="5"/>
  <c r="AG186" i="5"/>
  <c r="AF186" i="5"/>
  <c r="AE186" i="5"/>
  <c r="AE189" i="5" s="1"/>
  <c r="AD186" i="5"/>
  <c r="AD189" i="5" s="1"/>
  <c r="AC186" i="5"/>
  <c r="AB186" i="5"/>
  <c r="AA186" i="5"/>
  <c r="Z186" i="5"/>
  <c r="Y186" i="5"/>
  <c r="X186" i="5"/>
  <c r="W186" i="5"/>
  <c r="V186" i="5"/>
  <c r="U186" i="5"/>
  <c r="T186" i="5"/>
  <c r="S186" i="5"/>
  <c r="R186" i="5"/>
  <c r="Q186" i="5"/>
  <c r="P186" i="5"/>
  <c r="O186" i="5"/>
  <c r="N186" i="5"/>
  <c r="M186" i="5"/>
  <c r="L185" i="5"/>
  <c r="K185" i="5"/>
  <c r="J185" i="5"/>
  <c r="L184" i="5"/>
  <c r="K184" i="5"/>
  <c r="J184" i="5"/>
  <c r="L183" i="5"/>
  <c r="K183" i="5"/>
  <c r="J183" i="5"/>
  <c r="L182" i="5"/>
  <c r="K182" i="5" s="1"/>
  <c r="J182" i="5"/>
  <c r="L181" i="5"/>
  <c r="K181" i="5" s="1"/>
  <c r="J181" i="5"/>
  <c r="L180" i="5"/>
  <c r="K180" i="5" s="1"/>
  <c r="J180" i="5"/>
  <c r="L179" i="5"/>
  <c r="K179" i="5"/>
  <c r="J179" i="5"/>
  <c r="L178" i="5"/>
  <c r="K178" i="5" s="1"/>
  <c r="J178" i="5"/>
  <c r="L177" i="5"/>
  <c r="K177" i="5" s="1"/>
  <c r="J177" i="5"/>
  <c r="L176" i="5"/>
  <c r="K176" i="5"/>
  <c r="J176" i="5"/>
  <c r="L175" i="5"/>
  <c r="K175" i="5"/>
  <c r="J175" i="5"/>
  <c r="L174" i="5"/>
  <c r="K174" i="5"/>
  <c r="J174" i="5"/>
  <c r="L173" i="5"/>
  <c r="K173" i="5" s="1"/>
  <c r="J173" i="5"/>
  <c r="L172" i="5"/>
  <c r="K172" i="5"/>
  <c r="J172" i="5"/>
  <c r="L171" i="5"/>
  <c r="K171" i="5" s="1"/>
  <c r="J171" i="5"/>
  <c r="L170" i="5"/>
  <c r="K170" i="5"/>
  <c r="J170" i="5"/>
  <c r="L169" i="5"/>
  <c r="K169" i="5"/>
  <c r="J169" i="5"/>
  <c r="L168" i="5"/>
  <c r="K168" i="5" s="1"/>
  <c r="J168" i="5"/>
  <c r="L167" i="5"/>
  <c r="K167" i="5"/>
  <c r="J167" i="5"/>
  <c r="L166" i="5"/>
  <c r="K166" i="5" s="1"/>
  <c r="J166" i="5"/>
  <c r="L165" i="5"/>
  <c r="K165" i="5"/>
  <c r="J165" i="5"/>
  <c r="L164" i="5"/>
  <c r="K164" i="5"/>
  <c r="J164" i="5"/>
  <c r="L163" i="5"/>
  <c r="K163" i="5" s="1"/>
  <c r="J163" i="5"/>
  <c r="L162" i="5"/>
  <c r="K162" i="5" s="1"/>
  <c r="J162" i="5"/>
  <c r="L161" i="5"/>
  <c r="K161" i="5"/>
  <c r="J161" i="5"/>
  <c r="L160" i="5"/>
  <c r="K160" i="5" s="1"/>
  <c r="J160" i="5"/>
  <c r="L159" i="5"/>
  <c r="K159" i="5" s="1"/>
  <c r="J159" i="5"/>
  <c r="L158" i="5"/>
  <c r="K158" i="5"/>
  <c r="J158" i="5"/>
  <c r="L157" i="5"/>
  <c r="K157" i="5"/>
  <c r="J157" i="5"/>
  <c r="L156" i="5"/>
  <c r="J156" i="5"/>
  <c r="DL152" i="5"/>
  <c r="DK152" i="5"/>
  <c r="DJ152" i="5"/>
  <c r="DI152" i="5"/>
  <c r="DI189" i="5" s="1"/>
  <c r="DH152" i="5"/>
  <c r="DG152" i="5"/>
  <c r="DF152" i="5"/>
  <c r="DF189" i="5" s="1"/>
  <c r="DE152" i="5"/>
  <c r="DD152" i="5"/>
  <c r="DC152" i="5"/>
  <c r="DB152" i="5"/>
  <c r="DA152" i="5"/>
  <c r="DA189" i="5" s="1"/>
  <c r="CZ152" i="5"/>
  <c r="CY152" i="5"/>
  <c r="CX152" i="5"/>
  <c r="CW152" i="5"/>
  <c r="CW189" i="5" s="1"/>
  <c r="CV152" i="5"/>
  <c r="CU152" i="5"/>
  <c r="CU189" i="5" s="1"/>
  <c r="CT152" i="5"/>
  <c r="CT189" i="5" s="1"/>
  <c r="CS152" i="5"/>
  <c r="CR152" i="5"/>
  <c r="CR189" i="5" s="1"/>
  <c r="CQ152" i="5"/>
  <c r="CP152" i="5"/>
  <c r="CO152" i="5"/>
  <c r="CN152" i="5"/>
  <c r="CM152" i="5"/>
  <c r="CL152" i="5"/>
  <c r="CK152" i="5"/>
  <c r="CJ152" i="5"/>
  <c r="CI152" i="5"/>
  <c r="CH152" i="5"/>
  <c r="CG152" i="5"/>
  <c r="CG189" i="5" s="1"/>
  <c r="CF152" i="5"/>
  <c r="CF189" i="5" s="1"/>
  <c r="CE152" i="5"/>
  <c r="CD152" i="5"/>
  <c r="CD189" i="5" s="1"/>
  <c r="CC152" i="5"/>
  <c r="CB152" i="5"/>
  <c r="CA152" i="5"/>
  <c r="BZ152" i="5"/>
  <c r="BY152" i="5"/>
  <c r="BY189" i="5" s="1"/>
  <c r="BX152" i="5"/>
  <c r="BW152" i="5"/>
  <c r="BV152" i="5"/>
  <c r="BU152" i="5"/>
  <c r="BT152" i="5"/>
  <c r="BS152" i="5"/>
  <c r="BR152" i="5"/>
  <c r="BR189" i="5" s="1"/>
  <c r="BQ152" i="5"/>
  <c r="BP152" i="5"/>
  <c r="BP189" i="5" s="1"/>
  <c r="BO152" i="5"/>
  <c r="BN152" i="5"/>
  <c r="BM152" i="5"/>
  <c r="BL152" i="5"/>
  <c r="BK152" i="5"/>
  <c r="BK189" i="5" s="1"/>
  <c r="BJ152" i="5"/>
  <c r="BI152" i="5"/>
  <c r="BH152" i="5"/>
  <c r="BG152" i="5"/>
  <c r="BF152" i="5"/>
  <c r="BE152" i="5"/>
  <c r="BE189" i="5" s="1"/>
  <c r="BD152" i="5"/>
  <c r="BC152" i="5"/>
  <c r="BB152" i="5"/>
  <c r="BB189" i="5" s="1"/>
  <c r="BA152" i="5"/>
  <c r="AZ152" i="5"/>
  <c r="AY152" i="5"/>
  <c r="AX152" i="5"/>
  <c r="AW152" i="5"/>
  <c r="AV152" i="5"/>
  <c r="AU152" i="5"/>
  <c r="AT152" i="5"/>
  <c r="AS152" i="5"/>
  <c r="AR152" i="5"/>
  <c r="AQ152" i="5"/>
  <c r="AP152" i="5"/>
  <c r="AP189" i="5" s="1"/>
  <c r="AO152" i="5"/>
  <c r="AN152" i="5"/>
  <c r="AN189" i="5" s="1"/>
  <c r="AM152" i="5"/>
  <c r="AL152" i="5"/>
  <c r="AK152" i="5"/>
  <c r="AJ152" i="5"/>
  <c r="AI152" i="5"/>
  <c r="AI189" i="5" s="1"/>
  <c r="AH152" i="5"/>
  <c r="AG152" i="5"/>
  <c r="AF152" i="5"/>
  <c r="AE152" i="5"/>
  <c r="AD152" i="5"/>
  <c r="AC152" i="5"/>
  <c r="AB152" i="5"/>
  <c r="AA152" i="5"/>
  <c r="Z152" i="5"/>
  <c r="Z189" i="5" s="1"/>
  <c r="Y152" i="5"/>
  <c r="X152" i="5"/>
  <c r="W152" i="5"/>
  <c r="V152" i="5"/>
  <c r="U152" i="5"/>
  <c r="T152" i="5"/>
  <c r="S152" i="5"/>
  <c r="R152" i="5"/>
  <c r="Q152" i="5"/>
  <c r="P152" i="5"/>
  <c r="O152" i="5"/>
  <c r="N152" i="5"/>
  <c r="N189" i="5" s="1"/>
  <c r="M152" i="5"/>
  <c r="L151" i="5"/>
  <c r="K151" i="5" s="1"/>
  <c r="J151" i="5"/>
  <c r="L150" i="5"/>
  <c r="K150" i="5"/>
  <c r="J150" i="5"/>
  <c r="L149" i="5"/>
  <c r="K149" i="5" s="1"/>
  <c r="J149" i="5"/>
  <c r="L148" i="5"/>
  <c r="K148" i="5" s="1"/>
  <c r="J148" i="5"/>
  <c r="L147" i="5"/>
  <c r="K147" i="5" s="1"/>
  <c r="J147" i="5"/>
  <c r="L146" i="5"/>
  <c r="K146" i="5"/>
  <c r="J146" i="5"/>
  <c r="L145" i="5"/>
  <c r="K145" i="5" s="1"/>
  <c r="J145" i="5"/>
  <c r="L144" i="5"/>
  <c r="K144" i="5" s="1"/>
  <c r="J144" i="5"/>
  <c r="L143" i="5"/>
  <c r="K143" i="5"/>
  <c r="J143" i="5"/>
  <c r="L142" i="5"/>
  <c r="K142" i="5" s="1"/>
  <c r="J142" i="5"/>
  <c r="L141" i="5"/>
  <c r="K141" i="5"/>
  <c r="J141" i="5"/>
  <c r="L140" i="5"/>
  <c r="K140" i="5"/>
  <c r="J140" i="5"/>
  <c r="L139" i="5"/>
  <c r="K139" i="5" s="1"/>
  <c r="J139" i="5"/>
  <c r="L138" i="5"/>
  <c r="K138" i="5"/>
  <c r="J138" i="5"/>
  <c r="L137" i="5"/>
  <c r="K137" i="5" s="1"/>
  <c r="J137" i="5"/>
  <c r="L136" i="5"/>
  <c r="K136" i="5" s="1"/>
  <c r="J136" i="5"/>
  <c r="L135" i="5"/>
  <c r="K135" i="5" s="1"/>
  <c r="J135" i="5"/>
  <c r="L134" i="5"/>
  <c r="K134" i="5" s="1"/>
  <c r="J134" i="5"/>
  <c r="L133" i="5"/>
  <c r="K133" i="5"/>
  <c r="J133" i="5"/>
  <c r="L132" i="5"/>
  <c r="K132" i="5" s="1"/>
  <c r="J132" i="5"/>
  <c r="L131" i="5"/>
  <c r="K131" i="5" s="1"/>
  <c r="J131" i="5"/>
  <c r="L130" i="5"/>
  <c r="K130" i="5"/>
  <c r="J130" i="5"/>
  <c r="L129" i="5"/>
  <c r="K129" i="5"/>
  <c r="J129" i="5"/>
  <c r="L128" i="5"/>
  <c r="K128" i="5"/>
  <c r="J128" i="5"/>
  <c r="L127" i="5"/>
  <c r="K127" i="5" s="1"/>
  <c r="J127" i="5"/>
  <c r="L126" i="5"/>
  <c r="K126" i="5" s="1"/>
  <c r="J126" i="5"/>
  <c r="L125" i="5"/>
  <c r="K125" i="5"/>
  <c r="J125" i="5"/>
  <c r="L124" i="5"/>
  <c r="K124" i="5" s="1"/>
  <c r="J124" i="5"/>
  <c r="L123" i="5"/>
  <c r="K123" i="5"/>
  <c r="J123" i="5"/>
  <c r="L122" i="5"/>
  <c r="K122" i="5"/>
  <c r="J122" i="5"/>
  <c r="DL118" i="5"/>
  <c r="DK118" i="5"/>
  <c r="DJ118" i="5"/>
  <c r="DI118" i="5"/>
  <c r="DH118" i="5"/>
  <c r="DG118" i="5"/>
  <c r="DF118" i="5"/>
  <c r="DE118" i="5"/>
  <c r="DD118" i="5"/>
  <c r="DC118" i="5"/>
  <c r="DB118" i="5"/>
  <c r="DA118" i="5"/>
  <c r="CZ118" i="5"/>
  <c r="CY118" i="5"/>
  <c r="CX118" i="5"/>
  <c r="CW118" i="5"/>
  <c r="CV118" i="5"/>
  <c r="CU118" i="5"/>
  <c r="CT118" i="5"/>
  <c r="CS118" i="5"/>
  <c r="CR118" i="5"/>
  <c r="CQ118" i="5"/>
  <c r="CP118" i="5"/>
  <c r="CO118" i="5"/>
  <c r="CN118" i="5"/>
  <c r="CM118" i="5"/>
  <c r="CL118" i="5"/>
  <c r="CK118" i="5"/>
  <c r="CJ118" i="5"/>
  <c r="CI118" i="5"/>
  <c r="CH118" i="5"/>
  <c r="CG118" i="5"/>
  <c r="CF118" i="5"/>
  <c r="CE118" i="5"/>
  <c r="CD118" i="5"/>
  <c r="CC118" i="5"/>
  <c r="CB118" i="5"/>
  <c r="CA118" i="5"/>
  <c r="BZ118" i="5"/>
  <c r="BY118" i="5"/>
  <c r="BX118" i="5"/>
  <c r="BW118" i="5"/>
  <c r="BV118" i="5"/>
  <c r="BU118" i="5"/>
  <c r="BT118" i="5"/>
  <c r="BS118" i="5"/>
  <c r="BR118" i="5"/>
  <c r="BQ118" i="5"/>
  <c r="BP118" i="5"/>
  <c r="BO118" i="5"/>
  <c r="BN118" i="5"/>
  <c r="BM118" i="5"/>
  <c r="BL118" i="5"/>
  <c r="BK118" i="5"/>
  <c r="BJ118" i="5"/>
  <c r="BI118" i="5"/>
  <c r="BH118" i="5"/>
  <c r="BG118" i="5"/>
  <c r="BF118" i="5"/>
  <c r="BE118" i="5"/>
  <c r="BD118" i="5"/>
  <c r="BC118" i="5"/>
  <c r="BB118" i="5"/>
  <c r="BA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7" i="5"/>
  <c r="K117" i="5" s="1"/>
  <c r="J117" i="5"/>
  <c r="L116" i="5"/>
  <c r="K116" i="5"/>
  <c r="J116" i="5"/>
  <c r="L115" i="5"/>
  <c r="K115" i="5"/>
  <c r="J115" i="5"/>
  <c r="L114" i="5"/>
  <c r="K114" i="5" s="1"/>
  <c r="J114" i="5"/>
  <c r="L113" i="5"/>
  <c r="K113" i="5" s="1"/>
  <c r="J113" i="5"/>
  <c r="L112" i="5"/>
  <c r="K112" i="5" s="1"/>
  <c r="J112" i="5"/>
  <c r="L111" i="5"/>
  <c r="K111" i="5"/>
  <c r="J111" i="5"/>
  <c r="L110" i="5"/>
  <c r="K110" i="5"/>
  <c r="J110" i="5"/>
  <c r="L109" i="5"/>
  <c r="K109" i="5" s="1"/>
  <c r="J109" i="5"/>
  <c r="L108" i="5"/>
  <c r="K108" i="5" s="1"/>
  <c r="J108" i="5"/>
  <c r="L107" i="5"/>
  <c r="K107" i="5"/>
  <c r="J107" i="5"/>
  <c r="L106" i="5"/>
  <c r="K106" i="5"/>
  <c r="J106" i="5"/>
  <c r="L105" i="5"/>
  <c r="K105" i="5"/>
  <c r="J105" i="5"/>
  <c r="L104" i="5"/>
  <c r="K104" i="5" s="1"/>
  <c r="J104" i="5"/>
  <c r="L103" i="5"/>
  <c r="K103" i="5" s="1"/>
  <c r="J103" i="5"/>
  <c r="L102" i="5"/>
  <c r="K102" i="5" s="1"/>
  <c r="J102" i="5"/>
  <c r="L101" i="5"/>
  <c r="K101" i="5"/>
  <c r="J101" i="5"/>
  <c r="L100" i="5"/>
  <c r="K100" i="5"/>
  <c r="J100" i="5"/>
  <c r="L99" i="5"/>
  <c r="K99" i="5" s="1"/>
  <c r="J99" i="5"/>
  <c r="L98" i="5"/>
  <c r="K98" i="5" s="1"/>
  <c r="J98" i="5"/>
  <c r="L97" i="5"/>
  <c r="K97" i="5" s="1"/>
  <c r="J97" i="5"/>
  <c r="L96" i="5"/>
  <c r="K96" i="5"/>
  <c r="J96" i="5"/>
  <c r="L95" i="5"/>
  <c r="K95" i="5"/>
  <c r="J95" i="5"/>
  <c r="L94" i="5"/>
  <c r="K94" i="5" s="1"/>
  <c r="J94" i="5"/>
  <c r="L93" i="5"/>
  <c r="K93" i="5"/>
  <c r="J93" i="5"/>
  <c r="L92" i="5"/>
  <c r="K92" i="5"/>
  <c r="J92" i="5"/>
  <c r="L91" i="5"/>
  <c r="K91" i="5"/>
  <c r="J91" i="5"/>
  <c r="L90" i="5"/>
  <c r="K90" i="5"/>
  <c r="J90" i="5"/>
  <c r="L89" i="5"/>
  <c r="J89" i="5"/>
  <c r="L88" i="5"/>
  <c r="K88" i="5"/>
  <c r="J88" i="5"/>
  <c r="M84" i="5"/>
  <c r="L83" i="5"/>
  <c r="K83" i="5" s="1"/>
  <c r="L82" i="5"/>
  <c r="K82" i="5" s="1"/>
  <c r="L81" i="5"/>
  <c r="K81" i="5" s="1"/>
  <c r="L80" i="5"/>
  <c r="K80" i="5"/>
  <c r="L79" i="5"/>
  <c r="K79" i="5" s="1"/>
  <c r="L78" i="5"/>
  <c r="K78" i="5"/>
  <c r="L77" i="5"/>
  <c r="K77" i="5"/>
  <c r="L76" i="5"/>
  <c r="K76" i="5"/>
  <c r="L75" i="5"/>
  <c r="K75" i="5" s="1"/>
  <c r="L74" i="5"/>
  <c r="K74" i="5" s="1"/>
  <c r="M72" i="5"/>
  <c r="N72" i="5" s="1"/>
  <c r="N84" i="5" s="1"/>
  <c r="DL70" i="5"/>
  <c r="DK70" i="5"/>
  <c r="DJ70" i="5"/>
  <c r="DI70" i="5"/>
  <c r="DH70" i="5"/>
  <c r="DG70" i="5"/>
  <c r="DF70" i="5"/>
  <c r="DE70" i="5"/>
  <c r="DD70" i="5"/>
  <c r="DC70" i="5"/>
  <c r="DB70" i="5"/>
  <c r="DA70" i="5"/>
  <c r="CZ70" i="5"/>
  <c r="CY70" i="5"/>
  <c r="CX70" i="5"/>
  <c r="CW70" i="5"/>
  <c r="CV70" i="5"/>
  <c r="CU70" i="5"/>
  <c r="CT70" i="5"/>
  <c r="CS70" i="5"/>
  <c r="CR70" i="5"/>
  <c r="CQ70" i="5"/>
  <c r="CP70" i="5"/>
  <c r="CO70" i="5"/>
  <c r="CN70" i="5"/>
  <c r="CN189" i="5" s="1"/>
  <c r="CM70" i="5"/>
  <c r="CL70" i="5"/>
  <c r="CK70" i="5"/>
  <c r="CJ70" i="5"/>
  <c r="CI70" i="5"/>
  <c r="CH70" i="5"/>
  <c r="CG70" i="5"/>
  <c r="CF70" i="5"/>
  <c r="CE70" i="5"/>
  <c r="CD70" i="5"/>
  <c r="CC70" i="5"/>
  <c r="CB70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69" i="5"/>
  <c r="DM69" i="5" s="1"/>
  <c r="J69" i="5"/>
  <c r="H69" i="5"/>
  <c r="L68" i="5"/>
  <c r="DM68" i="5" s="1"/>
  <c r="H68" i="5"/>
  <c r="J68" i="5" s="1"/>
  <c r="DM67" i="5"/>
  <c r="L67" i="5"/>
  <c r="H67" i="5"/>
  <c r="L66" i="5"/>
  <c r="DM66" i="5" s="1"/>
  <c r="J66" i="5"/>
  <c r="H66" i="5"/>
  <c r="L65" i="5"/>
  <c r="DM65" i="5" s="1"/>
  <c r="J65" i="5"/>
  <c r="H65" i="5"/>
  <c r="L64" i="5"/>
  <c r="DM64" i="5" s="1"/>
  <c r="H64" i="5"/>
  <c r="J64" i="5" s="1"/>
  <c r="L63" i="5"/>
  <c r="DM63" i="5" s="1"/>
  <c r="H63" i="5"/>
  <c r="J63" i="5" s="1"/>
  <c r="DM62" i="5"/>
  <c r="L62" i="5"/>
  <c r="J62" i="5"/>
  <c r="H62" i="5"/>
  <c r="L61" i="5"/>
  <c r="DM61" i="5" s="1"/>
  <c r="H61" i="5"/>
  <c r="L60" i="5"/>
  <c r="DM60" i="5" s="1"/>
  <c r="H60" i="5"/>
  <c r="J60" i="5" s="1"/>
  <c r="L59" i="5"/>
  <c r="DM59" i="5" s="1"/>
  <c r="H59" i="5"/>
  <c r="J59" i="5" s="1"/>
  <c r="DM58" i="5"/>
  <c r="L58" i="5"/>
  <c r="J58" i="5" s="1"/>
  <c r="H58" i="5"/>
  <c r="L57" i="5"/>
  <c r="DM57" i="5" s="1"/>
  <c r="J57" i="5"/>
  <c r="H57" i="5"/>
  <c r="DM56" i="5"/>
  <c r="L56" i="5"/>
  <c r="H56" i="5"/>
  <c r="J56" i="5" s="1"/>
  <c r="DM55" i="5"/>
  <c r="L55" i="5"/>
  <c r="H55" i="5"/>
  <c r="J55" i="5" s="1"/>
  <c r="L54" i="5"/>
  <c r="DM54" i="5" s="1"/>
  <c r="H54" i="5"/>
  <c r="J54" i="5" s="1"/>
  <c r="DM53" i="5"/>
  <c r="L53" i="5"/>
  <c r="H53" i="5"/>
  <c r="L52" i="5"/>
  <c r="DM52" i="5" s="1"/>
  <c r="H52" i="5"/>
  <c r="J52" i="5" s="1"/>
  <c r="L51" i="5"/>
  <c r="DM51" i="5" s="1"/>
  <c r="J51" i="5"/>
  <c r="H51" i="5"/>
  <c r="L50" i="5"/>
  <c r="DM50" i="5" s="1"/>
  <c r="H50" i="5"/>
  <c r="J50" i="5" s="1"/>
  <c r="L49" i="5"/>
  <c r="DM49" i="5" s="1"/>
  <c r="H49" i="5"/>
  <c r="L48" i="5"/>
  <c r="H48" i="5"/>
  <c r="L47" i="5"/>
  <c r="DM47" i="5" s="1"/>
  <c r="H47" i="5"/>
  <c r="J47" i="5" s="1"/>
  <c r="L46" i="5"/>
  <c r="DM46" i="5" s="1"/>
  <c r="H46" i="5"/>
  <c r="J46" i="5" s="1"/>
  <c r="L45" i="5"/>
  <c r="DM45" i="5" s="1"/>
  <c r="H45" i="5"/>
  <c r="J45" i="5" s="1"/>
  <c r="L44" i="5"/>
  <c r="DM44" i="5" s="1"/>
  <c r="H44" i="5"/>
  <c r="L43" i="5"/>
  <c r="DM43" i="5" s="1"/>
  <c r="H43" i="5"/>
  <c r="L42" i="5"/>
  <c r="DM42" i="5" s="1"/>
  <c r="H42" i="5"/>
  <c r="J42" i="5" s="1"/>
  <c r="L41" i="5"/>
  <c r="DM41" i="5" s="1"/>
  <c r="H41" i="5"/>
  <c r="J41" i="5" s="1"/>
  <c r="L40" i="5"/>
  <c r="DM40" i="5" s="1"/>
  <c r="H40" i="5"/>
  <c r="J40" i="5" s="1"/>
  <c r="L39" i="5"/>
  <c r="DM39" i="5" s="1"/>
  <c r="H39" i="5"/>
  <c r="J39" i="5" s="1"/>
  <c r="L38" i="5"/>
  <c r="DM38" i="5" s="1"/>
  <c r="H38" i="5"/>
  <c r="L37" i="5"/>
  <c r="DM37" i="5" s="1"/>
  <c r="H37" i="5"/>
  <c r="J37" i="5" s="1"/>
  <c r="L36" i="5"/>
  <c r="DM36" i="5" s="1"/>
  <c r="H36" i="5"/>
  <c r="J36" i="5" s="1"/>
  <c r="L35" i="5"/>
  <c r="DM35" i="5" s="1"/>
  <c r="H35" i="5"/>
  <c r="J35" i="5" s="1"/>
  <c r="L34" i="5"/>
  <c r="DM34" i="5" s="1"/>
  <c r="J34" i="5"/>
  <c r="H34" i="5"/>
  <c r="L33" i="5"/>
  <c r="DM33" i="5" s="1"/>
  <c r="H33" i="5"/>
  <c r="L32" i="5"/>
  <c r="DM32" i="5" s="1"/>
  <c r="H32" i="5"/>
  <c r="J32" i="5" s="1"/>
  <c r="DM31" i="5"/>
  <c r="L31" i="5"/>
  <c r="H31" i="5"/>
  <c r="J31" i="5" s="1"/>
  <c r="L30" i="5"/>
  <c r="DM30" i="5" s="1"/>
  <c r="H30" i="5"/>
  <c r="J30" i="5" s="1"/>
  <c r="L29" i="5"/>
  <c r="DM29" i="5" s="1"/>
  <c r="J29" i="5"/>
  <c r="H29" i="5"/>
  <c r="L28" i="5"/>
  <c r="DM28" i="5" s="1"/>
  <c r="H28" i="5"/>
  <c r="L27" i="5"/>
  <c r="DM27" i="5" s="1"/>
  <c r="H27" i="5"/>
  <c r="J27" i="5" s="1"/>
  <c r="DM26" i="5"/>
  <c r="L26" i="5"/>
  <c r="H26" i="5"/>
  <c r="J26" i="5" s="1"/>
  <c r="L25" i="5"/>
  <c r="DM25" i="5" s="1"/>
  <c r="H25" i="5"/>
  <c r="J25" i="5" s="1"/>
  <c r="L24" i="5"/>
  <c r="DM24" i="5" s="1"/>
  <c r="J24" i="5"/>
  <c r="H24" i="5"/>
  <c r="L23" i="5"/>
  <c r="DM23" i="5" s="1"/>
  <c r="H23" i="5"/>
  <c r="L22" i="5"/>
  <c r="DM22" i="5" s="1"/>
  <c r="H22" i="5"/>
  <c r="J22" i="5" s="1"/>
  <c r="DM21" i="5"/>
  <c r="L21" i="5"/>
  <c r="H21" i="5"/>
  <c r="J21" i="5" s="1"/>
  <c r="L20" i="5"/>
  <c r="H20" i="5"/>
  <c r="J20" i="5" s="1"/>
  <c r="M18" i="5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AC18" i="5" s="1"/>
  <c r="AD18" i="5" s="1"/>
  <c r="AE18" i="5" s="1"/>
  <c r="AF18" i="5" s="1"/>
  <c r="AG18" i="5" s="1"/>
  <c r="AH18" i="5" s="1"/>
  <c r="AI18" i="5" s="1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BC18" i="5" s="1"/>
  <c r="BD18" i="5" s="1"/>
  <c r="BE18" i="5" s="1"/>
  <c r="BF18" i="5" s="1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BW18" i="5" s="1"/>
  <c r="BX18" i="5" s="1"/>
  <c r="BY18" i="5" s="1"/>
  <c r="BZ18" i="5" s="1"/>
  <c r="CA18" i="5" s="1"/>
  <c r="CB18" i="5" s="1"/>
  <c r="CC18" i="5" s="1"/>
  <c r="CD18" i="5" s="1"/>
  <c r="CE18" i="5" s="1"/>
  <c r="CF18" i="5" s="1"/>
  <c r="CG18" i="5" s="1"/>
  <c r="CH18" i="5" s="1"/>
  <c r="CI18" i="5" s="1"/>
  <c r="CJ18" i="5" s="1"/>
  <c r="CK18" i="5" s="1"/>
  <c r="CL18" i="5" s="1"/>
  <c r="CM18" i="5" s="1"/>
  <c r="CN18" i="5" s="1"/>
  <c r="CO18" i="5" s="1"/>
  <c r="CP18" i="5" s="1"/>
  <c r="CQ18" i="5" s="1"/>
  <c r="CR18" i="5" s="1"/>
  <c r="CS18" i="5" s="1"/>
  <c r="CT18" i="5" s="1"/>
  <c r="CU18" i="5" s="1"/>
  <c r="CV18" i="5" s="1"/>
  <c r="CW18" i="5" s="1"/>
  <c r="CX18" i="5" s="1"/>
  <c r="CY18" i="5" s="1"/>
  <c r="CZ18" i="5" s="1"/>
  <c r="DA18" i="5" s="1"/>
  <c r="DB18" i="5" s="1"/>
  <c r="DC18" i="5" s="1"/>
  <c r="DD18" i="5" s="1"/>
  <c r="DE18" i="5" s="1"/>
  <c r="DF18" i="5" s="1"/>
  <c r="DG18" i="5" s="1"/>
  <c r="DH18" i="5" s="1"/>
  <c r="DI18" i="5" s="1"/>
  <c r="DJ18" i="5" s="1"/>
  <c r="DK18" i="5" s="1"/>
  <c r="DL18" i="5" s="1"/>
  <c r="B11" i="1"/>
  <c r="B3" i="1"/>
  <c r="K30" i="6" l="1"/>
  <c r="J30" i="6"/>
  <c r="L30" i="6" s="1"/>
  <c r="DN56" i="6"/>
  <c r="L56" i="6"/>
  <c r="K67" i="6"/>
  <c r="J67" i="6"/>
  <c r="L67" i="6" s="1"/>
  <c r="L70" i="5"/>
  <c r="DM20" i="5"/>
  <c r="DM70" i="5" s="1"/>
  <c r="K84" i="5"/>
  <c r="F10" i="5" s="1"/>
  <c r="V189" i="5"/>
  <c r="AJ189" i="5"/>
  <c r="AX189" i="5"/>
  <c r="BL189" i="5"/>
  <c r="BZ189" i="5"/>
  <c r="DB189" i="5"/>
  <c r="DN52" i="6"/>
  <c r="L52" i="6"/>
  <c r="L152" i="5"/>
  <c r="DN48" i="6"/>
  <c r="K48" i="6"/>
  <c r="O72" i="5"/>
  <c r="DM48" i="5"/>
  <c r="J48" i="5"/>
  <c r="K60" i="6"/>
  <c r="J60" i="6"/>
  <c r="L60" i="6" s="1"/>
  <c r="K23" i="6"/>
  <c r="J23" i="6"/>
  <c r="L23" i="6" s="1"/>
  <c r="J23" i="5"/>
  <c r="J70" i="5" s="1"/>
  <c r="J28" i="5"/>
  <c r="J33" i="5"/>
  <c r="J38" i="5"/>
  <c r="J43" i="5"/>
  <c r="J61" i="5"/>
  <c r="W189" i="5"/>
  <c r="AK189" i="5"/>
  <c r="DN29" i="6"/>
  <c r="K53" i="6"/>
  <c r="J53" i="6"/>
  <c r="L53" i="6" s="1"/>
  <c r="J67" i="5"/>
  <c r="J24" i="6"/>
  <c r="L24" i="6" s="1"/>
  <c r="J38" i="6"/>
  <c r="L38" i="6" s="1"/>
  <c r="M120" i="6"/>
  <c r="Q72" i="6"/>
  <c r="Q84" i="6"/>
  <c r="M189" i="5"/>
  <c r="AA189" i="5"/>
  <c r="AO189" i="5"/>
  <c r="BC189" i="5"/>
  <c r="BQ189" i="5"/>
  <c r="CE189" i="5"/>
  <c r="CS189" i="5"/>
  <c r="DG189" i="5"/>
  <c r="J61" i="6"/>
  <c r="L61" i="6" s="1"/>
  <c r="J44" i="5"/>
  <c r="J49" i="5"/>
  <c r="K89" i="5"/>
  <c r="L118" i="5"/>
  <c r="L35" i="6"/>
  <c r="DN42" i="6"/>
  <c r="K46" i="6"/>
  <c r="J54" i="6"/>
  <c r="L54" i="6" s="1"/>
  <c r="L84" i="6"/>
  <c r="F10" i="6" s="1"/>
  <c r="B18" i="1" s="1"/>
  <c r="J152" i="5"/>
  <c r="AY189" i="5"/>
  <c r="K154" i="6"/>
  <c r="K152" i="5"/>
  <c r="BF189" i="5"/>
  <c r="K32" i="6"/>
  <c r="J69" i="6"/>
  <c r="L69" i="6" s="1"/>
  <c r="M154" i="6"/>
  <c r="L124" i="6"/>
  <c r="L154" i="6" s="1"/>
  <c r="J186" i="5"/>
  <c r="BG189" i="5"/>
  <c r="CI189" i="5"/>
  <c r="DK189" i="5"/>
  <c r="DN39" i="6"/>
  <c r="K39" i="6"/>
  <c r="L120" i="6"/>
  <c r="K188" i="6"/>
  <c r="DJ189" i="5"/>
  <c r="R189" i="5"/>
  <c r="DN43" i="6"/>
  <c r="K43" i="6"/>
  <c r="J58" i="6"/>
  <c r="L58" i="6" s="1"/>
  <c r="I120" i="6"/>
  <c r="BT189" i="5"/>
  <c r="AT189" i="5"/>
  <c r="BV189" i="5"/>
  <c r="CX189" i="5"/>
  <c r="T189" i="5"/>
  <c r="BX189" i="5"/>
  <c r="CZ189" i="5"/>
  <c r="K29" i="6"/>
  <c r="K70" i="6" s="1"/>
  <c r="DN36" i="6"/>
  <c r="DN70" i="6" s="1"/>
  <c r="B26" i="1" s="1"/>
  <c r="K118" i="5"/>
  <c r="CA189" i="5"/>
  <c r="Q189" i="5"/>
  <c r="L186" i="5"/>
  <c r="K156" i="5"/>
  <c r="K186" i="5" s="1"/>
  <c r="AF189" i="5"/>
  <c r="BH189" i="5"/>
  <c r="CJ189" i="5"/>
  <c r="DL189" i="5"/>
  <c r="S189" i="5"/>
  <c r="CK189" i="5"/>
  <c r="J53" i="5"/>
  <c r="DA192" i="6"/>
  <c r="CM192" i="6"/>
  <c r="BY192" i="6"/>
  <c r="BK192" i="6"/>
  <c r="AW192" i="6"/>
  <c r="AI192" i="6"/>
  <c r="U192" i="6"/>
  <c r="DL192" i="6"/>
  <c r="CX192" i="6"/>
  <c r="DJ192" i="6"/>
  <c r="CV192" i="6"/>
  <c r="CH192" i="6"/>
  <c r="BT192" i="6"/>
  <c r="BF192" i="6"/>
  <c r="AR192" i="6"/>
  <c r="AD192" i="6"/>
  <c r="P192" i="6"/>
  <c r="DI192" i="6"/>
  <c r="CU192" i="6"/>
  <c r="CG192" i="6"/>
  <c r="BS192" i="6"/>
  <c r="BE192" i="6"/>
  <c r="AQ192" i="6"/>
  <c r="AC192" i="6"/>
  <c r="O192" i="6"/>
  <c r="DH192" i="6"/>
  <c r="CT192" i="6"/>
  <c r="CF192" i="6"/>
  <c r="BR192" i="6"/>
  <c r="BD192" i="6"/>
  <c r="AP192" i="6"/>
  <c r="AB192" i="6"/>
  <c r="DF192" i="6"/>
  <c r="CR192" i="6"/>
  <c r="CD192" i="6"/>
  <c r="BP192" i="6"/>
  <c r="BB192" i="6"/>
  <c r="DE192" i="6"/>
  <c r="CQ192" i="6"/>
  <c r="CC192" i="6"/>
  <c r="BO192" i="6"/>
  <c r="BA192" i="6"/>
  <c r="AM192" i="6"/>
  <c r="Y192" i="6"/>
  <c r="DD192" i="6"/>
  <c r="CP192" i="6"/>
  <c r="CB192" i="6"/>
  <c r="BN192" i="6"/>
  <c r="AZ192" i="6"/>
  <c r="AL192" i="6"/>
  <c r="X192" i="6"/>
  <c r="DC192" i="6"/>
  <c r="CO192" i="6"/>
  <c r="CA192" i="6"/>
  <c r="BM192" i="6"/>
  <c r="AY192" i="6"/>
  <c r="AK192" i="6"/>
  <c r="W192" i="6"/>
  <c r="CJ192" i="6"/>
  <c r="BC192" i="6"/>
  <c r="Z192" i="6"/>
  <c r="CI192" i="6"/>
  <c r="AX192" i="6"/>
  <c r="V192" i="6"/>
  <c r="CE192" i="6"/>
  <c r="AV192" i="6"/>
  <c r="T192" i="6"/>
  <c r="DM192" i="6"/>
  <c r="BZ192" i="6"/>
  <c r="AU192" i="6"/>
  <c r="S192" i="6"/>
  <c r="DK192" i="6"/>
  <c r="BX192" i="6"/>
  <c r="AT192" i="6"/>
  <c r="R192" i="6"/>
  <c r="CY192" i="6"/>
  <c r="BQ192" i="6"/>
  <c r="AJ192" i="6"/>
  <c r="CW192" i="6"/>
  <c r="BL192" i="6"/>
  <c r="AH192" i="6"/>
  <c r="CS192" i="6"/>
  <c r="BJ192" i="6"/>
  <c r="AG192" i="6"/>
  <c r="CK192" i="6"/>
  <c r="BG192" i="6"/>
  <c r="AA192" i="6"/>
  <c r="AO192" i="6"/>
  <c r="AN192" i="6"/>
  <c r="AF192" i="6"/>
  <c r="DG192" i="6"/>
  <c r="AE192" i="6"/>
  <c r="DB192" i="6"/>
  <c r="Q192" i="6"/>
  <c r="BW192" i="6"/>
  <c r="BV192" i="6"/>
  <c r="BU192" i="6"/>
  <c r="AS192" i="6"/>
  <c r="K41" i="6"/>
  <c r="J41" i="6"/>
  <c r="L41" i="6" s="1"/>
  <c r="L48" i="6"/>
  <c r="L66" i="6"/>
  <c r="CT191" i="6"/>
  <c r="K66" i="6"/>
  <c r="CU191" i="6"/>
  <c r="BE191" i="6"/>
  <c r="M188" i="6"/>
  <c r="BS191" i="6"/>
  <c r="AK191" i="6"/>
  <c r="DC191" i="6"/>
  <c r="AL189" i="5"/>
  <c r="J68" i="6"/>
  <c r="L68" i="6" s="1"/>
  <c r="AM189" i="5"/>
  <c r="K56" i="6"/>
  <c r="L36" i="6"/>
  <c r="K45" i="6"/>
  <c r="K62" i="6"/>
  <c r="M70" i="6"/>
  <c r="N84" i="6" s="1"/>
  <c r="V191" i="6"/>
  <c r="AJ191" i="6"/>
  <c r="AX191" i="6"/>
  <c r="BL191" i="6"/>
  <c r="BZ191" i="6"/>
  <c r="CN191" i="6"/>
  <c r="DB191" i="6"/>
  <c r="L159" i="6"/>
  <c r="L188" i="6" s="1"/>
  <c r="AA191" i="6"/>
  <c r="AO191" i="6"/>
  <c r="BC191" i="6"/>
  <c r="BQ191" i="6"/>
  <c r="CE191" i="6"/>
  <c r="CS191" i="6"/>
  <c r="DG191" i="6"/>
  <c r="K31" i="6"/>
  <c r="J26" i="6"/>
  <c r="L26" i="6" s="1"/>
  <c r="L70" i="6" s="1"/>
  <c r="J31" i="6"/>
  <c r="L31" i="6" s="1"/>
  <c r="K49" i="6"/>
  <c r="J62" i="6"/>
  <c r="L62" i="6" s="1"/>
  <c r="L44" i="6"/>
  <c r="K52" i="6"/>
  <c r="F13" i="6" l="1"/>
  <c r="B21" i="1" s="1"/>
  <c r="L10" i="6"/>
  <c r="B29" i="1" s="1"/>
  <c r="L191" i="6"/>
  <c r="H10" i="6"/>
  <c r="B24" i="1" s="1"/>
  <c r="A3" i="6"/>
  <c r="J118" i="5"/>
  <c r="J10" i="5" s="1"/>
  <c r="F11" i="5"/>
  <c r="B3" i="5"/>
  <c r="N10" i="5" s="1"/>
  <c r="K10" i="6"/>
  <c r="B28" i="1" s="1"/>
  <c r="F12" i="6"/>
  <c r="B20" i="1" s="1"/>
  <c r="F13" i="5"/>
  <c r="F15" i="5" s="1"/>
  <c r="L10" i="5"/>
  <c r="F12" i="5"/>
  <c r="K10" i="5"/>
  <c r="L189" i="5"/>
  <c r="R72" i="6"/>
  <c r="R84" i="6"/>
  <c r="O84" i="5"/>
  <c r="P72" i="5"/>
  <c r="M191" i="6"/>
  <c r="B16" i="1" s="1"/>
  <c r="K120" i="6"/>
  <c r="J10" i="6" s="1"/>
  <c r="B27" i="1" s="1"/>
  <c r="F11" i="6"/>
  <c r="B19" i="1" s="1"/>
  <c r="F16" i="5" l="1"/>
  <c r="H10" i="5"/>
  <c r="Q72" i="5"/>
  <c r="P84" i="5"/>
  <c r="F9" i="6"/>
  <c r="I10" i="6"/>
  <c r="B25" i="1" s="1"/>
  <c r="M10" i="6"/>
  <c r="B30" i="1"/>
  <c r="S72" i="6"/>
  <c r="S84" i="6"/>
  <c r="R72" i="5" l="1"/>
  <c r="Q84" i="5"/>
  <c r="F15" i="6"/>
  <c r="B17" i="1"/>
  <c r="B3" i="6"/>
  <c r="I66" i="5"/>
  <c r="K66" i="5" s="1"/>
  <c r="I60" i="5"/>
  <c r="K60" i="5" s="1"/>
  <c r="I53" i="5"/>
  <c r="K53" i="5" s="1"/>
  <c r="I46" i="5"/>
  <c r="K46" i="5" s="1"/>
  <c r="I39" i="5"/>
  <c r="K39" i="5" s="1"/>
  <c r="I32" i="5"/>
  <c r="K32" i="5" s="1"/>
  <c r="I25" i="5"/>
  <c r="K25" i="5" s="1"/>
  <c r="I69" i="5"/>
  <c r="K69" i="5" s="1"/>
  <c r="I20" i="5"/>
  <c r="I63" i="5"/>
  <c r="K63" i="5" s="1"/>
  <c r="I45" i="5"/>
  <c r="K45" i="5" s="1"/>
  <c r="I52" i="5"/>
  <c r="K52" i="5" s="1"/>
  <c r="I47" i="5"/>
  <c r="K47" i="5" s="1"/>
  <c r="I37" i="5"/>
  <c r="K37" i="5" s="1"/>
  <c r="I57" i="5"/>
  <c r="K57" i="5" s="1"/>
  <c r="I26" i="5"/>
  <c r="K26" i="5" s="1"/>
  <c r="I21" i="5"/>
  <c r="K21" i="5" s="1"/>
  <c r="I58" i="5"/>
  <c r="K58" i="5" s="1"/>
  <c r="I40" i="5"/>
  <c r="K40" i="5" s="1"/>
  <c r="I30" i="5"/>
  <c r="K30" i="5" s="1"/>
  <c r="I55" i="5"/>
  <c r="K55" i="5" s="1"/>
  <c r="I65" i="5"/>
  <c r="K65" i="5" s="1"/>
  <c r="I42" i="5"/>
  <c r="K42" i="5" s="1"/>
  <c r="I50" i="5"/>
  <c r="K50" i="5" s="1"/>
  <c r="I35" i="5"/>
  <c r="K35" i="5" s="1"/>
  <c r="I68" i="5"/>
  <c r="K68" i="5" s="1"/>
  <c r="I27" i="5"/>
  <c r="K27" i="5" s="1"/>
  <c r="I22" i="5"/>
  <c r="K22" i="5" s="1"/>
  <c r="I64" i="5"/>
  <c r="K64" i="5" s="1"/>
  <c r="I62" i="5"/>
  <c r="K62" i="5" s="1"/>
  <c r="I34" i="5"/>
  <c r="K34" i="5" s="1"/>
  <c r="I29" i="5"/>
  <c r="K29" i="5" s="1"/>
  <c r="I24" i="5"/>
  <c r="K24" i="5" s="1"/>
  <c r="I41" i="5"/>
  <c r="K41" i="5" s="1"/>
  <c r="I31" i="5"/>
  <c r="K31" i="5" s="1"/>
  <c r="I67" i="5"/>
  <c r="K67" i="5" s="1"/>
  <c r="I49" i="5"/>
  <c r="K49" i="5" s="1"/>
  <c r="I44" i="5"/>
  <c r="K44" i="5" s="1"/>
  <c r="I59" i="5"/>
  <c r="K59" i="5" s="1"/>
  <c r="I54" i="5"/>
  <c r="K54" i="5" s="1"/>
  <c r="I36" i="5"/>
  <c r="K36" i="5" s="1"/>
  <c r="I56" i="5"/>
  <c r="K56" i="5" s="1"/>
  <c r="I33" i="5"/>
  <c r="K33" i="5" s="1"/>
  <c r="I28" i="5"/>
  <c r="K28" i="5" s="1"/>
  <c r="I23" i="5"/>
  <c r="K23" i="5" s="1"/>
  <c r="I43" i="5"/>
  <c r="K43" i="5" s="1"/>
  <c r="I61" i="5"/>
  <c r="K61" i="5" s="1"/>
  <c r="I51" i="5"/>
  <c r="K51" i="5" s="1"/>
  <c r="I38" i="5"/>
  <c r="K38" i="5" s="1"/>
  <c r="I48" i="5"/>
  <c r="K48" i="5" s="1"/>
  <c r="T72" i="6"/>
  <c r="T84" i="6"/>
  <c r="U72" i="6" l="1"/>
  <c r="U84" i="6"/>
  <c r="N10" i="6"/>
  <c r="B31" i="1"/>
  <c r="B22" i="1"/>
  <c r="F16" i="6"/>
  <c r="B23" i="1" s="1"/>
  <c r="DF190" i="5"/>
  <c r="CR190" i="5"/>
  <c r="CD190" i="5"/>
  <c r="BP190" i="5"/>
  <c r="BB190" i="5"/>
  <c r="AN190" i="5"/>
  <c r="Z190" i="5"/>
  <c r="DA190" i="5"/>
  <c r="CM190" i="5"/>
  <c r="BY190" i="5"/>
  <c r="BK190" i="5"/>
  <c r="AW190" i="5"/>
  <c r="AI190" i="5"/>
  <c r="U190" i="5"/>
  <c r="DK190" i="5"/>
  <c r="CU190" i="5"/>
  <c r="CE190" i="5"/>
  <c r="BN190" i="5"/>
  <c r="AX190" i="5"/>
  <c r="AG190" i="5"/>
  <c r="Q190" i="5"/>
  <c r="DJ190" i="5"/>
  <c r="CT190" i="5"/>
  <c r="CC190" i="5"/>
  <c r="BM190" i="5"/>
  <c r="AV190" i="5"/>
  <c r="AF190" i="5"/>
  <c r="P190" i="5"/>
  <c r="DI190" i="5"/>
  <c r="CS190" i="5"/>
  <c r="DD190" i="5"/>
  <c r="CJ190" i="5"/>
  <c r="BR190" i="5"/>
  <c r="AY190" i="5"/>
  <c r="AD190" i="5"/>
  <c r="DC190" i="5"/>
  <c r="CI190" i="5"/>
  <c r="BQ190" i="5"/>
  <c r="AU190" i="5"/>
  <c r="AC190" i="5"/>
  <c r="DB190" i="5"/>
  <c r="CH190" i="5"/>
  <c r="BO190" i="5"/>
  <c r="AT190" i="5"/>
  <c r="AB190" i="5"/>
  <c r="K20" i="5"/>
  <c r="K70" i="5" s="1"/>
  <c r="CZ190" i="5"/>
  <c r="CA190" i="5"/>
  <c r="BE190" i="5"/>
  <c r="AH190" i="5"/>
  <c r="BC190" i="5"/>
  <c r="CQ190" i="5"/>
  <c r="W190" i="5"/>
  <c r="BT190" i="5"/>
  <c r="AR190" i="5"/>
  <c r="CY190" i="5"/>
  <c r="BZ190" i="5"/>
  <c r="BD190" i="5"/>
  <c r="AE190" i="5"/>
  <c r="BX190" i="5"/>
  <c r="AS190" i="5"/>
  <c r="CX190" i="5"/>
  <c r="AA190" i="5"/>
  <c r="Y190" i="5"/>
  <c r="CW190" i="5"/>
  <c r="BW190" i="5"/>
  <c r="BA190" i="5"/>
  <c r="V190" i="5"/>
  <c r="CV190" i="5"/>
  <c r="BV190" i="5"/>
  <c r="AZ190" i="5"/>
  <c r="X190" i="5"/>
  <c r="BU190" i="5"/>
  <c r="CP190" i="5"/>
  <c r="CO190" i="5"/>
  <c r="BS190" i="5"/>
  <c r="AQ190" i="5"/>
  <c r="T190" i="5"/>
  <c r="CK190" i="5"/>
  <c r="O190" i="5"/>
  <c r="CN190" i="5"/>
  <c r="BL190" i="5"/>
  <c r="AP190" i="5"/>
  <c r="S190" i="5"/>
  <c r="BI190" i="5"/>
  <c r="CL190" i="5"/>
  <c r="BJ190" i="5"/>
  <c r="AO190" i="5"/>
  <c r="R190" i="5"/>
  <c r="DL190" i="5"/>
  <c r="AM190" i="5"/>
  <c r="DG190" i="5"/>
  <c r="CF190" i="5"/>
  <c r="BG190" i="5"/>
  <c r="AK190" i="5"/>
  <c r="M190" i="5"/>
  <c r="CB190" i="5"/>
  <c r="AJ190" i="5"/>
  <c r="CG190" i="5"/>
  <c r="BH190" i="5"/>
  <c r="AL190" i="5"/>
  <c r="BF190" i="5"/>
  <c r="DH190" i="5"/>
  <c r="DE190" i="5"/>
  <c r="N190" i="5"/>
  <c r="S72" i="5"/>
  <c r="R84" i="5"/>
  <c r="A3" i="5" l="1"/>
  <c r="M10" i="5" s="1"/>
  <c r="K189" i="5"/>
  <c r="I10" i="5" s="1"/>
  <c r="T72" i="5"/>
  <c r="S84" i="5"/>
  <c r="V72" i="6"/>
  <c r="V84" i="6"/>
  <c r="W72" i="6" l="1"/>
  <c r="W84" i="6"/>
  <c r="U72" i="5"/>
  <c r="T84" i="5"/>
  <c r="V72" i="5" l="1"/>
  <c r="U84" i="5"/>
  <c r="X72" i="6"/>
  <c r="X84" i="6"/>
  <c r="Y72" i="6" l="1"/>
  <c r="Y84" i="6"/>
  <c r="W72" i="5"/>
  <c r="V84" i="5"/>
  <c r="X72" i="5" l="1"/>
  <c r="W84" i="5"/>
  <c r="Z72" i="6"/>
  <c r="Z84" i="6"/>
  <c r="AA72" i="6" l="1"/>
  <c r="AA84" i="6"/>
  <c r="Y72" i="5"/>
  <c r="X84" i="5"/>
  <c r="Z72" i="5" l="1"/>
  <c r="Y84" i="5"/>
  <c r="AB84" i="6"/>
  <c r="AB72" i="6"/>
  <c r="AC72" i="6" l="1"/>
  <c r="AC84" i="6"/>
  <c r="AA72" i="5"/>
  <c r="Z84" i="5"/>
  <c r="AB72" i="5" l="1"/>
  <c r="AA84" i="5"/>
  <c r="AD72" i="6"/>
  <c r="AD84" i="6"/>
  <c r="AE72" i="6" l="1"/>
  <c r="AE84" i="6"/>
  <c r="AC72" i="5"/>
  <c r="AB84" i="5"/>
  <c r="AD72" i="5" l="1"/>
  <c r="AC84" i="5"/>
  <c r="AF72" i="6"/>
  <c r="AF84" i="6"/>
  <c r="AG72" i="6" l="1"/>
  <c r="AG84" i="6"/>
  <c r="AD84" i="5"/>
  <c r="AE72" i="5"/>
  <c r="AF72" i="5" l="1"/>
  <c r="AE84" i="5"/>
  <c r="AH72" i="6"/>
  <c r="AH84" i="6"/>
  <c r="AI72" i="6" l="1"/>
  <c r="AI84" i="6"/>
  <c r="AG72" i="5"/>
  <c r="AF84" i="5"/>
  <c r="AH72" i="5" l="1"/>
  <c r="AG84" i="5"/>
  <c r="AJ72" i="6"/>
  <c r="AJ84" i="6"/>
  <c r="AK72" i="6" l="1"/>
  <c r="AK84" i="6"/>
  <c r="AI72" i="5"/>
  <c r="AH84" i="5"/>
  <c r="AJ72" i="5" l="1"/>
  <c r="AI84" i="5"/>
  <c r="AL72" i="6"/>
  <c r="AL84" i="6"/>
  <c r="AM72" i="6" l="1"/>
  <c r="AM84" i="6"/>
  <c r="AK72" i="5"/>
  <c r="AJ84" i="5"/>
  <c r="AL72" i="5" l="1"/>
  <c r="AK84" i="5"/>
  <c r="AN72" i="6"/>
  <c r="AN84" i="6"/>
  <c r="AO84" i="6" l="1"/>
  <c r="AO72" i="6"/>
  <c r="AM72" i="5"/>
  <c r="AL84" i="5"/>
  <c r="AP72" i="6" l="1"/>
  <c r="AP84" i="6"/>
  <c r="AN72" i="5"/>
  <c r="AM84" i="5"/>
  <c r="AO72" i="5" l="1"/>
  <c r="AN84" i="5"/>
  <c r="AQ72" i="6"/>
  <c r="AQ84" i="6"/>
  <c r="AR72" i="6" l="1"/>
  <c r="AR84" i="6"/>
  <c r="AP72" i="5"/>
  <c r="AO84" i="5"/>
  <c r="AQ72" i="5" l="1"/>
  <c r="AP84" i="5"/>
  <c r="AS72" i="6"/>
  <c r="AS84" i="6"/>
  <c r="AT84" i="6" l="1"/>
  <c r="AT72" i="6"/>
  <c r="AR72" i="5"/>
  <c r="AQ84" i="5"/>
  <c r="AS72" i="5" l="1"/>
  <c r="AR84" i="5"/>
  <c r="AU72" i="6"/>
  <c r="AU84" i="6"/>
  <c r="AV72" i="6" l="1"/>
  <c r="AV84" i="6"/>
  <c r="AT72" i="5"/>
  <c r="AS84" i="5"/>
  <c r="AU72" i="5" l="1"/>
  <c r="AT84" i="5"/>
  <c r="AW72" i="6"/>
  <c r="AW84" i="6"/>
  <c r="AX72" i="6" l="1"/>
  <c r="AX84" i="6"/>
  <c r="AV72" i="5"/>
  <c r="AU84" i="5"/>
  <c r="AW72" i="5" l="1"/>
  <c r="AV84" i="5"/>
  <c r="AY72" i="6"/>
  <c r="AY84" i="6"/>
  <c r="AZ72" i="6" l="1"/>
  <c r="AZ84" i="6"/>
  <c r="AX72" i="5"/>
  <c r="AW84" i="5"/>
  <c r="AY72" i="5" l="1"/>
  <c r="AX84" i="5"/>
  <c r="BA72" i="6"/>
  <c r="BA84" i="6"/>
  <c r="BB72" i="6" l="1"/>
  <c r="BB84" i="6"/>
  <c r="AZ72" i="5"/>
  <c r="AY84" i="5"/>
  <c r="AZ84" i="5" l="1"/>
  <c r="BA72" i="5"/>
  <c r="BC84" i="6"/>
  <c r="BC72" i="6"/>
  <c r="BB72" i="5" l="1"/>
  <c r="BA84" i="5"/>
  <c r="BD72" i="6"/>
  <c r="BD84" i="6"/>
  <c r="BE72" i="6" l="1"/>
  <c r="BE84" i="6"/>
  <c r="BC72" i="5"/>
  <c r="BB84" i="5"/>
  <c r="BD72" i="5" l="1"/>
  <c r="BC84" i="5"/>
  <c r="BF72" i="6"/>
  <c r="BF84" i="6"/>
  <c r="BG72" i="6" l="1"/>
  <c r="BG84" i="6"/>
  <c r="BD84" i="5"/>
  <c r="BE72" i="5"/>
  <c r="BF72" i="5" l="1"/>
  <c r="BE84" i="5"/>
  <c r="BH72" i="6"/>
  <c r="BH84" i="6"/>
  <c r="BI72" i="6" l="1"/>
  <c r="BI84" i="6"/>
  <c r="BG72" i="5"/>
  <c r="BF84" i="5"/>
  <c r="BH72" i="5" l="1"/>
  <c r="BG84" i="5"/>
  <c r="BJ72" i="6"/>
  <c r="BJ84" i="6"/>
  <c r="BK72" i="6" l="1"/>
  <c r="BK84" i="6"/>
  <c r="BI72" i="5"/>
  <c r="BH84" i="5"/>
  <c r="BJ72" i="5" l="1"/>
  <c r="BI84" i="5"/>
  <c r="BL72" i="6"/>
  <c r="BL84" i="6"/>
  <c r="BM84" i="6" l="1"/>
  <c r="BM72" i="6"/>
  <c r="BK72" i="5"/>
  <c r="BJ84" i="5"/>
  <c r="BN72" i="6" l="1"/>
  <c r="BN84" i="6"/>
  <c r="BL72" i="5"/>
  <c r="BK84" i="5"/>
  <c r="BM72" i="5" l="1"/>
  <c r="BL84" i="5"/>
  <c r="BO72" i="6"/>
  <c r="BO84" i="6"/>
  <c r="BP72" i="6" l="1"/>
  <c r="BP84" i="6"/>
  <c r="BN72" i="5"/>
  <c r="BM84" i="5"/>
  <c r="BO72" i="5" l="1"/>
  <c r="BN84" i="5"/>
  <c r="BQ72" i="6"/>
  <c r="BQ84" i="6"/>
  <c r="BR72" i="6" l="1"/>
  <c r="BR84" i="6"/>
  <c r="BP72" i="5"/>
  <c r="BO84" i="5"/>
  <c r="BQ72" i="5" l="1"/>
  <c r="BP84" i="5"/>
  <c r="BS72" i="6"/>
  <c r="BS84" i="6"/>
  <c r="BT72" i="6" l="1"/>
  <c r="BT84" i="6"/>
  <c r="BQ84" i="5"/>
  <c r="BR72" i="5"/>
  <c r="BR84" i="5" l="1"/>
  <c r="BS72" i="5"/>
  <c r="BU72" i="6"/>
  <c r="BU84" i="6"/>
  <c r="BV72" i="6" l="1"/>
  <c r="BV84" i="6"/>
  <c r="BS84" i="5"/>
  <c r="BT72" i="5"/>
  <c r="BU72" i="5" l="1"/>
  <c r="BT84" i="5"/>
  <c r="BW72" i="6"/>
  <c r="BW84" i="6"/>
  <c r="BX72" i="6" l="1"/>
  <c r="BX84" i="6"/>
  <c r="BV72" i="5"/>
  <c r="BU84" i="5"/>
  <c r="BW72" i="5" l="1"/>
  <c r="BV84" i="5"/>
  <c r="BY72" i="6"/>
  <c r="BY84" i="6"/>
  <c r="BZ72" i="6" l="1"/>
  <c r="BZ84" i="6"/>
  <c r="BX72" i="5"/>
  <c r="BW84" i="5"/>
  <c r="BY72" i="5" l="1"/>
  <c r="BX84" i="5"/>
  <c r="CA84" i="6"/>
  <c r="CA72" i="6"/>
  <c r="CB72" i="6" l="1"/>
  <c r="CB84" i="6"/>
  <c r="BZ72" i="5"/>
  <c r="BY84" i="5"/>
  <c r="CA72" i="5" l="1"/>
  <c r="BZ84" i="5"/>
  <c r="CC72" i="6"/>
  <c r="CC84" i="6"/>
  <c r="CD84" i="6" l="1"/>
  <c r="CD72" i="6"/>
  <c r="CB72" i="5"/>
  <c r="CA84" i="5"/>
  <c r="CC72" i="5" l="1"/>
  <c r="CB84" i="5"/>
  <c r="CE72" i="6"/>
  <c r="CE84" i="6"/>
  <c r="CF72" i="6" l="1"/>
  <c r="CF84" i="6"/>
  <c r="CD72" i="5"/>
  <c r="CC84" i="5"/>
  <c r="CE72" i="5" l="1"/>
  <c r="CD84" i="5"/>
  <c r="CG72" i="6"/>
  <c r="CG84" i="6"/>
  <c r="CH72" i="6" l="1"/>
  <c r="CH84" i="6"/>
  <c r="CF72" i="5"/>
  <c r="CE84" i="5"/>
  <c r="CG72" i="5" l="1"/>
  <c r="CF84" i="5"/>
  <c r="CI72" i="6"/>
  <c r="CI84" i="6"/>
  <c r="CJ84" i="6" l="1"/>
  <c r="CJ72" i="6"/>
  <c r="CH72" i="5"/>
  <c r="CG84" i="5"/>
  <c r="CI72" i="5" l="1"/>
  <c r="CH84" i="5"/>
  <c r="CK72" i="6"/>
  <c r="CK84" i="6"/>
  <c r="CL72" i="6" l="1"/>
  <c r="CL84" i="6"/>
  <c r="CJ72" i="5"/>
  <c r="CI84" i="5"/>
  <c r="CJ84" i="5" l="1"/>
  <c r="CK72" i="5"/>
  <c r="CM72" i="6"/>
  <c r="CM84" i="6"/>
  <c r="CN72" i="6" l="1"/>
  <c r="CN84" i="6"/>
  <c r="CL72" i="5"/>
  <c r="CK84" i="5"/>
  <c r="CM72" i="5" l="1"/>
  <c r="CL84" i="5"/>
  <c r="CO72" i="6"/>
  <c r="CO84" i="6"/>
  <c r="CP72" i="6" l="1"/>
  <c r="CP84" i="6"/>
  <c r="CN72" i="5"/>
  <c r="CM84" i="5"/>
  <c r="CO72" i="5" l="1"/>
  <c r="CN84" i="5"/>
  <c r="CQ72" i="6"/>
  <c r="CQ84" i="6"/>
  <c r="CR84" i="6" l="1"/>
  <c r="CR72" i="6"/>
  <c r="CP72" i="5"/>
  <c r="CO84" i="5"/>
  <c r="CS72" i="6" l="1"/>
  <c r="CS84" i="6"/>
  <c r="CP84" i="5"/>
  <c r="CQ72" i="5"/>
  <c r="CQ84" i="5" l="1"/>
  <c r="CR72" i="5"/>
  <c r="CT84" i="6"/>
  <c r="CT72" i="6"/>
  <c r="CU72" i="6" l="1"/>
  <c r="CU84" i="6"/>
  <c r="CS72" i="5"/>
  <c r="CR84" i="5"/>
  <c r="CT72" i="5" l="1"/>
  <c r="CS84" i="5"/>
  <c r="CV72" i="6"/>
  <c r="CV84" i="6"/>
  <c r="CW72" i="6" l="1"/>
  <c r="CW84" i="6"/>
  <c r="CU72" i="5"/>
  <c r="CT84" i="5"/>
  <c r="CV72" i="5" l="1"/>
  <c r="CU84" i="5"/>
  <c r="CX72" i="6"/>
  <c r="CX84" i="6"/>
  <c r="CY72" i="6" l="1"/>
  <c r="CY84" i="6"/>
  <c r="CV84" i="5"/>
  <c r="CW72" i="5"/>
  <c r="CX72" i="5" l="1"/>
  <c r="CW84" i="5"/>
  <c r="CZ72" i="6"/>
  <c r="CZ84" i="6"/>
  <c r="DA72" i="6" l="1"/>
  <c r="DA84" i="6"/>
  <c r="CY72" i="5"/>
  <c r="CX84" i="5"/>
  <c r="CZ72" i="5" l="1"/>
  <c r="CY84" i="5"/>
  <c r="DB72" i="6"/>
  <c r="DB84" i="6"/>
  <c r="DC72" i="6" l="1"/>
  <c r="DC84" i="6"/>
  <c r="DA72" i="5"/>
  <c r="CZ84" i="5"/>
  <c r="DB72" i="5" l="1"/>
  <c r="DA84" i="5"/>
  <c r="DD72" i="6"/>
  <c r="DD84" i="6"/>
  <c r="DE72" i="6" l="1"/>
  <c r="DE84" i="6"/>
  <c r="DC72" i="5"/>
  <c r="DB84" i="5"/>
  <c r="DD72" i="5" l="1"/>
  <c r="DC84" i="5"/>
  <c r="DF72" i="6"/>
  <c r="DF84" i="6"/>
  <c r="DG84" i="6" l="1"/>
  <c r="DG72" i="6"/>
  <c r="DE72" i="5"/>
  <c r="DD84" i="5"/>
  <c r="DH84" i="6" l="1"/>
  <c r="DH72" i="6"/>
  <c r="DF72" i="5"/>
  <c r="DE84" i="5"/>
  <c r="DF84" i="5" l="1"/>
  <c r="DG72" i="5"/>
  <c r="DI72" i="6"/>
  <c r="DI84" i="6"/>
  <c r="DJ84" i="6" l="1"/>
  <c r="DJ72" i="6"/>
  <c r="DH72" i="5"/>
  <c r="DG84" i="5"/>
  <c r="DK72" i="6" l="1"/>
  <c r="DK84" i="6"/>
  <c r="DH84" i="5"/>
  <c r="DI72" i="5"/>
  <c r="DI84" i="5" l="1"/>
  <c r="DJ72" i="5"/>
  <c r="DL72" i="6"/>
  <c r="DL84" i="6"/>
  <c r="DM72" i="6" l="1"/>
  <c r="DM84" i="6"/>
  <c r="DK72" i="5"/>
  <c r="DJ84" i="5"/>
  <c r="DL72" i="5" l="1"/>
  <c r="DL84" i="5" s="1"/>
  <c r="DK84" i="5"/>
</calcChain>
</file>

<file path=xl/sharedStrings.xml><?xml version="1.0" encoding="utf-8"?>
<sst xmlns="http://schemas.openxmlformats.org/spreadsheetml/2006/main" count="1552" uniqueCount="393">
  <si>
    <t>Project Initiation Workbook</t>
  </si>
  <si>
    <t>Today's Date:</t>
  </si>
  <si>
    <t>Client Company Name:</t>
  </si>
  <si>
    <t>Required</t>
  </si>
  <si>
    <t>Project Name:</t>
  </si>
  <si>
    <t>Contract Type:</t>
  </si>
  <si>
    <t>Currency:</t>
  </si>
  <si>
    <t>Planned Number of Weeks:</t>
  </si>
  <si>
    <t>INR</t>
  </si>
  <si>
    <t>Contract Type</t>
  </si>
  <si>
    <t>Fixed Fee</t>
  </si>
  <si>
    <t>T&amp;M</t>
  </si>
  <si>
    <t>Budgeted Hours:</t>
  </si>
  <si>
    <t>Budget:</t>
  </si>
  <si>
    <t>Budgeted Expenses:</t>
  </si>
  <si>
    <t>Total Resource Cost:</t>
  </si>
  <si>
    <t>Information for Project Controllers</t>
  </si>
  <si>
    <t>Total Fixed Fee</t>
  </si>
  <si>
    <t>&lt;40%</t>
  </si>
  <si>
    <t>Bad. Below our breakeven costs</t>
  </si>
  <si>
    <t>40-45%</t>
  </si>
  <si>
    <t>Not Great. Barely breakeven and minimal contribution to OROS</t>
  </si>
  <si>
    <t>45-52%</t>
  </si>
  <si>
    <t>Ok. Contributes to OROS but below targets</t>
  </si>
  <si>
    <t>52-60%</t>
  </si>
  <si>
    <t>Good. At or close to OROS targets</t>
  </si>
  <si>
    <t>Less: Total Contractor Revenue</t>
  </si>
  <si>
    <t>60%+</t>
  </si>
  <si>
    <t>Great. Above OROS target</t>
  </si>
  <si>
    <t>Project Workstream</t>
  </si>
  <si>
    <t>Standard Rate</t>
  </si>
  <si>
    <t xml:space="preserve">Normalized Rate </t>
  </si>
  <si>
    <t>Revenue at Standard</t>
  </si>
  <si>
    <t xml:space="preserve">Normalized Revenue </t>
  </si>
  <si>
    <t>Budgeted Hours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</si>
  <si>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</si>
  <si>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</si>
  <si>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</si>
  <si>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</si>
  <si>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</si>
  <si>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</si>
  <si>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</si>
  <si>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</si>
  <si>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</si>
  <si>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</si>
  <si>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</si>
  <si>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</si>
  <si>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</si>
  <si>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</si>
  <si>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</si>
  <si>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</si>
  <si>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</si>
  <si>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</si>
  <si>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</si>
  <si>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</si>
  <si>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</si>
  <si>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</si>
  <si>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</si>
  <si>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</si>
  <si>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</si>
  <si>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</si>
  <si>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</si>
  <si>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</si>
  <si>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</si>
  <si>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</si>
  <si>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</si>
  <si>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</si>
  <si>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</si>
  <si>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</si>
  <si>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</si>
  <si>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</si>
  <si>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</si>
  <si>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</si>
  <si>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</si>
  <si>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</si>
  <si>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</si>
  <si>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</si>
  <si>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</si>
  <si>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</si>
  <si>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</si>
  <si>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</si>
  <si>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</si>
  <si>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</si>
  <si>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</si>
  <si>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</si>
  <si>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</si>
  <si>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</si>
  <si>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</si>
  <si>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Week 54</t>
  </si>
  <si>
    <t>Week 55</t>
  </si>
  <si>
    <t>Week 56</t>
  </si>
  <si>
    <t>Week 57</t>
  </si>
  <si>
    <t>Week 58</t>
  </si>
  <si>
    <t>Week 59</t>
  </si>
  <si>
    <t>Week 60</t>
  </si>
  <si>
    <t>Week 61</t>
  </si>
  <si>
    <t>Week 62</t>
  </si>
  <si>
    <t>Week 63</t>
  </si>
  <si>
    <t>Week 64</t>
  </si>
  <si>
    <t>Week 65</t>
  </si>
  <si>
    <t>Week 66</t>
  </si>
  <si>
    <t>Week 67</t>
  </si>
  <si>
    <t>Week 68</t>
  </si>
  <si>
    <t>Week 69</t>
  </si>
  <si>
    <t>Week 70</t>
  </si>
  <si>
    <t>Week 71</t>
  </si>
  <si>
    <t>Week 72</t>
  </si>
  <si>
    <t>Week 73</t>
  </si>
  <si>
    <t>Week 74</t>
  </si>
  <si>
    <t>Week 75</t>
  </si>
  <si>
    <t>Week 76</t>
  </si>
  <si>
    <t>Week 77</t>
  </si>
  <si>
    <t>Week 78</t>
  </si>
  <si>
    <t>Week 79</t>
  </si>
  <si>
    <t>Week 80</t>
  </si>
  <si>
    <t>Week 81</t>
  </si>
  <si>
    <t>Week 82</t>
  </si>
  <si>
    <t>Week 83</t>
  </si>
  <si>
    <t>Week 84</t>
  </si>
  <si>
    <t>Week 85</t>
  </si>
  <si>
    <t>Week 86</t>
  </si>
  <si>
    <t>Week 87</t>
  </si>
  <si>
    <t>Week 88</t>
  </si>
  <si>
    <t>Week 89</t>
  </si>
  <si>
    <t>Week 90</t>
  </si>
  <si>
    <t>Week 91</t>
  </si>
  <si>
    <t>Week 92</t>
  </si>
  <si>
    <t>Week 93</t>
  </si>
  <si>
    <t>Week 94</t>
  </si>
  <si>
    <t>Week 95</t>
  </si>
  <si>
    <t>Week 96</t>
  </si>
  <si>
    <t>Week 97</t>
  </si>
  <si>
    <t>Week 98</t>
  </si>
  <si>
    <t>Week 99</t>
  </si>
  <si>
    <t>Week 100</t>
  </si>
  <si>
    <t>Week 101</t>
  </si>
  <si>
    <t>Week 102</t>
  </si>
  <si>
    <t>Week 103</t>
  </si>
  <si>
    <t>Week 104</t>
  </si>
  <si>
    <t>Resource Cost (INR)</t>
  </si>
  <si>
    <t>Final Project Rate</t>
  </si>
  <si>
    <t>Margin</t>
  </si>
  <si>
    <t>Project Revenue</t>
  </si>
  <si>
    <t>Hourly Cost</t>
  </si>
  <si>
    <t>Totals (Hourly)</t>
  </si>
  <si>
    <t>Staffing Notes</t>
  </si>
  <si>
    <t>Resource Type</t>
  </si>
  <si>
    <t>Standard Rate INR Per Hour</t>
  </si>
  <si>
    <t>INR Cost Per Hour</t>
  </si>
  <si>
    <t>Resource List</t>
  </si>
  <si>
    <t>Subtotal</t>
  </si>
  <si>
    <t>Delivery Workstream</t>
  </si>
  <si>
    <t>Software and Hardware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</si>
  <si>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</si>
  <si>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</si>
  <si>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</si>
  <si>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</si>
  <si>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</si>
  <si>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</si>
  <si>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</si>
  <si>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</si>
  <si>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</si>
  <si>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</si>
  <si>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</si>
  <si>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</si>
  <si>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</si>
  <si>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</si>
  <si>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</si>
  <si>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</si>
  <si>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Line 17</t>
  </si>
  <si>
    <t>Line 18</t>
  </si>
  <si>
    <t>Line 19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</si>
  <si>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</si>
  <si>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</si>
  <si>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</si>
  <si>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</si>
  <si>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</si>
  <si>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</si>
  <si>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</si>
  <si>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</si>
  <si>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</si>
  <si>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Line 29</t>
  </si>
  <si>
    <t>Line 30</t>
  </si>
  <si>
    <t>Line 31</t>
  </si>
  <si>
    <t>Line 32</t>
  </si>
  <si>
    <t>Line 33</t>
  </si>
  <si>
    <t>Line 34</t>
  </si>
  <si>
    <t>Line 35</t>
  </si>
  <si>
    <t>Line 36</t>
  </si>
  <si>
    <t>Line 37</t>
  </si>
  <si>
    <t>Line 38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</si>
  <si>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</si>
  <si>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</si>
  <si>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</si>
  <si>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</si>
  <si>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</si>
  <si>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</si>
  <si>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</si>
  <si>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</si>
  <si>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</si>
  <si>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</si>
  <si>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</si>
  <si>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</si>
  <si>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</si>
  <si>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</si>
  <si>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</si>
  <si>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</si>
  <si>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</si>
  <si>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</si>
  <si>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</si>
  <si>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</si>
  <si>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</si>
  <si>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</si>
  <si>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</si>
  <si>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</si>
  <si>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</si>
  <si>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</si>
  <si>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</si>
  <si>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</si>
  <si>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</si>
  <si>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</si>
  <si>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</si>
  <si>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</si>
  <si>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</si>
  <si>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</si>
  <si>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</si>
  <si>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</si>
  <si>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</si>
  <si>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</si>
  <si>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</si>
  <si>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</si>
  <si>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</si>
  <si>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</si>
  <si>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</si>
  <si>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</si>
  <si>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83</t>
  </si>
  <si>
    <t>Line 84</t>
  </si>
  <si>
    <t>Line 85</t>
  </si>
  <si>
    <t>Line 86</t>
  </si>
  <si>
    <t>Line 87</t>
  </si>
  <si>
    <t>Line 88</t>
  </si>
  <si>
    <t>Line 89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</si>
  <si>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</si>
  <si>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</si>
  <si>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</si>
  <si>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</si>
  <si>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</si>
  <si>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</si>
  <si>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</si>
  <si>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</si>
  <si>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</si>
  <si>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</si>
  <si>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</si>
  <si>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</si>
  <si>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</si>
  <si>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</si>
  <si>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</si>
  <si>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Total Qty</t>
  </si>
  <si>
    <t>Project Cost</t>
  </si>
  <si>
    <t>List Price</t>
  </si>
  <si>
    <t>Project Price</t>
  </si>
  <si>
    <t>Catalog Number</t>
  </si>
  <si>
    <t>Catalog Name</t>
  </si>
  <si>
    <t>Contractors</t>
  </si>
  <si>
    <t>Project Rate</t>
  </si>
  <si>
    <t>Contractor Name</t>
  </si>
  <si>
    <t>Rockwell Resources</t>
  </si>
  <si>
    <t>Rockwell Name</t>
  </si>
  <si>
    <t>Interco Hourly Cost</t>
  </si>
  <si>
    <t>Avg Hourly Rate</t>
  </si>
  <si>
    <t>Less: Total RA Interco Revenue</t>
  </si>
  <si>
    <t>Less : Total SW/HW Revenue</t>
  </si>
  <si>
    <t>Revenue at Proj Rate</t>
  </si>
  <si>
    <t>Revenue Arrural Rate (Excluding SW/HW):</t>
  </si>
  <si>
    <t>If additional rows are needed, unhide rows 26-62</t>
  </si>
  <si>
    <t>If additional rows are needed, unhide rows 77-96</t>
  </si>
  <si>
    <t>If additional rows are needed, unhide rows 112-130</t>
  </si>
  <si>
    <t>If additional rows are needed, unhide rows 146-164</t>
  </si>
  <si>
    <t>Realization Rate</t>
  </si>
  <si>
    <t>Contractor</t>
  </si>
  <si>
    <t>RA Interco</t>
  </si>
  <si>
    <t>Total Project</t>
  </si>
  <si>
    <t>INR to USD Exchange Rate</t>
  </si>
  <si>
    <t>Revenue at Project Rate</t>
  </si>
  <si>
    <t>Total SW/HW Revenue</t>
  </si>
  <si>
    <t>Total Contractor Revenue</t>
  </si>
  <si>
    <t>Total RA Interco Revenue</t>
  </si>
  <si>
    <t>Less: Billable Expenses</t>
  </si>
  <si>
    <t>Total SW/HW Revenue:</t>
  </si>
  <si>
    <t>Total Contractor Revenue:</t>
  </si>
  <si>
    <t>Total RA Interco Revenue:</t>
  </si>
  <si>
    <t>Avg Hourly Rate:</t>
  </si>
  <si>
    <t>Contractor Margin:</t>
  </si>
  <si>
    <t>RA Interco Margin:</t>
  </si>
  <si>
    <t>Total Project Margin:</t>
  </si>
  <si>
    <t>Hide</t>
  </si>
  <si>
    <t>CRM Opportunity #</t>
  </si>
  <si>
    <t>Project Expenses</t>
  </si>
  <si>
    <t>Total Expense</t>
  </si>
  <si>
    <t>Notes</t>
  </si>
  <si>
    <t>Expense Type</t>
  </si>
  <si>
    <t>Expense Cost</t>
  </si>
  <si>
    <t>Services Margin</t>
  </si>
  <si>
    <t>Services Margin:</t>
  </si>
  <si>
    <t>Total Services Revenue in USD:</t>
  </si>
  <si>
    <t>Total Services Revenue:</t>
  </si>
  <si>
    <t>Total Services Revenue</t>
  </si>
  <si>
    <t>Total Services Revenue in USD</t>
  </si>
  <si>
    <t>Discount</t>
  </si>
  <si>
    <t>SW/HW Discount</t>
  </si>
  <si>
    <t>SW/HW Discount:</t>
  </si>
  <si>
    <t>Total KL Services Revenue in USD</t>
  </si>
  <si>
    <t>If additional rows are needed, unhide rows 32-69</t>
  </si>
  <si>
    <t>If additional rows are needed, unhide rows 100-119</t>
  </si>
  <si>
    <t>If additional rows are needed, unhide rows 134-154</t>
  </si>
  <si>
    <t>If additional rows are needed, unhide rows 168-188</t>
  </si>
  <si>
    <t>Onshore (US)</t>
  </si>
  <si>
    <t>Total</t>
  </si>
  <si>
    <t>Overall</t>
  </si>
  <si>
    <t>Services</t>
  </si>
  <si>
    <t>GCC Engineer</t>
  </si>
  <si>
    <t>GCC Sr. Engineer</t>
  </si>
  <si>
    <t>GCC Project Manager</t>
  </si>
  <si>
    <t>USD Rate</t>
  </si>
  <si>
    <t>Nov 18, 2025 Version</t>
  </si>
  <si>
    <t>TBD</t>
  </si>
  <si>
    <t>Vignesh_T&amp;M</t>
  </si>
  <si>
    <t>abc</t>
  </si>
  <si>
    <r>
      <t>Planned St</t>
    </r>
    <r>
      <rPr>
        <b/>
        <sz val="11"/>
        <color theme="0"/>
        <rFont val="Calibri"/>
        <family val="2"/>
        <scheme val="minor"/>
      </rPr>
      <t>art Date:</t>
    </r>
  </si>
  <si>
    <r>
      <t>Planned</t>
    </r>
    <r>
      <rPr>
        <b/>
        <sz val="11"/>
        <color theme="0"/>
        <rFont val="Calibri"/>
        <family val="2"/>
        <scheme val="minor"/>
      </rPr>
      <t xml:space="preserve"> End Date:</t>
    </r>
  </si>
  <si>
    <r>
      <t xml:space="preserve">Less: Inclusive Expenses
</t>
    </r>
    <r>
      <rPr>
        <sz val="9"/>
        <color rgb="FFFFFFFF"/>
        <rFont val="Calibri"/>
        <family val="2"/>
        <scheme val="minor"/>
      </rPr>
      <t>(if Fixed Fee + Expenses, then enter 0)</t>
    </r>
  </si>
  <si>
    <t>Vignesh Prabhu V</t>
  </si>
  <si>
    <t>PIW Resource Calculation Verification — RA Bangalore</t>
  </si>
  <si>
    <t>Project: TBD   |   Generated: 19/6/2026   |   Holidays: RA Bangalore calendar</t>
  </si>
  <si>
    <t>SECTION 1: RESOURCE SUMMARY</t>
  </si>
  <si>
    <t>#</t>
  </si>
  <si>
    <t>RAID</t>
  </si>
  <si>
    <t>Resource Name</t>
  </si>
  <si>
    <t>PIW Role</t>
  </si>
  <si>
    <t>Skill Type</t>
  </si>
  <si>
    <t>Daily Rate</t>
  </si>
  <si>
    <t>Hourly Rate (÷8)</t>
  </si>
  <si>
    <t>Start Date</t>
  </si>
  <si>
    <t>End Date</t>
  </si>
  <si>
    <t>Total Net Hours</t>
  </si>
  <si>
    <t>90718836</t>
  </si>
  <si>
    <t>Commodity</t>
  </si>
  <si>
    <t>1 Jun 2026</t>
  </si>
  <si>
    <t>30 Jun 2026</t>
  </si>
  <si>
    <t>SECTION 2: MONTHLY BREAKDOWN (Gross → Fixed Holidays → Assumed Leave → Net)</t>
  </si>
  <si>
    <t>Month</t>
  </si>
  <si>
    <t>Gross Days</t>
  </si>
  <si>
    <t>Fixed Holidays</t>
  </si>
  <si>
    <t>Assumed Leave Day</t>
  </si>
  <si>
    <t>Net Working Days</t>
  </si>
  <si>
    <t>Net Billable Hours</t>
  </si>
  <si>
    <t>Assumed Leave Week</t>
  </si>
  <si>
    <t>Comments</t>
  </si>
  <si>
    <t>Jun 2026</t>
  </si>
  <si>
    <t>Week of 1 Jun 2026</t>
  </si>
  <si>
    <t>—</t>
  </si>
  <si>
    <t/>
  </si>
  <si>
    <t>Vignesh Prabhu V — TOTAL</t>
  </si>
  <si>
    <t>SECTION 3: HOLIDAY REFERENCE (Loaded from uploaded Excel)</t>
  </si>
  <si>
    <t>Date</t>
  </si>
  <si>
    <t>Holiday Name</t>
  </si>
  <si>
    <t>Day</t>
  </si>
  <si>
    <t>2026-01-26</t>
  </si>
  <si>
    <t>Republic Day</t>
  </si>
  <si>
    <t>Mon</t>
  </si>
  <si>
    <t>2026-03-19</t>
  </si>
  <si>
    <t>Ramzan/Ugadi/Gudi Padwa</t>
  </si>
  <si>
    <t>Thu</t>
  </si>
  <si>
    <t>2026-05-01</t>
  </si>
  <si>
    <t>Labour Day / May Day / Budha Poornima</t>
  </si>
  <si>
    <t>Fri</t>
  </si>
  <si>
    <t>2026-10-02</t>
  </si>
  <si>
    <t>Gandhi Jayanti</t>
  </si>
  <si>
    <t>2026-10-20</t>
  </si>
  <si>
    <t>Mahanavami / Vijaya Dasami</t>
  </si>
  <si>
    <t>Tue</t>
  </si>
  <si>
    <t>2026-11-10</t>
  </si>
  <si>
    <t>Balipadyami</t>
  </si>
  <si>
    <t>2026-12-25</t>
  </si>
  <si>
    <t>Christmas</t>
  </si>
  <si>
    <t>SECTION 4: ASSUMPTIONS &amp; METHODOLOGY</t>
  </si>
  <si>
    <t>• Working week: Mon–Fri, 8 hrs/day</t>
  </si>
  <si>
    <t>• Public holidays: RA Bangalore FIXED holidays only (National + Karnataka state mandatory) — restricted/optional leaves NOT included</t>
  </si>
  <si>
    <t>• Assumed leave: 1 day per calendar month per resource, deducted from the first active working week of that month</t>
  </si>
  <si>
    <t>• Partial weeks: pro-rated by actual Mon–Fri days within resource engagement range</t>
  </si>
  <si>
    <t>• Week alignment: Project weeks start on nearest preceding Monday from project start date</t>
  </si>
  <si>
    <t>• Project Rate = Daily Rate ÷ 8  (rate from RA rate card based on experience &amp; skill type)</t>
  </si>
  <si>
    <t>• Net Billable Hours = (Gross Days − Fixed Holiday Days − Assumed Leave Day) ×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</si>
</sst>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[$-409]mmmm\ d\,\ yyyy;@"/>
    <numFmt numFmtId="166" formatCode="[$$-409]\ #,##0.00;[Red]\-\([$$-409]\ #,##0.00\)"/>
    <numFmt numFmtId="167" formatCode="_([$$-409]* #,##0.00_);_([$$-409]* \(#,##0.00\);_([$$-409]* &quot;-&quot;??_);_(@_)"/>
    <numFmt numFmtId="168" formatCode="_-[$₹-820]* #,##0.00_-;\-[$₹-820]* #,##0.00_-;_-[$₹-820]* &quot;-&quot;??_-;_-@_-"/>
    <numFmt numFmtId="169" formatCode="_-[$₹-861]\ * #,##0.00_-;\-[$₹-861]\ * #,##0.00_-;_-[$₹-861]\ * &quot;-&quot;??_-;_-@_-"/>
    <numFmt numFmtId="170" formatCode="_ [$₹-445]\ * #,##0.00_ ;_ [$₹-445]\ * \-#,##0.00_ ;_ [$₹-445]\ * &quot;-&quot;??_ ;_ @_ "/>
  </numFmts>
  <fonts count="1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9"/>
      <color rgb="FFFFFFFF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FF99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20"/>
      <name val="Calibri"/>
      <family val="2"/>
      <scheme val="minor"/>
    </font>
    <font>
      <b/>
      <i/>
      <sz val="10"/>
      <color indexed="60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3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</fonts>
  <fills count="10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762123"/>
        <bgColor indexed="64"/>
      </patternFill>
    </fill>
    <fill>
      <patternFill patternType="solid">
        <fgColor rgb="FFD2D8DB"/>
        <bgColor indexed="64"/>
      </patternFill>
    </fill>
    <fill>
      <patternFill patternType="solid">
        <fgColor rgb="FF3E41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E2EFDA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none">
        <fgColor auto="1"/>
        <bgColor auto="1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</fills>
  <borders count="1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229">
    <xf numFmtId="0" fontId="0" fillId="0" borderId="0" xfId="0"/>
    <xf numFmtId="0" fontId="4" fillId="0" borderId="4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5" fillId="13" borderId="21" xfId="0" applyFont="1" applyFill="1" applyBorder="1"/>
    <xf numFmtId="0" fontId="6" fillId="13" borderId="22" xfId="0" applyFont="1" applyFill="1" applyBorder="1"/>
    <xf numFmtId="0" fontId="7" fillId="6" borderId="2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2" fillId="13" borderId="28" xfId="0" applyFont="1" applyFill="1" applyBorder="1" applyAlignment="1">
      <alignment horizontal="center"/>
    </xf>
    <xf numFmtId="0" fontId="2" fillId="13" borderId="22" xfId="0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vertical="center"/>
      <protection hidden="1"/>
    </xf>
    <xf numFmtId="168" fontId="0" fillId="6" borderId="6" xfId="0" applyNumberFormat="1" applyFill="1" applyBorder="1" applyAlignment="1">
      <alignment horizontal="center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vertical="center" wrapText="1"/>
      <protection hidden="1"/>
    </xf>
    <xf numFmtId="0" fontId="10" fillId="7" borderId="0" xfId="0" applyFont="1" applyFill="1" applyAlignment="1">
      <alignment horizontal="right"/>
    </xf>
    <xf numFmtId="0" fontId="11" fillId="0" borderId="0" xfId="0" applyFont="1" applyProtection="1">
      <protection hidden="1"/>
    </xf>
    <xf numFmtId="0" fontId="8" fillId="3" borderId="7" xfId="0" applyFont="1" applyFill="1" applyBorder="1" applyAlignment="1" applyProtection="1">
      <alignment vertical="center"/>
      <protection hidden="1"/>
    </xf>
    <xf numFmtId="168" fontId="0" fillId="6" borderId="8" xfId="0" applyNumberFormat="1" applyFill="1" applyBorder="1" applyAlignment="1">
      <alignment horizontal="center"/>
    </xf>
    <xf numFmtId="0" fontId="12" fillId="8" borderId="0" xfId="0" applyFont="1" applyFill="1" applyAlignment="1">
      <alignment horizontal="right"/>
    </xf>
    <xf numFmtId="0" fontId="13" fillId="9" borderId="0" xfId="0" applyFont="1" applyFill="1" applyAlignment="1" applyProtection="1">
      <alignment horizontal="right" shrinkToFit="1"/>
      <protection locked="0" hidden="1"/>
    </xf>
    <xf numFmtId="0" fontId="14" fillId="0" borderId="0" xfId="0" applyFont="1"/>
    <xf numFmtId="0" fontId="8" fillId="3" borderId="9" xfId="0" applyFont="1" applyFill="1" applyBorder="1" applyAlignment="1" applyProtection="1">
      <alignment vertical="center"/>
      <protection hidden="1"/>
    </xf>
    <xf numFmtId="168" fontId="0" fillId="6" borderId="10" xfId="0" applyNumberFormat="1" applyFill="1" applyBorder="1" applyAlignment="1">
      <alignment horizontal="center"/>
    </xf>
    <xf numFmtId="0" fontId="15" fillId="10" borderId="0" xfId="0" applyFont="1" applyFill="1" applyAlignment="1" applyProtection="1">
      <alignment horizontal="right"/>
      <protection hidden="1"/>
    </xf>
    <xf numFmtId="166" fontId="14" fillId="0" borderId="0" xfId="0" applyNumberFormat="1" applyFont="1"/>
    <xf numFmtId="0" fontId="16" fillId="11" borderId="0" xfId="0" applyFont="1" applyFill="1" applyAlignment="1">
      <alignment horizontal="right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167" fontId="17" fillId="0" borderId="0" xfId="1" applyNumberFormat="1" applyFont="1" applyFill="1" applyBorder="1" applyAlignment="1" applyProtection="1">
      <alignment horizontal="center" vertical="center" shrinkToFit="1"/>
      <protection hidden="1"/>
    </xf>
    <xf numFmtId="0" fontId="8" fillId="3" borderId="5" xfId="0" applyFont="1" applyFill="1" applyBorder="1" applyAlignment="1" applyProtection="1">
      <alignment horizontal="center" vertical="center"/>
      <protection hidden="1"/>
    </xf>
    <xf numFmtId="14" fontId="0" fillId="6" borderId="18" xfId="0" applyNumberFormat="1" applyFill="1" applyBorder="1"/>
    <xf numFmtId="14" fontId="0" fillId="6" borderId="15" xfId="0" applyNumberFormat="1" applyFill="1" applyBorder="1"/>
    <xf numFmtId="0" fontId="0" fillId="0" borderId="15" xfId="0" applyBorder="1"/>
    <xf numFmtId="0" fontId="8" fillId="3" borderId="13" xfId="0" applyFont="1" applyFill="1" applyBorder="1" applyAlignment="1" applyProtection="1">
      <alignment horizontal="center" vertical="center" shrinkToFit="1"/>
      <protection hidden="1"/>
    </xf>
    <xf numFmtId="0" fontId="8" fillId="3" borderId="13" xfId="0" applyFont="1" applyFill="1" applyBorder="1" applyAlignment="1" applyProtection="1">
      <alignment horizontal="center" vertical="center"/>
      <protection hidden="1"/>
    </xf>
    <xf numFmtId="0" fontId="8" fillId="3" borderId="11" xfId="0" applyFont="1" applyFill="1" applyBorder="1" applyAlignment="1" applyProtection="1">
      <alignment horizontal="center" vertical="center"/>
      <protection hidden="1"/>
    </xf>
    <xf numFmtId="0" fontId="8" fillId="12" borderId="6" xfId="0" applyFont="1" applyFill="1" applyBorder="1" applyAlignment="1" applyProtection="1">
      <alignment horizontal="center" vertical="center"/>
      <protection hidden="1"/>
    </xf>
    <xf numFmtId="0" fontId="0" fillId="0" borderId="7" xfId="0" applyBorder="1"/>
    <xf numFmtId="0" fontId="0" fillId="0" borderId="2" xfId="0" applyBorder="1"/>
    <xf numFmtId="168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13" borderId="22" xfId="0" applyFill="1" applyBorder="1"/>
    <xf numFmtId="168" fontId="0" fillId="0" borderId="20" xfId="0" applyNumberFormat="1" applyBorder="1" applyAlignment="1">
      <alignment horizontal="center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8" xfId="0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22" xfId="0" applyBorder="1"/>
    <xf numFmtId="166" fontId="18" fillId="3" borderId="27" xfId="0" applyNumberFormat="1" applyFont="1" applyFill="1" applyBorder="1" applyAlignment="1">
      <alignment horizontal="center" vertical="center"/>
    </xf>
    <xf numFmtId="0" fontId="18" fillId="3" borderId="25" xfId="0" applyFont="1" applyFill="1" applyBorder="1" applyAlignment="1">
      <alignment horizontal="center" vertical="center"/>
    </xf>
    <xf numFmtId="0" fontId="8" fillId="3" borderId="25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hidden="1"/>
    </xf>
    <xf numFmtId="168" fontId="0" fillId="6" borderId="2" xfId="0" applyNumberFormat="1" applyFill="1" applyBorder="1"/>
    <xf numFmtId="168" fontId="0" fillId="6" borderId="18" xfId="0" applyNumberFormat="1" applyFill="1" applyBorder="1" applyAlignment="1">
      <alignment horizontal="center"/>
    </xf>
    <xf numFmtId="0" fontId="8" fillId="3" borderId="8" xfId="0" applyFont="1" applyFill="1" applyBorder="1" applyAlignment="1" applyProtection="1">
      <alignment horizontal="center" vertical="center"/>
      <protection hidden="1"/>
    </xf>
    <xf numFmtId="10" fontId="3" fillId="6" borderId="9" xfId="2" applyNumberFormat="1" applyFont="1" applyFill="1" applyBorder="1" applyAlignment="1">
      <alignment horizontal="center" vertical="center"/>
    </xf>
    <xf numFmtId="168" fontId="3" fillId="6" borderId="18" xfId="0" applyNumberFormat="1" applyFont="1" applyFill="1" applyBorder="1" applyAlignment="1">
      <alignment horizontal="center" vertical="center"/>
    </xf>
    <xf numFmtId="10" fontId="19" fillId="6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0" xfId="2" applyNumberFormat="1" applyFont="1" applyFill="1" applyBorder="1" applyAlignment="1" applyProtection="1">
      <alignment horizontal="center" vertical="center" shrinkToFit="1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3" fillId="0" borderId="22" xfId="0" applyFont="1" applyBorder="1"/>
    <xf numFmtId="0" fontId="20" fillId="0" borderId="0" xfId="0" applyFont="1"/>
    <xf numFmtId="164" fontId="7" fillId="6" borderId="10" xfId="1" applyFont="1" applyFill="1" applyBorder="1" applyAlignment="1" applyProtection="1">
      <alignment horizontal="center" vertical="center" shrinkToFit="1"/>
      <protection hidden="1"/>
    </xf>
    <xf numFmtId="0" fontId="8" fillId="3" borderId="28" xfId="0" applyFont="1" applyFill="1" applyBorder="1" applyAlignment="1" applyProtection="1">
      <alignment horizontal="center" vertical="center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168" fontId="0" fillId="0" borderId="3" xfId="0" applyNumberFormat="1" applyBorder="1" applyAlignment="1">
      <alignment horizontal="center"/>
    </xf>
    <xf numFmtId="168" fontId="0" fillId="6" borderId="14" xfId="0" applyNumberFormat="1" applyFill="1" applyBorder="1" applyAlignment="1">
      <alignment horizontal="center"/>
    </xf>
    <xf numFmtId="0" fontId="8" fillId="13" borderId="0" xfId="0" applyFont="1" applyFill="1" applyAlignment="1" applyProtection="1">
      <alignment horizontal="center" vertical="center"/>
      <protection hidden="1"/>
    </xf>
    <xf numFmtId="168" fontId="0" fillId="13" borderId="0" xfId="0" applyNumberFormat="1" applyFill="1" applyAlignment="1">
      <alignment horizontal="center"/>
    </xf>
    <xf numFmtId="0" fontId="21" fillId="2" borderId="1" xfId="0" applyFont="1" applyFill="1" applyBorder="1"/>
    <xf numFmtId="0" fontId="22" fillId="2" borderId="0" xfId="0" applyFont="1" applyFill="1" applyAlignment="1">
      <alignment horizontal="left" vertical="center"/>
    </xf>
    <xf numFmtId="0" fontId="23" fillId="3" borderId="2" xfId="0" applyFont="1" applyFill="1" applyBorder="1" applyAlignment="1" applyProtection="1">
      <alignment horizontal="right" vertical="center" shrinkToFit="1"/>
      <protection hidden="1"/>
    </xf>
    <xf numFmtId="0" fontId="24" fillId="0" borderId="0" xfId="0" applyFont="1" applyAlignment="1">
      <alignment horizontal="left" vertical="center" shrinkToFit="1"/>
    </xf>
    <xf numFmtId="0" fontId="7" fillId="0" borderId="2" xfId="0" applyFont="1" applyBorder="1" applyAlignment="1" applyProtection="1">
      <alignment horizontal="left"/>
      <protection locked="0"/>
    </xf>
    <xf numFmtId="0" fontId="23" fillId="3" borderId="3" xfId="0" applyFont="1" applyFill="1" applyBorder="1" applyAlignment="1">
      <alignment horizontal="right"/>
    </xf>
    <xf numFmtId="165" fontId="7" fillId="0" borderId="2" xfId="0" applyNumberFormat="1" applyFont="1" applyBorder="1" applyAlignment="1" applyProtection="1">
      <alignment horizontal="left"/>
      <protection locked="0"/>
    </xf>
    <xf numFmtId="0" fontId="8" fillId="5" borderId="7" xfId="0" applyFont="1" applyFill="1" applyBorder="1" applyAlignment="1">
      <alignment horizontal="right"/>
    </xf>
    <xf numFmtId="0" fontId="8" fillId="5" borderId="9" xfId="0" applyFont="1" applyFill="1" applyBorder="1" applyAlignment="1">
      <alignment horizontal="right"/>
    </xf>
    <xf numFmtId="0" fontId="8" fillId="5" borderId="31" xfId="0" applyFont="1" applyFill="1" applyBorder="1" applyAlignment="1">
      <alignment horizontal="right"/>
    </xf>
    <xf numFmtId="1" fontId="7" fillId="6" borderId="2" xfId="0" applyNumberFormat="1" applyFont="1" applyFill="1" applyBorder="1" applyAlignment="1">
      <alignment horizontal="left"/>
    </xf>
    <xf numFmtId="0" fontId="0" fillId="6" borderId="2" xfId="0" applyFill="1" applyBorder="1"/>
    <xf numFmtId="0" fontId="0" fillId="6" borderId="8" xfId="0" applyFill="1" applyBorder="1"/>
    <xf numFmtId="169" fontId="0" fillId="6" borderId="8" xfId="0" applyNumberFormat="1" applyFill="1" applyBorder="1"/>
    <xf numFmtId="164" fontId="0" fillId="6" borderId="8" xfId="1" applyFont="1" applyFill="1" applyBorder="1"/>
    <xf numFmtId="10" fontId="0" fillId="6" borderId="8" xfId="2" applyNumberFormat="1" applyFont="1" applyFill="1" applyBorder="1"/>
    <xf numFmtId="10" fontId="19" fillId="6" borderId="10" xfId="2" applyNumberFormat="1" applyFont="1" applyFill="1" applyBorder="1" applyAlignment="1" applyProtection="1">
      <alignment horizontal="center" vertical="center" shrinkToFit="1"/>
      <protection hidden="1"/>
    </xf>
    <xf numFmtId="14" fontId="0" fillId="6" borderId="25" xfId="0" applyNumberFormat="1" applyFill="1" applyBorder="1"/>
    <xf numFmtId="14" fontId="0" fillId="6" borderId="26" xfId="0" applyNumberFormat="1" applyFill="1" applyBorder="1"/>
    <xf numFmtId="0" fontId="6" fillId="13" borderId="20" xfId="0" applyFont="1" applyFill="1" applyBorder="1"/>
    <xf numFmtId="0" fontId="8" fillId="3" borderId="11" xfId="0" applyFont="1" applyFill="1" applyBorder="1" applyAlignment="1" applyProtection="1">
      <alignment horizontal="center" vertical="center" shrinkToFit="1"/>
      <protection hidden="1"/>
    </xf>
    <xf numFmtId="0" fontId="8" fillId="3" borderId="32" xfId="0" applyFont="1" applyFill="1" applyBorder="1" applyAlignment="1" applyProtection="1">
      <alignment horizontal="center" vertical="center"/>
      <protection hidden="1"/>
    </xf>
    <xf numFmtId="0" fontId="8" fillId="3" borderId="33" xfId="0" applyFont="1" applyFill="1" applyBorder="1" applyAlignment="1" applyProtection="1">
      <alignment horizontal="center" vertical="center"/>
      <protection hidden="1"/>
    </xf>
    <xf numFmtId="14" fontId="0" fillId="6" borderId="34" xfId="0" applyNumberFormat="1" applyFill="1" applyBorder="1"/>
    <xf numFmtId="0" fontId="8" fillId="3" borderId="4" xfId="0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Alignment="1">
      <alignment horizontal="center"/>
    </xf>
    <xf numFmtId="168" fontId="0" fillId="6" borderId="16" xfId="0" applyNumberFormat="1" applyFill="1" applyBorder="1" applyAlignment="1">
      <alignment horizontal="center"/>
    </xf>
    <xf numFmtId="168" fontId="0" fillId="6" borderId="22" xfId="0" applyNumberFormat="1" applyFill="1" applyBorder="1"/>
    <xf numFmtId="0" fontId="0" fillId="6" borderId="16" xfId="0" applyFill="1" applyBorder="1" applyAlignment="1">
      <alignment horizontal="center"/>
    </xf>
    <xf numFmtId="170" fontId="0" fillId="6" borderId="8" xfId="0" applyNumberFormat="1" applyFill="1" applyBorder="1" applyAlignment="1">
      <alignment horizontal="center"/>
    </xf>
    <xf numFmtId="0" fontId="23" fillId="3" borderId="0" xfId="0" applyFont="1" applyFill="1" applyAlignment="1">
      <alignment horizontal="right"/>
    </xf>
    <xf numFmtId="0" fontId="23" fillId="3" borderId="35" xfId="0" applyFont="1" applyFill="1" applyBorder="1" applyAlignment="1">
      <alignment horizontal="right"/>
    </xf>
    <xf numFmtId="0" fontId="23" fillId="3" borderId="36" xfId="0" applyFont="1" applyFill="1" applyBorder="1" applyAlignment="1">
      <alignment horizontal="right"/>
    </xf>
    <xf numFmtId="0" fontId="23" fillId="3" borderId="37" xfId="0" applyFont="1" applyFill="1" applyBorder="1" applyAlignment="1">
      <alignment horizontal="right"/>
    </xf>
    <xf numFmtId="0" fontId="23" fillId="3" borderId="38" xfId="0" applyFont="1" applyFill="1" applyBorder="1" applyAlignment="1">
      <alignment horizontal="right"/>
    </xf>
    <xf numFmtId="0" fontId="23" fillId="3" borderId="39" xfId="0" applyFont="1" applyFill="1" applyBorder="1" applyAlignment="1">
      <alignment horizontal="right"/>
    </xf>
    <xf numFmtId="0" fontId="23" fillId="3" borderId="21" xfId="0" applyFont="1" applyFill="1" applyBorder="1" applyAlignment="1">
      <alignment horizontal="right"/>
    </xf>
    <xf numFmtId="0" fontId="23" fillId="3" borderId="22" xfId="0" applyFont="1" applyFill="1" applyBorder="1" applyAlignment="1">
      <alignment horizontal="right"/>
    </xf>
    <xf numFmtId="0" fontId="23" fillId="3" borderId="20" xfId="0" applyFont="1" applyFill="1" applyBorder="1" applyAlignment="1">
      <alignment horizontal="right"/>
    </xf>
    <xf numFmtId="168" fontId="0" fillId="0" borderId="6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8" fontId="0" fillId="0" borderId="3" xfId="0" applyNumberFormat="1" applyBorder="1" applyAlignment="1" applyProtection="1">
      <alignment horizontal="center"/>
      <protection locked="0"/>
    </xf>
    <xf numFmtId="168" fontId="0" fillId="0" borderId="2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8" fontId="0" fillId="6" borderId="2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14" fontId="0" fillId="6" borderId="2" xfId="0" applyNumberFormat="1" applyFill="1" applyBorder="1"/>
    <xf numFmtId="168" fontId="0" fillId="13" borderId="11" xfId="0" applyNumberFormat="1" applyFill="1" applyBorder="1" applyAlignment="1">
      <alignment horizontal="center"/>
    </xf>
    <xf numFmtId="168" fontId="0" fillId="13" borderId="2" xfId="0" applyNumberForma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0" fontId="0" fillId="6" borderId="2" xfId="2" applyNumberFormat="1" applyFont="1" applyFill="1" applyBorder="1" applyAlignment="1">
      <alignment horizontal="center"/>
    </xf>
    <xf numFmtId="10" fontId="0" fillId="6" borderId="18" xfId="2" applyNumberFormat="1" applyFont="1" applyFill="1" applyBorder="1" applyAlignment="1">
      <alignment horizontal="center"/>
    </xf>
    <xf numFmtId="9" fontId="0" fillId="6" borderId="14" xfId="2" applyFont="1" applyFill="1" applyBorder="1" applyAlignment="1">
      <alignment horizontal="center"/>
    </xf>
    <xf numFmtId="9" fontId="0" fillId="6" borderId="22" xfId="2" applyFont="1" applyFill="1" applyBorder="1" applyAlignment="1">
      <alignment horizontal="center"/>
    </xf>
    <xf numFmtId="0" fontId="26" fillId="0" borderId="0" xfId="0" applyFont="1"/>
    <xf numFmtId="0" fontId="19" fillId="0" borderId="2" xfId="3" applyFont="1" applyBorder="1" applyAlignment="1">
      <alignment vertical="center" wrapText="1"/>
    </xf>
    <xf numFmtId="1" fontId="0" fillId="0" borderId="2" xfId="0" applyNumberFormat="1" applyBorder="1"/>
    <xf numFmtId="2" fontId="0" fillId="0" borderId="2" xfId="0" applyNumberFormat="1" applyBorder="1"/>
    <xf numFmtId="0" fontId="8" fillId="3" borderId="0" xfId="0" applyFont="1" applyFill="1" applyAlignment="1" applyProtection="1">
      <alignment horizontal="center" vertical="center"/>
      <protection hidden="1"/>
    </xf>
    <xf numFmtId="0" fontId="27" fillId="13" borderId="22" xfId="0" applyFont="1" applyFill="1" applyBorder="1" applyAlignment="1">
      <alignment horizontal="center"/>
    </xf>
    <xf numFmtId="2" fontId="0" fillId="0" borderId="0" xfId="0" applyNumberFormat="1"/>
    <xf numFmtId="0" fontId="4" fillId="0" borderId="39" xfId="0" applyFont="1" applyBorder="1" applyAlignment="1">
      <alignment vertical="center"/>
    </xf>
    <xf numFmtId="0" fontId="28" fillId="14" borderId="40" xfId="0" applyFont="1" applyFill="1" applyBorder="1"/>
    <xf numFmtId="0" fontId="29" fillId="15" borderId="41" xfId="0" applyFont="1" applyFill="1" applyBorder="1"/>
    <xf numFmtId="0" fontId="30" fillId="16" borderId="42" xfId="0" applyFont="1" applyFill="1" applyBorder="1"/>
    <xf numFmtId="0" fontId="31" fillId="17" borderId="43" xfId="0" applyFont="1" applyFill="1" applyBorder="1"/>
    <xf numFmtId="0" fontId="32" fillId="19" borderId="45" xfId="0" applyFont="1" applyFill="1" applyBorder="1"/>
    <xf numFmtId="0" fontId="33" fillId="20" borderId="46" xfId="0" applyFont="1" applyFill="1" applyBorder="1"/>
    <xf numFmtId="0" fontId="34" fillId="21" borderId="47" xfId="0" applyFont="1" applyFill="1" applyBorder="1"/>
    <xf numFmtId="0" fontId="35" fillId="22" borderId="48" xfId="0" applyFont="1" applyFill="1" applyBorder="1"/>
    <xf numFmtId="0" fontId="36" fillId="23" borderId="49" xfId="0" applyFont="1" applyFill="1" applyBorder="1"/>
    <xf numFmtId="0" fontId="37" fillId="24" borderId="50" xfId="0" applyFont="1" applyFill="1" applyBorder="1"/>
    <xf numFmtId="0" fontId="38" fillId="25" borderId="51" xfId="0" applyFont="1" applyFill="1" applyBorder="1"/>
    <xf numFmtId="0" fontId="39" fillId="26" borderId="52" xfId="0" applyFont="1" applyFill="1" applyBorder="1"/>
    <xf numFmtId="0" fontId="40" fillId="27" borderId="53" xfId="0" applyFont="1" applyFill="1" applyBorder="1"/>
    <xf numFmtId="0" fontId="41" fillId="28" borderId="54" xfId="0" applyFont="1" applyFill="1" applyBorder="1"/>
    <xf numFmtId="0" fontId="42" fillId="29" borderId="55" xfId="0" applyFont="1" applyFill="1" applyBorder="1"/>
    <xf numFmtId="0" fontId="43" fillId="30" borderId="56" xfId="0" applyFont="1" applyFill="1" applyBorder="1"/>
    <xf numFmtId="0" fontId="44" fillId="31" borderId="57" xfId="0" applyFont="1" applyFill="1" applyBorder="1"/>
    <xf numFmtId="0" fontId="45" fillId="32" borderId="58" xfId="0" applyFont="1" applyFill="1" applyBorder="1" applyAlignment="1">
      <alignment horizontal="center"/>
    </xf>
    <xf numFmtId="0" fontId="46" fillId="33" borderId="59" xfId="0" applyFont="1" applyFill="1" applyBorder="1" applyAlignment="1">
      <alignment horizontal="center"/>
    </xf>
    <xf numFmtId="0" fontId="47" fillId="34" borderId="60" xfId="0" applyFont="1" applyFill="1" applyBorder="1" applyAlignment="1">
      <alignment horizontal="center"/>
    </xf>
    <xf numFmtId="0" fontId="48" fillId="35" borderId="61" xfId="0" applyFont="1" applyFill="1" applyBorder="1" applyAlignment="1">
      <alignment horizontal="center"/>
    </xf>
    <xf numFmtId="0" fontId="49" fillId="36" borderId="62" xfId="0" applyFont="1" applyFill="1" applyBorder="1" applyAlignment="1">
      <alignment horizontal="center"/>
    </xf>
    <xf numFmtId="0" fontId="50" fillId="37" borderId="63" xfId="0" applyFont="1" applyFill="1" applyBorder="1"/>
    <xf numFmtId="0" fontId="51" fillId="38" borderId="64" xfId="0" applyFont="1" applyFill="1" applyBorder="1"/>
    <xf numFmtId="0" fontId="52" fillId="39" borderId="65" xfId="0" applyFont="1" applyFill="1" applyBorder="1"/>
    <xf numFmtId="0" fontId="53" fillId="40" borderId="66" xfId="0" applyFont="1" applyFill="1" applyBorder="1"/>
    <xf numFmtId="0" fontId="54" fillId="41" borderId="67" xfId="0" applyFont="1" applyFill="1" applyBorder="1"/>
    <xf numFmtId="0" fontId="55" fillId="42" borderId="68" xfId="0" applyFont="1" applyFill="1" applyBorder="1"/>
    <xf numFmtId="0" fontId="56" fillId="43" borderId="69" xfId="0" applyFont="1" applyFill="1" applyBorder="1"/>
    <xf numFmtId="0" fontId="57" fillId="44" borderId="70" xfId="0" applyFont="1" applyFill="1" applyBorder="1"/>
    <xf numFmtId="0" fontId="58" fillId="45" borderId="71" xfId="0" applyFont="1" applyFill="1" applyBorder="1"/>
    <xf numFmtId="0" fontId="59" fillId="46" borderId="72" xfId="0" applyFont="1" applyFill="1" applyBorder="1"/>
    <xf numFmtId="0" fontId="60" fillId="47" borderId="73" xfId="0" applyFont="1" applyFill="1" applyBorder="1"/>
    <xf numFmtId="0" fontId="61" fillId="48" borderId="74" xfId="0" applyFont="1" applyFill="1" applyBorder="1"/>
    <xf numFmtId="0" fontId="62" fillId="49" borderId="75" xfId="0" applyFont="1" applyFill="1" applyBorder="1"/>
    <xf numFmtId="0" fontId="63" fillId="50" borderId="76" xfId="0" applyFont="1" applyFill="1" applyBorder="1"/>
    <xf numFmtId="0" fontId="64" fillId="51" borderId="77" xfId="0" applyFont="1" applyFill="1" applyBorder="1" applyAlignment="1">
      <alignment horizontal="center"/>
    </xf>
    <xf numFmtId="0" fontId="65" fillId="52" borderId="78" xfId="0" applyFont="1" applyFill="1" applyBorder="1" applyAlignment="1">
      <alignment horizontal="center"/>
    </xf>
    <xf numFmtId="0" fontId="66" fillId="53" borderId="79" xfId="0" applyFont="1" applyFill="1" applyBorder="1"/>
    <xf numFmtId="0" fontId="67" fillId="54" borderId="80" xfId="0" applyFont="1" applyFill="1" applyBorder="1" applyAlignment="1">
      <alignment horizontal="center"/>
    </xf>
    <xf numFmtId="0" fontId="68" fillId="55" borderId="81" xfId="0" applyFont="1" applyFill="1" applyBorder="1" applyAlignment="1">
      <alignment horizontal="center"/>
    </xf>
    <xf numFmtId="0" fontId="69" fillId="56" borderId="82" xfId="0" applyFont="1" applyFill="1" applyBorder="1"/>
    <xf numFmtId="0" fontId="70" fillId="57" borderId="83" xfId="0" applyFont="1" applyFill="1" applyBorder="1"/>
    <xf numFmtId="0" fontId="71" fillId="58" borderId="84" xfId="0" applyFont="1" applyFill="1" applyBorder="1"/>
    <xf numFmtId="0" fontId="72" fillId="59" borderId="85" xfId="0" applyFont="1" applyFill="1" applyBorder="1"/>
    <xf numFmtId="0" fontId="73" fillId="60" borderId="86" xfId="0" applyFont="1" applyFill="1" applyBorder="1"/>
    <xf numFmtId="0" fontId="74" fillId="61" borderId="87" xfId="0" applyFont="1" applyFill="1" applyBorder="1"/>
    <xf numFmtId="0" fontId="75" fillId="62" borderId="88" xfId="0" applyFont="1" applyFill="1" applyBorder="1"/>
    <xf numFmtId="0" fontId="76" fillId="63" borderId="89" xfId="0" applyFont="1" applyFill="1" applyBorder="1"/>
    <xf numFmtId="0" fontId="77" fillId="64" borderId="90" xfId="0" applyFont="1" applyFill="1" applyBorder="1"/>
    <xf numFmtId="0" fontId="78" fillId="65" borderId="91" xfId="0" applyFont="1" applyFill="1" applyBorder="1"/>
    <xf numFmtId="0" fontId="79" fillId="66" borderId="92" xfId="0" applyFont="1" applyFill="1" applyBorder="1"/>
    <xf numFmtId="0" fontId="80" fillId="67" borderId="93" xfId="0" applyFont="1" applyFill="1" applyBorder="1"/>
    <xf numFmtId="0" fontId="81" fillId="68" borderId="94" xfId="0" applyFont="1" applyFill="1" applyBorder="1"/>
    <xf numFmtId="0" fontId="82" fillId="69" borderId="95" xfId="0" applyFont="1" applyFill="1" applyBorder="1"/>
    <xf numFmtId="0" fontId="83" fillId="70" borderId="96" xfId="0" applyFont="1" applyFill="1" applyBorder="1"/>
    <xf numFmtId="0" fontId="84" fillId="71" borderId="97" xfId="0" applyFont="1" applyFill="1" applyBorder="1"/>
    <xf numFmtId="0" fontId="85" fillId="72" borderId="98" xfId="0" applyFont="1" applyFill="1" applyBorder="1"/>
    <xf numFmtId="0" fontId="86" fillId="73" borderId="99" xfId="0" applyFont="1" applyFill="1" applyBorder="1"/>
    <xf numFmtId="0" fontId="87" fillId="74" borderId="100" xfId="0" applyFont="1" applyFill="1" applyBorder="1"/>
    <xf numFmtId="0" fontId="88" fillId="75" borderId="101" xfId="0" applyFont="1" applyFill="1" applyBorder="1"/>
    <xf numFmtId="0" fontId="89" fillId="76" borderId="102" xfId="0" applyFont="1" applyFill="1" applyBorder="1"/>
    <xf numFmtId="0" fontId="90" fillId="77" borderId="103" xfId="0" applyFont="1" applyFill="1" applyBorder="1"/>
    <xf numFmtId="0" fontId="91" fillId="78" borderId="104" xfId="0" applyFont="1" applyFill="1" applyBorder="1"/>
    <xf numFmtId="0" fontId="92" fillId="79" borderId="105" xfId="0" applyFont="1" applyFill="1" applyBorder="1"/>
    <xf numFmtId="0" fontId="93" fillId="80" borderId="106" xfId="0" applyFont="1" applyFill="1" applyBorder="1"/>
    <xf numFmtId="0" fontId="94" fillId="81" borderId="107" xfId="0" applyFont="1" applyFill="1" applyBorder="1"/>
    <xf numFmtId="0" fontId="95" fillId="82" borderId="108" xfId="0" applyFont="1" applyFill="1" applyBorder="1"/>
    <xf numFmtId="0" fontId="96" fillId="83" borderId="109" xfId="0" applyFont="1" applyFill="1" applyBorder="1"/>
    <xf numFmtId="0" fontId="97" fillId="84" borderId="110" xfId="0" applyFont="1" applyFill="1" applyBorder="1"/>
    <xf numFmtId="0" fontId="98" fillId="85" borderId="111" xfId="0" applyFont="1" applyFill="1" applyBorder="1"/>
    <xf numFmtId="0" fontId="99" fillId="86" borderId="112" xfId="0" applyFont="1" applyFill="1" applyBorder="1"/>
    <xf numFmtId="0" fontId="100" fillId="87" borderId="113" xfId="0" applyFont="1" applyFill="1" applyBorder="1"/>
    <xf numFmtId="0" fontId="101" fillId="88" borderId="114" xfId="0" applyFont="1" applyFill="1" applyBorder="1"/>
    <xf numFmtId="0" fontId="102" fillId="89" borderId="115" xfId="0" applyFont="1" applyFill="1" applyBorder="1"/>
    <xf numFmtId="0" fontId="103" fillId="90" borderId="116" xfId="0" applyFont="1" applyFill="1" applyBorder="1"/>
    <xf numFmtId="0" fontId="104" fillId="91" borderId="117" xfId="0" applyFont="1" applyFill="1" applyBorder="1"/>
    <xf numFmtId="0" fontId="105" fillId="92" borderId="118" xfId="0" applyFont="1" applyFill="1" applyBorder="1"/>
    <xf numFmtId="0" fontId="106" fillId="93" borderId="119" xfId="0" applyFont="1" applyFill="1" applyBorder="1"/>
    <xf numFmtId="0" fontId="107" fillId="94" borderId="120" xfId="0" applyFont="1" applyFill="1" applyBorder="1"/>
    <xf numFmtId="0" fontId="108" fillId="95" borderId="121" xfId="0" applyFont="1" applyFill="1" applyBorder="1"/>
    <xf numFmtId="0" fontId="109" fillId="96" borderId="122" xfId="0" applyFont="1" applyFill="1" applyBorder="1"/>
    <xf numFmtId="0" fontId="110" fillId="97" borderId="123" xfId="0" applyFont="1" applyFill="1" applyBorder="1"/>
    <xf numFmtId="0" fontId="111" fillId="98" borderId="124" xfId="0" applyFont="1" applyFill="1" applyBorder="1"/>
    <xf numFmtId="0" fontId="112" fillId="99" borderId="125" xfId="0" applyFont="1" applyFill="1" applyBorder="1"/>
    <xf numFmtId="0" fontId="113" fillId="100" borderId="126" xfId="0" applyFont="1" applyFill="1" applyBorder="1"/>
    <xf numFmtId="0" fontId="31" fillId="18" borderId="44" xfId="0" applyFont="1" applyFill="1" applyBorder="1"/>
    <xf numFmtId="0" fontId="19" fillId="0" borderId="5" xfId="0" applyFont="1" applyBorder="1" applyAlignment="1">
      <alignment horizontal="center" wrapText="1"/>
    </xf>
    <xf numFmtId="0" fontId="19" fillId="0" borderId="6" xfId="0" applyFont="1" applyBorder="1" applyAlignment="1">
      <alignment horizontal="center" wrapText="1"/>
    </xf>
    <xf numFmtId="0" fontId="2" fillId="13" borderId="29" xfId="0" applyFont="1" applyFill="1" applyBorder="1" applyAlignment="1">
      <alignment horizontal="center"/>
    </xf>
    <xf numFmtId="0" fontId="2" fillId="13" borderId="30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8" fillId="3" borderId="0" xfId="0" applyFont="1" applyFill="1" applyAlignment="1" applyProtection="1">
      <alignment horizontal="center" vertical="center"/>
      <protection hidden="1"/>
    </xf>
  </cellXfs>
  <cellStyles count="4">
    <cellStyle name="Currency" xfId="1" builtinId="4"/>
    <cellStyle name="Normal" xfId="0" builtinId="0"/>
    <cellStyle name="Normal 2" xfId="3" xr:uid="{0F09646A-E67F-4A2F-8A6C-147B2C95675E}"/>
    <cellStyle name="Percent" xfId="2" builtinId="5"/>
  </cellStyles>
  <dxfs count="12"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8</xdr:row>
          <xdr:rowOff>76200</xdr:rowOff>
        </xdr:from>
        <xdr:to>
          <xdr:col>10</xdr:col>
          <xdr:colOff>260350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%20PIW%20-%2008Nov202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T&amp;M"/>
      <sheetName val="Fixed Fee"/>
      <sheetName val="Data"/>
      <sheetName val="DataValidation"/>
      <sheetName val="1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F6E2B-6DC4-4EC9-9B83-EE8E355A6C62}">
  <sheetPr codeName="Sheet1"/>
  <dimension ref="A2:K31"/>
  <sheetViews>
    <sheetView showGridLines="0" workbookViewId="0">
      <selection activeCell="C1" sqref="C1"/>
    </sheetView>
  </sheetViews>
  <sheetFormatPr defaultRowHeight="14.5" x14ac:dyDescent="0.35"/>
  <cols>
    <col min="1" max="1" width="27.36328125" bestFit="1" customWidth="1"/>
    <col min="2" max="2" width="48.36328125" bestFit="1" customWidth="1"/>
    <col min="3" max="3" width="9.90625" bestFit="1" customWidth="1"/>
  </cols>
  <sheetData>
    <row r="2" spans="1:11" ht="26" x14ac:dyDescent="0.6">
      <c r="A2" s="71" t="s">
        <v>0</v>
      </c>
      <c r="C2" s="72"/>
    </row>
    <row r="3" spans="1:11" x14ac:dyDescent="0.35">
      <c r="A3" s="73" t="s">
        <v>1</v>
      </c>
      <c r="B3" s="120">
        <f ca="1">TODAY()</f>
        <v>46192</v>
      </c>
      <c r="C3" s="74"/>
    </row>
    <row r="4" spans="1:11" x14ac:dyDescent="0.35">
      <c r="A4" s="73" t="s">
        <v>2</v>
      </c>
      <c r="B4" s="75" t="s">
        <v>325</v>
      </c>
      <c r="C4" s="74" t="s">
        <v>3</v>
      </c>
    </row>
    <row r="5" spans="1:11" x14ac:dyDescent="0.35">
      <c r="A5" s="73" t="s">
        <v>4</v>
      </c>
      <c r="B5" s="75" t="s">
        <v>326</v>
      </c>
      <c r="C5" s="74" t="s">
        <v>3</v>
      </c>
    </row>
    <row r="6" spans="1:11" x14ac:dyDescent="0.35">
      <c r="A6" s="73" t="s">
        <v>296</v>
      </c>
      <c r="B6" s="75" t="s">
        <v>327</v>
      </c>
      <c r="C6" s="74" t="s">
        <v>3</v>
      </c>
    </row>
    <row r="7" spans="1:11" x14ac:dyDescent="0.35">
      <c r="A7" s="76" t="s">
        <v>5</v>
      </c>
      <c r="B7" s="112" t="s">
        <v>11</v>
      </c>
      <c r="C7" s="74" t="s">
        <v>3</v>
      </c>
    </row>
    <row r="8" spans="1:11" ht="15" thickBot="1" x14ac:dyDescent="0.4">
      <c r="A8" s="76" t="s">
        <v>6</v>
      </c>
      <c r="B8" s="82" t="s">
        <v>8</v>
      </c>
      <c r="C8" s="74" t="s">
        <v>3</v>
      </c>
    </row>
    <row r="9" spans="1:11" x14ac:dyDescent="0.35">
      <c r="A9" s="76" t="s">
        <v>328</v>
      </c>
      <c r="B9" s="77">
        <v>46174.229166666664</v>
      </c>
      <c r="C9" s="74" t="s">
        <v>3</v>
      </c>
      <c r="I9" s="102"/>
      <c r="J9" s="103"/>
      <c r="K9" s="104"/>
    </row>
    <row r="10" spans="1:11" x14ac:dyDescent="0.35">
      <c r="A10" s="76" t="s">
        <v>329</v>
      </c>
      <c r="B10" s="77">
        <v>46203.229166666664</v>
      </c>
      <c r="C10" s="74" t="s">
        <v>3</v>
      </c>
      <c r="I10" s="105"/>
      <c r="J10" s="101"/>
      <c r="K10" s="106"/>
    </row>
    <row r="11" spans="1:11" ht="15" thickBot="1" x14ac:dyDescent="0.4">
      <c r="A11" s="76" t="s">
        <v>7</v>
      </c>
      <c r="B11" s="81">
        <f>IF(OR(B9="",B10=""),"Enter a Planned Start and End Date in the cells above",ROUNDUP(((B10-B9)/7),0))</f>
        <v>5</v>
      </c>
      <c r="C11" s="74"/>
      <c r="I11" s="107"/>
      <c r="J11" s="108"/>
      <c r="K11" s="109"/>
    </row>
    <row r="14" spans="1:11" ht="15" thickBot="1" x14ac:dyDescent="0.4"/>
    <row r="15" spans="1:11" x14ac:dyDescent="0.35">
      <c r="A15" s="223" t="s">
        <v>16</v>
      </c>
      <c r="B15" s="224"/>
    </row>
    <row r="16" spans="1:11" x14ac:dyDescent="0.35">
      <c r="A16" s="78" t="s">
        <v>12</v>
      </c>
      <c r="B16" s="83">
        <f>IF($B$7="Fixed Fee",'Fixed Fee'!L189,'T&amp;M'!M191)</f>
        <v>168</v>
      </c>
    </row>
    <row r="17" spans="1:3" x14ac:dyDescent="0.35">
      <c r="A17" s="78" t="s">
        <v>13</v>
      </c>
      <c r="B17" s="84">
        <f>IF($B$7="Fixed Fee",'Fixed Fee'!F9,'T&amp;M'!F9)</f>
        <v>581532</v>
      </c>
    </row>
    <row r="18" spans="1:3" x14ac:dyDescent="0.35">
      <c r="A18" s="78" t="s">
        <v>14</v>
      </c>
      <c r="B18" s="84">
        <f>IF($B$7="Fixed Fee",'Fixed Fee'!F10,'T&amp;M'!F10)</f>
        <v>0</v>
      </c>
    </row>
    <row r="19" spans="1:3" x14ac:dyDescent="0.35">
      <c r="A19" s="78" t="s">
        <v>288</v>
      </c>
      <c r="B19" s="84">
        <f>IF($B$7="Fixed Fee",'Fixed Fee'!F11,'T&amp;M'!F11)</f>
        <v>0</v>
      </c>
    </row>
    <row r="20" spans="1:3" x14ac:dyDescent="0.35">
      <c r="A20" s="78" t="s">
        <v>289</v>
      </c>
      <c r="B20" s="84">
        <f>IF($B$7="Fixed Fee",'Fixed Fee'!F12,'T&amp;M'!F12)</f>
        <v>0</v>
      </c>
    </row>
    <row r="21" spans="1:3" x14ac:dyDescent="0.35">
      <c r="A21" s="78" t="s">
        <v>290</v>
      </c>
      <c r="B21" s="84">
        <f>IF($B$7="Fixed Fee",'Fixed Fee'!F13,'T&amp;M'!F13)</f>
        <v>0</v>
      </c>
    </row>
    <row r="22" spans="1:3" x14ac:dyDescent="0.35">
      <c r="A22" s="78" t="s">
        <v>305</v>
      </c>
      <c r="B22" s="84">
        <f>IF($B$7="Fixed Fee",'Fixed Fee'!F15,'T&amp;M'!F15)</f>
        <v>581532</v>
      </c>
    </row>
    <row r="23" spans="1:3" x14ac:dyDescent="0.35">
      <c r="A23" s="78" t="s">
        <v>304</v>
      </c>
      <c r="B23" s="85">
        <f>IF($B$7="Fixed Fee",'Fixed Fee'!F16,'T&amp;M'!F16)</f>
        <v>7559.9159999999993</v>
      </c>
    </row>
    <row r="24" spans="1:3" x14ac:dyDescent="0.35">
      <c r="A24" s="78" t="s">
        <v>278</v>
      </c>
      <c r="B24" s="86">
        <f>IF($B$7="Fixed Fee",'Fixed Fee'!H10,'T&amp;M'!H10)</f>
        <v>1.3416666666666666</v>
      </c>
    </row>
    <row r="25" spans="1:3" x14ac:dyDescent="0.35">
      <c r="A25" s="78" t="s">
        <v>291</v>
      </c>
      <c r="B25" s="84">
        <f>IF($B$7="Fixed Fee",'Fixed Fee'!I10,'T&amp;M'!I10)</f>
        <v>3461.5</v>
      </c>
    </row>
    <row r="26" spans="1:3" hidden="1" x14ac:dyDescent="0.35">
      <c r="A26" s="78" t="s">
        <v>15</v>
      </c>
      <c r="B26" s="84">
        <f>IF($B$7="Fixed Fee",'Fixed Fee'!DM70,'T&amp;M'!DN70)</f>
        <v>297230.76923076925</v>
      </c>
      <c r="C26" t="s">
        <v>295</v>
      </c>
    </row>
    <row r="27" spans="1:3" hidden="1" x14ac:dyDescent="0.35">
      <c r="A27" s="78" t="s">
        <v>310</v>
      </c>
      <c r="B27" s="86" t="str">
        <f>IF($B$7="Fixed Fee",'Fixed Fee'!J10,'T&amp;M'!J10)</f>
        <v>-</v>
      </c>
      <c r="C27" t="s">
        <v>295</v>
      </c>
    </row>
    <row r="28" spans="1:3" ht="15" hidden="1" thickBot="1" x14ac:dyDescent="0.4">
      <c r="A28" s="79" t="s">
        <v>292</v>
      </c>
      <c r="B28" s="86" t="str">
        <f>IF($B$7="Fixed Fee",'Fixed Fee'!K10,'T&amp;M'!K10)</f>
        <v>-</v>
      </c>
      <c r="C28" t="s">
        <v>295</v>
      </c>
    </row>
    <row r="29" spans="1:3" hidden="1" x14ac:dyDescent="0.35">
      <c r="A29" s="80" t="s">
        <v>293</v>
      </c>
      <c r="B29" s="86" t="str">
        <f>IF($B$7="Fixed Fee",'Fixed Fee'!L10,'T&amp;M'!L10)</f>
        <v>-</v>
      </c>
      <c r="C29" t="s">
        <v>295</v>
      </c>
    </row>
    <row r="30" spans="1:3" hidden="1" x14ac:dyDescent="0.35">
      <c r="A30" s="80" t="s">
        <v>303</v>
      </c>
      <c r="B30" s="86">
        <f>IF($B$7="Fixed Fee",'Fixed Fee'!A3,'T&amp;M'!A3)</f>
        <v>0.48888320981344235</v>
      </c>
      <c r="C30" t="s">
        <v>295</v>
      </c>
    </row>
    <row r="31" spans="1:3" hidden="1" x14ac:dyDescent="0.35">
      <c r="A31" s="80" t="s">
        <v>294</v>
      </c>
      <c r="B31" s="86" t="str">
        <f>IF($B$7="Fixed Fee",'Fixed Fee'!B3,'T&amp;M'!B3)</f>
        <v>-</v>
      </c>
      <c r="C31" t="s">
        <v>295</v>
      </c>
    </row>
  </sheetData>
  <sheetProtection algorithmName="SHA-512" hashValue="hjvbzn+6A5MN4Dlt5/i8OvEtFUJ36Vii5Vyc03fh1s1iEUkc5o+oPVfQmSXhbmMWgY8senhoE72s2tuk3iJM7A==" saltValue="ebq0zIwqo469cpKB69fwNQ==" spinCount="100000" sheet="1" objects="1" scenarios="1" sort="0" autoFilter="0" pivotTables="0"/>
  <mergeCells count="1">
    <mergeCell ref="A15:B15"/>
  </mergeCells>
  <conditionalFormatting sqref="B4:B6">
    <cfRule type="beginsWith" dxfId="11" priority="2" operator="beginsWith" text="Enter a">
      <formula>LEFT(B4,LEN("Enter a"))="Enter a"</formula>
    </cfRule>
  </conditionalFormatting>
  <conditionalFormatting sqref="B9:B11">
    <cfRule type="beginsWith" dxfId="10" priority="1" operator="beginsWith" text="Enter a">
      <formula>LEFT(B9,LEN("Enter a"))="Enter a"</formula>
    </cfRule>
  </conditionalFormatting>
  <dataValidations count="4">
    <dataValidation type="date" allowBlank="1" showInputMessage="1" showErrorMessage="1" error="Please enter a valid date." sqref="B3" xr:uid="{15EE5015-7066-476C-B34E-7E762D8CD964}">
      <formula1>38718</formula1>
      <formula2>73051</formula2>
    </dataValidation>
    <dataValidation type="custom" allowBlank="1" showInputMessage="1" showErrorMessage="1" sqref="B11" xr:uid="{75D1C325-FA36-4327-A700-7D46B0CDA230}">
      <formula1>IF(OR(B9="",B10=""),"Enter a Planned Start and End Date in the cells above",ROUNDUP(((B10-B9)/7),0))</formula1>
    </dataValidation>
    <dataValidation type="date" operator="greaterThan" allowBlank="1" showInputMessage="1" showErrorMessage="1" error="Please enter a valid date, and a date not before the planned start date. " sqref="B10" xr:uid="{EEE44A24-CA8B-4CA3-85D9-209A77509E9A}">
      <formula1>B9</formula1>
    </dataValidation>
    <dataValidation type="date" allowBlank="1" showInputMessage="1" showErrorMessage="1" error="Please enter a valid date. " sqref="B9" xr:uid="{77BA18B7-3B67-41BC-A177-C7EAA5074705}">
      <formula1>38718</formula1>
      <formula2>109574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tartNow">
                <anchor moveWithCells="1" sizeWithCells="1">
                  <from>
                    <xdr:col>8</xdr:col>
                    <xdr:colOff>381000</xdr:colOff>
                    <xdr:row>8</xdr:row>
                    <xdr:rowOff>76200</xdr:rowOff>
                  </from>
                  <to>
                    <xdr:col>10</xdr:col>
                    <xdr:colOff>260350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42100B-EDB0-4D90-A1C3-28D59537357D}">
          <x14:formula1>
            <xm:f>'Data Validation'!$B$3:$B$4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BD842-DEB0-40A9-A0F9-9FE55EE76A06}">
  <sheetPr codeName="Sheet2"/>
  <dimension ref="A1:DM190"/>
  <sheetViews>
    <sheetView showGridLines="0" zoomScale="80" zoomScaleNormal="80" workbookViewId="0">
      <pane ySplit="16" topLeftCell="A17" activePane="bottomLeft" state="frozen"/>
      <selection pane="bottomLeft" activeCell="G8" sqref="G8"/>
    </sheetView>
  </sheetViews>
  <sheetFormatPr defaultRowHeight="14.5" x14ac:dyDescent="0.35"/>
  <cols>
    <col min="1" max="4" width="8.90625" hidden="1" customWidth="1"/>
    <col min="5" max="5" width="35.6328125" bestFit="1" customWidth="1"/>
    <col min="6" max="6" width="19.90625" bestFit="1" customWidth="1"/>
    <col min="7" max="7" width="21.36328125" bestFit="1" customWidth="1"/>
    <col min="8" max="8" width="19.08984375" bestFit="1" customWidth="1"/>
    <col min="9" max="9" width="17.08984375" bestFit="1" customWidth="1"/>
    <col min="10" max="10" width="20.36328125" customWidth="1"/>
    <col min="11" max="11" width="20.6328125" bestFit="1" customWidth="1"/>
    <col min="12" max="12" width="15.54296875" bestFit="1" customWidth="1"/>
    <col min="13" max="117" width="13" customWidth="1"/>
  </cols>
  <sheetData>
    <row r="1" spans="1:14" hidden="1" x14ac:dyDescent="0.35"/>
    <row r="2" spans="1:14" hidden="1" x14ac:dyDescent="0.35">
      <c r="A2" s="11" t="s">
        <v>302</v>
      </c>
      <c r="B2" s="55" t="s">
        <v>281</v>
      </c>
      <c r="C2" s="13" t="s">
        <v>18</v>
      </c>
      <c r="D2" s="14" t="s">
        <v>19</v>
      </c>
    </row>
    <row r="3" spans="1:14" ht="15" hidden="1" thickBot="1" x14ac:dyDescent="0.4">
      <c r="A3" s="59" t="str">
        <f>IFERROR((K70-DM70)/K70,"-")</f>
        <v>-</v>
      </c>
      <c r="B3" s="60" t="str">
        <f>IFERROR((F9-DM70-J152-J186-F10-F11)/(F9-F10-F11),"-")</f>
        <v>-</v>
      </c>
      <c r="C3" s="17" t="s">
        <v>20</v>
      </c>
      <c r="D3" s="14" t="s">
        <v>21</v>
      </c>
    </row>
    <row r="4" spans="1:14" hidden="1" x14ac:dyDescent="0.35">
      <c r="C4" s="18" t="s">
        <v>22</v>
      </c>
      <c r="D4" s="19" t="s">
        <v>23</v>
      </c>
    </row>
    <row r="5" spans="1:14" hidden="1" x14ac:dyDescent="0.35">
      <c r="C5" s="22" t="s">
        <v>24</v>
      </c>
      <c r="D5" s="14" t="s">
        <v>25</v>
      </c>
    </row>
    <row r="6" spans="1:14" hidden="1" x14ac:dyDescent="0.35">
      <c r="C6" s="24" t="s">
        <v>27</v>
      </c>
      <c r="D6" s="19" t="s">
        <v>28</v>
      </c>
    </row>
    <row r="7" spans="1:14" x14ac:dyDescent="0.35">
      <c r="G7" s="128" t="s">
        <v>324</v>
      </c>
    </row>
    <row r="8" spans="1:14" ht="15" thickBot="1" x14ac:dyDescent="0.4">
      <c r="H8" s="62"/>
      <c r="I8" s="62"/>
      <c r="J8" s="48"/>
      <c r="K8" s="228" t="s">
        <v>141</v>
      </c>
      <c r="L8" s="228"/>
      <c r="M8" s="228"/>
      <c r="N8" s="228"/>
    </row>
    <row r="9" spans="1:14" x14ac:dyDescent="0.35">
      <c r="E9" s="9" t="s">
        <v>17</v>
      </c>
      <c r="F9" s="110"/>
      <c r="H9" s="65" t="s">
        <v>278</v>
      </c>
      <c r="I9" s="34" t="s">
        <v>269</v>
      </c>
      <c r="J9" s="34" t="s">
        <v>309</v>
      </c>
      <c r="K9" s="11" t="s">
        <v>279</v>
      </c>
      <c r="L9" s="55" t="s">
        <v>280</v>
      </c>
      <c r="M9" s="132" t="s">
        <v>319</v>
      </c>
      <c r="N9" s="132" t="s">
        <v>317</v>
      </c>
    </row>
    <row r="10" spans="1:14" ht="25.5" thickBot="1" x14ac:dyDescent="0.4">
      <c r="E10" s="12" t="s">
        <v>330</v>
      </c>
      <c r="F10" s="100">
        <f>K84</f>
        <v>0</v>
      </c>
      <c r="H10" s="56">
        <f>IFERROR(F15/J70,"-")</f>
        <v>0</v>
      </c>
      <c r="I10" s="57">
        <f>IFERROR(K189/L189,"-")</f>
        <v>0</v>
      </c>
      <c r="J10" s="58" t="str">
        <f>J118</f>
        <v>-</v>
      </c>
      <c r="K10" s="58" t="str">
        <f>IFERROR((K152-J152)/K152,"-")</f>
        <v>-</v>
      </c>
      <c r="L10" s="87" t="str">
        <f>IFERROR((K186-J186)/K186,"-")</f>
        <v>-</v>
      </c>
      <c r="M10" s="58" t="str">
        <f>A3</f>
        <v>-</v>
      </c>
      <c r="N10" s="58" t="str">
        <f>B3</f>
        <v>-</v>
      </c>
    </row>
    <row r="11" spans="1:14" x14ac:dyDescent="0.35">
      <c r="E11" s="15" t="s">
        <v>271</v>
      </c>
      <c r="F11" s="16">
        <f>K118</f>
        <v>0</v>
      </c>
    </row>
    <row r="12" spans="1:14" x14ac:dyDescent="0.35">
      <c r="E12" s="15" t="s">
        <v>26</v>
      </c>
      <c r="F12" s="16">
        <f>K152</f>
        <v>0</v>
      </c>
    </row>
    <row r="13" spans="1:14" ht="15" thickBot="1" x14ac:dyDescent="0.4">
      <c r="E13" s="20" t="s">
        <v>270</v>
      </c>
      <c r="F13" s="21">
        <f>K186</f>
        <v>0</v>
      </c>
    </row>
    <row r="14" spans="1:14" ht="15" thickBot="1" x14ac:dyDescent="0.4">
      <c r="E14" s="19"/>
      <c r="F14" s="23"/>
    </row>
    <row r="15" spans="1:14" x14ac:dyDescent="0.35">
      <c r="E15" s="9" t="s">
        <v>306</v>
      </c>
      <c r="F15" s="10">
        <f>F9-F10-F11-F12-F13</f>
        <v>0</v>
      </c>
    </row>
    <row r="16" spans="1:14" ht="15" thickBot="1" x14ac:dyDescent="0.4">
      <c r="E16" s="25" t="s">
        <v>307</v>
      </c>
      <c r="F16" s="64">
        <f>F15*'Data Validation'!D3</f>
        <v>0</v>
      </c>
    </row>
    <row r="17" spans="5:117" ht="16" thickBot="1" x14ac:dyDescent="0.4">
      <c r="E17" s="26"/>
      <c r="F17" s="27"/>
    </row>
    <row r="18" spans="5:117" ht="15" thickBot="1" x14ac:dyDescent="0.4">
      <c r="E18" s="28" t="s">
        <v>151</v>
      </c>
      <c r="M18" s="29">
        <f>FrontPage!B9</f>
        <v>46174.229166666664</v>
      </c>
      <c r="N18" s="30">
        <f>M18+7</f>
        <v>46181.229166666664</v>
      </c>
      <c r="O18" s="30">
        <f t="shared" ref="O18:BZ18" si="0">N18+7</f>
        <v>46188.229166666664</v>
      </c>
      <c r="P18" s="30">
        <f t="shared" si="0"/>
        <v>46195.229166666664</v>
      </c>
      <c r="Q18" s="30">
        <f t="shared" si="0"/>
        <v>46202.229166666664</v>
      </c>
      <c r="R18" s="30">
        <f t="shared" si="0"/>
        <v>46209.229166666664</v>
      </c>
      <c r="S18" s="30">
        <f t="shared" si="0"/>
        <v>46216.229166666664</v>
      </c>
      <c r="T18" s="30">
        <f t="shared" si="0"/>
        <v>46223.229166666664</v>
      </c>
      <c r="U18" s="30">
        <f t="shared" si="0"/>
        <v>46230.229166666664</v>
      </c>
      <c r="V18" s="30">
        <f t="shared" si="0"/>
        <v>46237.229166666664</v>
      </c>
      <c r="W18" s="30">
        <f t="shared" si="0"/>
        <v>46244.229166666664</v>
      </c>
      <c r="X18" s="30">
        <f t="shared" si="0"/>
        <v>46251.229166666664</v>
      </c>
      <c r="Y18" s="30">
        <f t="shared" si="0"/>
        <v>46258.229166666664</v>
      </c>
      <c r="Z18" s="30">
        <f t="shared" si="0"/>
        <v>46265.229166666664</v>
      </c>
      <c r="AA18" s="30">
        <f t="shared" si="0"/>
        <v>46272.229166666664</v>
      </c>
      <c r="AB18" s="30">
        <f t="shared" si="0"/>
        <v>46279.229166666664</v>
      </c>
      <c r="AC18" s="30">
        <f t="shared" si="0"/>
        <v>46286.229166666664</v>
      </c>
      <c r="AD18" s="30">
        <f t="shared" si="0"/>
        <v>46293.229166666664</v>
      </c>
      <c r="AE18" s="30">
        <f t="shared" si="0"/>
        <v>46300.229166666664</v>
      </c>
      <c r="AF18" s="30">
        <f t="shared" si="0"/>
        <v>46307.229166666664</v>
      </c>
      <c r="AG18" s="30">
        <f t="shared" si="0"/>
        <v>46314.229166666664</v>
      </c>
      <c r="AH18" s="30">
        <f t="shared" si="0"/>
        <v>46321.229166666664</v>
      </c>
      <c r="AI18" s="30">
        <f t="shared" si="0"/>
        <v>46328.229166666664</v>
      </c>
      <c r="AJ18" s="30">
        <f t="shared" si="0"/>
        <v>46335.229166666664</v>
      </c>
      <c r="AK18" s="30">
        <f t="shared" si="0"/>
        <v>46342.229166666664</v>
      </c>
      <c r="AL18" s="30">
        <f t="shared" si="0"/>
        <v>46349.229166666664</v>
      </c>
      <c r="AM18" s="30">
        <f t="shared" si="0"/>
        <v>46356.229166666664</v>
      </c>
      <c r="AN18" s="30">
        <f t="shared" si="0"/>
        <v>46363.229166666664</v>
      </c>
      <c r="AO18" s="30">
        <f t="shared" si="0"/>
        <v>46370.229166666664</v>
      </c>
      <c r="AP18" s="30">
        <f t="shared" si="0"/>
        <v>46377.229166666664</v>
      </c>
      <c r="AQ18" s="30">
        <f t="shared" si="0"/>
        <v>46384.229166666664</v>
      </c>
      <c r="AR18" s="30">
        <f t="shared" si="0"/>
        <v>46391.229166666664</v>
      </c>
      <c r="AS18" s="30">
        <f t="shared" si="0"/>
        <v>46398.229166666664</v>
      </c>
      <c r="AT18" s="30">
        <f t="shared" si="0"/>
        <v>46405.229166666664</v>
      </c>
      <c r="AU18" s="30">
        <f t="shared" si="0"/>
        <v>46412.229166666664</v>
      </c>
      <c r="AV18" s="30">
        <f t="shared" si="0"/>
        <v>46419.229166666664</v>
      </c>
      <c r="AW18" s="30">
        <f t="shared" si="0"/>
        <v>46426.229166666664</v>
      </c>
      <c r="AX18" s="30">
        <f t="shared" si="0"/>
        <v>46433.229166666664</v>
      </c>
      <c r="AY18" s="30">
        <f t="shared" si="0"/>
        <v>46440.229166666664</v>
      </c>
      <c r="AZ18" s="30">
        <f t="shared" si="0"/>
        <v>46447.229166666664</v>
      </c>
      <c r="BA18" s="30">
        <f t="shared" si="0"/>
        <v>46454.229166666664</v>
      </c>
      <c r="BB18" s="30">
        <f t="shared" si="0"/>
        <v>46461.229166666664</v>
      </c>
      <c r="BC18" s="30">
        <f t="shared" si="0"/>
        <v>46468.229166666664</v>
      </c>
      <c r="BD18" s="30">
        <f t="shared" si="0"/>
        <v>46475.229166666664</v>
      </c>
      <c r="BE18" s="30">
        <f t="shared" si="0"/>
        <v>46482.229166666664</v>
      </c>
      <c r="BF18" s="30">
        <f t="shared" si="0"/>
        <v>46489.229166666664</v>
      </c>
      <c r="BG18" s="30">
        <f t="shared" si="0"/>
        <v>46496.229166666664</v>
      </c>
      <c r="BH18" s="30">
        <f t="shared" si="0"/>
        <v>46503.229166666664</v>
      </c>
      <c r="BI18" s="30">
        <f t="shared" si="0"/>
        <v>46510.229166666664</v>
      </c>
      <c r="BJ18" s="30">
        <f t="shared" si="0"/>
        <v>46517.229166666664</v>
      </c>
      <c r="BK18" s="30">
        <f t="shared" si="0"/>
        <v>46524.229166666664</v>
      </c>
      <c r="BL18" s="30">
        <f t="shared" si="0"/>
        <v>46531.229166666664</v>
      </c>
      <c r="BM18" s="30">
        <f t="shared" si="0"/>
        <v>46538.229166666664</v>
      </c>
      <c r="BN18" s="30">
        <f t="shared" si="0"/>
        <v>46545.229166666664</v>
      </c>
      <c r="BO18" s="30">
        <f t="shared" si="0"/>
        <v>46552.229166666664</v>
      </c>
      <c r="BP18" s="30">
        <f t="shared" si="0"/>
        <v>46559.229166666664</v>
      </c>
      <c r="BQ18" s="30">
        <f t="shared" si="0"/>
        <v>46566.229166666664</v>
      </c>
      <c r="BR18" s="30">
        <f t="shared" si="0"/>
        <v>46573.229166666664</v>
      </c>
      <c r="BS18" s="30">
        <f t="shared" si="0"/>
        <v>46580.229166666664</v>
      </c>
      <c r="BT18" s="30">
        <f t="shared" si="0"/>
        <v>46587.229166666664</v>
      </c>
      <c r="BU18" s="30">
        <f t="shared" si="0"/>
        <v>46594.229166666664</v>
      </c>
      <c r="BV18" s="30">
        <f t="shared" si="0"/>
        <v>46601.229166666664</v>
      </c>
      <c r="BW18" s="30">
        <f t="shared" si="0"/>
        <v>46608.229166666664</v>
      </c>
      <c r="BX18" s="30">
        <f t="shared" si="0"/>
        <v>46615.229166666664</v>
      </c>
      <c r="BY18" s="30">
        <f t="shared" si="0"/>
        <v>46622.229166666664</v>
      </c>
      <c r="BZ18" s="30">
        <f t="shared" si="0"/>
        <v>46629.229166666664</v>
      </c>
      <c r="CA18" s="30">
        <f t="shared" ref="CA18:DL18" si="1">BZ18+7</f>
        <v>46636.229166666664</v>
      </c>
      <c r="CB18" s="30">
        <f t="shared" si="1"/>
        <v>46643.229166666664</v>
      </c>
      <c r="CC18" s="30">
        <f t="shared" si="1"/>
        <v>46650.229166666664</v>
      </c>
      <c r="CD18" s="30">
        <f t="shared" si="1"/>
        <v>46657.229166666664</v>
      </c>
      <c r="CE18" s="30">
        <f t="shared" si="1"/>
        <v>46664.229166666664</v>
      </c>
      <c r="CF18" s="30">
        <f t="shared" si="1"/>
        <v>46671.229166666664</v>
      </c>
      <c r="CG18" s="30">
        <f t="shared" si="1"/>
        <v>46678.229166666664</v>
      </c>
      <c r="CH18" s="30">
        <f t="shared" si="1"/>
        <v>46685.229166666664</v>
      </c>
      <c r="CI18" s="30">
        <f t="shared" si="1"/>
        <v>46692.229166666664</v>
      </c>
      <c r="CJ18" s="30">
        <f t="shared" si="1"/>
        <v>46699.229166666664</v>
      </c>
      <c r="CK18" s="30">
        <f t="shared" si="1"/>
        <v>46706.229166666664</v>
      </c>
      <c r="CL18" s="30">
        <f t="shared" si="1"/>
        <v>46713.229166666664</v>
      </c>
      <c r="CM18" s="30">
        <f t="shared" si="1"/>
        <v>46720.229166666664</v>
      </c>
      <c r="CN18" s="30">
        <f t="shared" si="1"/>
        <v>46727.229166666664</v>
      </c>
      <c r="CO18" s="30">
        <f t="shared" si="1"/>
        <v>46734.229166666664</v>
      </c>
      <c r="CP18" s="30">
        <f t="shared" si="1"/>
        <v>46741.229166666664</v>
      </c>
      <c r="CQ18" s="30">
        <f t="shared" si="1"/>
        <v>46748.229166666664</v>
      </c>
      <c r="CR18" s="30">
        <f t="shared" si="1"/>
        <v>46755.229166666664</v>
      </c>
      <c r="CS18" s="30">
        <f t="shared" si="1"/>
        <v>46762.229166666664</v>
      </c>
      <c r="CT18" s="30">
        <f t="shared" si="1"/>
        <v>46769.229166666664</v>
      </c>
      <c r="CU18" s="30">
        <f t="shared" si="1"/>
        <v>46776.229166666664</v>
      </c>
      <c r="CV18" s="30">
        <f t="shared" si="1"/>
        <v>46783.229166666664</v>
      </c>
      <c r="CW18" s="30">
        <f t="shared" si="1"/>
        <v>46790.229166666664</v>
      </c>
      <c r="CX18" s="30">
        <f t="shared" si="1"/>
        <v>46797.229166666664</v>
      </c>
      <c r="CY18" s="30">
        <f t="shared" si="1"/>
        <v>46804.229166666664</v>
      </c>
      <c r="CZ18" s="30">
        <f t="shared" si="1"/>
        <v>46811.229166666664</v>
      </c>
      <c r="DA18" s="30">
        <f t="shared" si="1"/>
        <v>46818.229166666664</v>
      </c>
      <c r="DB18" s="30">
        <f t="shared" si="1"/>
        <v>46825.229166666664</v>
      </c>
      <c r="DC18" s="30">
        <f t="shared" si="1"/>
        <v>46832.229166666664</v>
      </c>
      <c r="DD18" s="30">
        <f t="shared" si="1"/>
        <v>46839.229166666664</v>
      </c>
      <c r="DE18" s="30">
        <f t="shared" si="1"/>
        <v>46846.229166666664</v>
      </c>
      <c r="DF18" s="30">
        <f t="shared" si="1"/>
        <v>46853.229166666664</v>
      </c>
      <c r="DG18" s="30">
        <f t="shared" si="1"/>
        <v>46860.229166666664</v>
      </c>
      <c r="DH18" s="30">
        <f t="shared" si="1"/>
        <v>46867.229166666664</v>
      </c>
      <c r="DI18" s="30">
        <f t="shared" si="1"/>
        <v>46874.229166666664</v>
      </c>
      <c r="DJ18" s="30">
        <f t="shared" si="1"/>
        <v>46881.229166666664</v>
      </c>
      <c r="DK18" s="30">
        <f t="shared" si="1"/>
        <v>46888.229166666664</v>
      </c>
      <c r="DL18" s="30">
        <f t="shared" si="1"/>
        <v>46895.229166666664</v>
      </c>
      <c r="DM18" s="31"/>
    </row>
    <row r="19" spans="5:117" s="19" customFormat="1" ht="30" customHeight="1" x14ac:dyDescent="0.3">
      <c r="E19" s="28" t="s">
        <v>29</v>
      </c>
      <c r="F19" s="32" t="s">
        <v>145</v>
      </c>
      <c r="G19" s="32" t="s">
        <v>146</v>
      </c>
      <c r="H19" s="33" t="s">
        <v>30</v>
      </c>
      <c r="I19" s="33" t="s">
        <v>31</v>
      </c>
      <c r="J19" s="33" t="s">
        <v>32</v>
      </c>
      <c r="K19" s="33" t="s">
        <v>33</v>
      </c>
      <c r="L19" s="33" t="s">
        <v>34</v>
      </c>
      <c r="M19" s="34" t="s">
        <v>35</v>
      </c>
      <c r="N19" s="33" t="s">
        <v>36</v>
      </c>
      <c r="O19" s="33" t="s">
        <v>37</v>
      </c>
      <c r="P19" s="33" t="s">
        <v>38</v>
      </c>
      <c r="Q19" s="33" t="s">
        <v>39</v>
      </c>
      <c r="R19" s="33" t="s">
        <v>40</v>
      </c>
      <c r="S19" s="33" t="s">
        <v>41</v>
      </c>
      <c r="T19" s="33" t="s">
        <v>42</v>
      </c>
      <c r="U19" s="33" t="s">
        <v>43</v>
      </c>
      <c r="V19" s="33" t="s">
        <v>44</v>
      </c>
      <c r="W19" s="33" t="s">
        <v>45</v>
      </c>
      <c r="X19" s="33" t="s">
        <v>46</v>
      </c>
      <c r="Y19" s="33" t="s">
        <v>47</v>
      </c>
      <c r="Z19" s="33" t="s">
        <v>48</v>
      </c>
      <c r="AA19" s="33" t="s">
        <v>49</v>
      </c>
      <c r="AB19" s="33" t="s">
        <v>50</v>
      </c>
      <c r="AC19" s="33" t="s">
        <v>51</v>
      </c>
      <c r="AD19" s="33" t="s">
        <v>52</v>
      </c>
      <c r="AE19" s="33" t="s">
        <v>53</v>
      </c>
      <c r="AF19" s="33" t="s">
        <v>54</v>
      </c>
      <c r="AG19" s="33" t="s">
        <v>55</v>
      </c>
      <c r="AH19" s="33" t="s">
        <v>56</v>
      </c>
      <c r="AI19" s="33" t="s">
        <v>57</v>
      </c>
      <c r="AJ19" s="33" t="s">
        <v>58</v>
      </c>
      <c r="AK19" s="33" t="s">
        <v>59</v>
      </c>
      <c r="AL19" s="33" t="s">
        <v>60</v>
      </c>
      <c r="AM19" s="33" t="s">
        <v>61</v>
      </c>
      <c r="AN19" s="33" t="s">
        <v>62</v>
      </c>
      <c r="AO19" s="33" t="s">
        <v>63</v>
      </c>
      <c r="AP19" s="33" t="s">
        <v>64</v>
      </c>
      <c r="AQ19" s="33" t="s">
        <v>65</v>
      </c>
      <c r="AR19" s="33" t="s">
        <v>66</v>
      </c>
      <c r="AS19" s="33" t="s">
        <v>67</v>
      </c>
      <c r="AT19" s="33" t="s">
        <v>68</v>
      </c>
      <c r="AU19" s="33" t="s">
        <v>69</v>
      </c>
      <c r="AV19" s="33" t="s">
        <v>70</v>
      </c>
      <c r="AW19" s="33" t="s">
        <v>71</v>
      </c>
      <c r="AX19" s="33" t="s">
        <v>72</v>
      </c>
      <c r="AY19" s="33" t="s">
        <v>73</v>
      </c>
      <c r="AZ19" s="33" t="s">
        <v>74</v>
      </c>
      <c r="BA19" s="33" t="s">
        <v>75</v>
      </c>
      <c r="BB19" s="33" t="s">
        <v>76</v>
      </c>
      <c r="BC19" s="33" t="s">
        <v>77</v>
      </c>
      <c r="BD19" s="33" t="s">
        <v>78</v>
      </c>
      <c r="BE19" s="33" t="s">
        <v>79</v>
      </c>
      <c r="BF19" s="33" t="s">
        <v>80</v>
      </c>
      <c r="BG19" s="33" t="s">
        <v>81</v>
      </c>
      <c r="BH19" s="33" t="s">
        <v>82</v>
      </c>
      <c r="BI19" s="33" t="s">
        <v>83</v>
      </c>
      <c r="BJ19" s="33" t="s">
        <v>84</v>
      </c>
      <c r="BK19" s="33" t="s">
        <v>85</v>
      </c>
      <c r="BL19" s="33" t="s">
        <v>86</v>
      </c>
      <c r="BM19" s="33" t="s">
        <v>87</v>
      </c>
      <c r="BN19" s="33" t="s">
        <v>88</v>
      </c>
      <c r="BO19" s="33" t="s">
        <v>89</v>
      </c>
      <c r="BP19" s="33" t="s">
        <v>90</v>
      </c>
      <c r="BQ19" s="33" t="s">
        <v>91</v>
      </c>
      <c r="BR19" s="33" t="s">
        <v>92</v>
      </c>
      <c r="BS19" s="33" t="s">
        <v>93</v>
      </c>
      <c r="BT19" s="33" t="s">
        <v>94</v>
      </c>
      <c r="BU19" s="33" t="s">
        <v>95</v>
      </c>
      <c r="BV19" s="33" t="s">
        <v>96</v>
      </c>
      <c r="BW19" s="33" t="s">
        <v>97</v>
      </c>
      <c r="BX19" s="33" t="s">
        <v>98</v>
      </c>
      <c r="BY19" s="33" t="s">
        <v>99</v>
      </c>
      <c r="BZ19" s="33" t="s">
        <v>100</v>
      </c>
      <c r="CA19" s="33" t="s">
        <v>101</v>
      </c>
      <c r="CB19" s="33" t="s">
        <v>102</v>
      </c>
      <c r="CC19" s="33" t="s">
        <v>103</v>
      </c>
      <c r="CD19" s="33" t="s">
        <v>104</v>
      </c>
      <c r="CE19" s="33" t="s">
        <v>105</v>
      </c>
      <c r="CF19" s="33" t="s">
        <v>106</v>
      </c>
      <c r="CG19" s="33" t="s">
        <v>107</v>
      </c>
      <c r="CH19" s="33" t="s">
        <v>108</v>
      </c>
      <c r="CI19" s="33" t="s">
        <v>109</v>
      </c>
      <c r="CJ19" s="33" t="s">
        <v>110</v>
      </c>
      <c r="CK19" s="33" t="s">
        <v>111</v>
      </c>
      <c r="CL19" s="33" t="s">
        <v>112</v>
      </c>
      <c r="CM19" s="33" t="s">
        <v>113</v>
      </c>
      <c r="CN19" s="33" t="s">
        <v>114</v>
      </c>
      <c r="CO19" s="33" t="s">
        <v>115</v>
      </c>
      <c r="CP19" s="33" t="s">
        <v>116</v>
      </c>
      <c r="CQ19" s="33" t="s">
        <v>117</v>
      </c>
      <c r="CR19" s="33" t="s">
        <v>118</v>
      </c>
      <c r="CS19" s="33" t="s">
        <v>119</v>
      </c>
      <c r="CT19" s="33" t="s">
        <v>120</v>
      </c>
      <c r="CU19" s="33" t="s">
        <v>121</v>
      </c>
      <c r="CV19" s="33" t="s">
        <v>122</v>
      </c>
      <c r="CW19" s="33" t="s">
        <v>123</v>
      </c>
      <c r="CX19" s="33" t="s">
        <v>124</v>
      </c>
      <c r="CY19" s="33" t="s">
        <v>125</v>
      </c>
      <c r="CZ19" s="33" t="s">
        <v>126</v>
      </c>
      <c r="DA19" s="33" t="s">
        <v>127</v>
      </c>
      <c r="DB19" s="33" t="s">
        <v>128</v>
      </c>
      <c r="DC19" s="33" t="s">
        <v>129</v>
      </c>
      <c r="DD19" s="33" t="s">
        <v>130</v>
      </c>
      <c r="DE19" s="33" t="s">
        <v>131</v>
      </c>
      <c r="DF19" s="33" t="s">
        <v>132</v>
      </c>
      <c r="DG19" s="33" t="s">
        <v>133</v>
      </c>
      <c r="DH19" s="33" t="s">
        <v>134</v>
      </c>
      <c r="DI19" s="33" t="s">
        <v>135</v>
      </c>
      <c r="DJ19" s="33" t="s">
        <v>136</v>
      </c>
      <c r="DK19" s="33" t="s">
        <v>137</v>
      </c>
      <c r="DL19" s="33" t="s">
        <v>138</v>
      </c>
      <c r="DM19" s="35" t="s">
        <v>139</v>
      </c>
    </row>
    <row r="20" spans="5:117" x14ac:dyDescent="0.35">
      <c r="E20" s="111"/>
      <c r="F20" s="112" t="s">
        <v>331</v>
      </c>
      <c r="G20" s="112" t="s">
        <v>321</v>
      </c>
      <c r="H20" s="38">
        <f t="shared" ref="H20:H51" si="2">IFERROR(VLOOKUP(G20,Resource_List,2,FALSE),0)</f>
        <v>2580</v>
      </c>
      <c r="I20" s="38">
        <f>IFERROR($H$10*H20,0)</f>
        <v>0</v>
      </c>
      <c r="J20" s="38">
        <f t="shared" ref="J20:J51" si="3">H20*L20</f>
        <v>433440</v>
      </c>
      <c r="K20" s="38">
        <f t="shared" ref="K20:K51" si="4">I20*L20</f>
        <v>0</v>
      </c>
      <c r="L20" s="39">
        <f>SUM(M20:DL20)</f>
        <v>168</v>
      </c>
      <c r="M20" s="113">
        <v>32</v>
      </c>
      <c r="N20" s="113">
        <v>40</v>
      </c>
      <c r="O20" s="113">
        <v>40</v>
      </c>
      <c r="P20" s="113">
        <v>40</v>
      </c>
      <c r="Q20" s="113">
        <v>16</v>
      </c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6">
        <f t="shared" ref="DM20:DM51" si="5">IFERROR((L20*VLOOKUP(G20,Resource_List,3,FALSE)),0)</f>
        <v>297230.76923076925</v>
      </c>
    </row>
    <row r="21" spans="5:117" x14ac:dyDescent="0.35">
      <c r="E21" s="111"/>
      <c r="F21" s="112"/>
      <c r="G21" s="112"/>
      <c r="H21" s="38">
        <f t="shared" si="2"/>
        <v>0</v>
      </c>
      <c r="I21" s="38">
        <f t="shared" ref="I21:I69" si="6">IFERROR($H$10*H21,0)</f>
        <v>0</v>
      </c>
      <c r="J21" s="38">
        <f t="shared" si="3"/>
        <v>0</v>
      </c>
      <c r="K21" s="38">
        <f t="shared" si="4"/>
        <v>0</v>
      </c>
      <c r="L21" s="39">
        <f t="shared" ref="L21:L69" si="7">SUM(M21:DL21)</f>
        <v>0</v>
      </c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6">
        <f t="shared" si="5"/>
        <v>0</v>
      </c>
    </row>
    <row r="22" spans="5:117" x14ac:dyDescent="0.35">
      <c r="E22" s="111"/>
      <c r="F22" s="112"/>
      <c r="G22" s="112"/>
      <c r="H22" s="38">
        <f t="shared" si="2"/>
        <v>0</v>
      </c>
      <c r="I22" s="38">
        <f t="shared" si="6"/>
        <v>0</v>
      </c>
      <c r="J22" s="38">
        <f t="shared" si="3"/>
        <v>0</v>
      </c>
      <c r="K22" s="38">
        <f t="shared" si="4"/>
        <v>0</v>
      </c>
      <c r="L22" s="39">
        <f t="shared" si="7"/>
        <v>0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6">
        <f t="shared" si="5"/>
        <v>0</v>
      </c>
    </row>
    <row r="23" spans="5:117" x14ac:dyDescent="0.35">
      <c r="E23" s="111"/>
      <c r="F23" s="112"/>
      <c r="G23" s="112"/>
      <c r="H23" s="38">
        <f t="shared" si="2"/>
        <v>0</v>
      </c>
      <c r="I23" s="38">
        <f t="shared" si="6"/>
        <v>0</v>
      </c>
      <c r="J23" s="38">
        <f t="shared" si="3"/>
        <v>0</v>
      </c>
      <c r="K23" s="38">
        <f t="shared" si="4"/>
        <v>0</v>
      </c>
      <c r="L23" s="39">
        <f t="shared" si="7"/>
        <v>0</v>
      </c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6">
        <f t="shared" si="5"/>
        <v>0</v>
      </c>
    </row>
    <row r="24" spans="5:117" x14ac:dyDescent="0.35">
      <c r="E24" s="111"/>
      <c r="F24" s="112"/>
      <c r="G24" s="112"/>
      <c r="H24" s="38">
        <f t="shared" si="2"/>
        <v>0</v>
      </c>
      <c r="I24" s="38">
        <f t="shared" si="6"/>
        <v>0</v>
      </c>
      <c r="J24" s="38">
        <f t="shared" si="3"/>
        <v>0</v>
      </c>
      <c r="K24" s="38">
        <f t="shared" si="4"/>
        <v>0</v>
      </c>
      <c r="L24" s="39">
        <f t="shared" si="7"/>
        <v>0</v>
      </c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6">
        <f t="shared" si="5"/>
        <v>0</v>
      </c>
    </row>
    <row r="25" spans="5:117" x14ac:dyDescent="0.35">
      <c r="E25" s="111"/>
      <c r="F25" s="112"/>
      <c r="G25" s="112"/>
      <c r="H25" s="38">
        <f t="shared" si="2"/>
        <v>0</v>
      </c>
      <c r="I25" s="38">
        <f t="shared" si="6"/>
        <v>0</v>
      </c>
      <c r="J25" s="38">
        <f t="shared" si="3"/>
        <v>0</v>
      </c>
      <c r="K25" s="38">
        <f t="shared" si="4"/>
        <v>0</v>
      </c>
      <c r="L25" s="39">
        <f t="shared" si="7"/>
        <v>0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6">
        <f t="shared" si="5"/>
        <v>0</v>
      </c>
    </row>
    <row r="26" spans="5:117" x14ac:dyDescent="0.35">
      <c r="E26" s="111"/>
      <c r="F26" s="112"/>
      <c r="G26" s="112"/>
      <c r="H26" s="38">
        <f t="shared" si="2"/>
        <v>0</v>
      </c>
      <c r="I26" s="38">
        <f t="shared" si="6"/>
        <v>0</v>
      </c>
      <c r="J26" s="38">
        <f t="shared" si="3"/>
        <v>0</v>
      </c>
      <c r="K26" s="38">
        <f t="shared" si="4"/>
        <v>0</v>
      </c>
      <c r="L26" s="39">
        <f t="shared" si="7"/>
        <v>0</v>
      </c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6">
        <f t="shared" si="5"/>
        <v>0</v>
      </c>
    </row>
    <row r="27" spans="5:117" x14ac:dyDescent="0.35">
      <c r="E27" s="111"/>
      <c r="F27" s="112"/>
      <c r="G27" s="112"/>
      <c r="H27" s="38">
        <f t="shared" si="2"/>
        <v>0</v>
      </c>
      <c r="I27" s="38">
        <f t="shared" si="6"/>
        <v>0</v>
      </c>
      <c r="J27" s="38">
        <f t="shared" si="3"/>
        <v>0</v>
      </c>
      <c r="K27" s="38">
        <f t="shared" si="4"/>
        <v>0</v>
      </c>
      <c r="L27" s="39">
        <f t="shared" si="7"/>
        <v>0</v>
      </c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6">
        <f t="shared" si="5"/>
        <v>0</v>
      </c>
    </row>
    <row r="28" spans="5:117" x14ac:dyDescent="0.35">
      <c r="E28" s="111"/>
      <c r="F28" s="112"/>
      <c r="G28" s="112"/>
      <c r="H28" s="38">
        <f t="shared" si="2"/>
        <v>0</v>
      </c>
      <c r="I28" s="38">
        <f t="shared" si="6"/>
        <v>0</v>
      </c>
      <c r="J28" s="38">
        <f t="shared" si="3"/>
        <v>0</v>
      </c>
      <c r="K28" s="38">
        <f t="shared" si="4"/>
        <v>0</v>
      </c>
      <c r="L28" s="39">
        <f t="shared" si="7"/>
        <v>0</v>
      </c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6">
        <f t="shared" si="5"/>
        <v>0</v>
      </c>
    </row>
    <row r="29" spans="5:117" x14ac:dyDescent="0.35">
      <c r="E29" s="111"/>
      <c r="F29" s="112"/>
      <c r="G29" s="112"/>
      <c r="H29" s="38">
        <f t="shared" si="2"/>
        <v>0</v>
      </c>
      <c r="I29" s="38">
        <f t="shared" si="6"/>
        <v>0</v>
      </c>
      <c r="J29" s="38">
        <f t="shared" si="3"/>
        <v>0</v>
      </c>
      <c r="K29" s="38">
        <f t="shared" si="4"/>
        <v>0</v>
      </c>
      <c r="L29" s="39">
        <f t="shared" si="7"/>
        <v>0</v>
      </c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6">
        <f t="shared" si="5"/>
        <v>0</v>
      </c>
    </row>
    <row r="30" spans="5:117" x14ac:dyDescent="0.35">
      <c r="E30" s="111"/>
      <c r="F30" s="112"/>
      <c r="G30" s="112"/>
      <c r="H30" s="38">
        <f t="shared" si="2"/>
        <v>0</v>
      </c>
      <c r="I30" s="38">
        <f t="shared" si="6"/>
        <v>0</v>
      </c>
      <c r="J30" s="38">
        <f t="shared" si="3"/>
        <v>0</v>
      </c>
      <c r="K30" s="38">
        <f t="shared" si="4"/>
        <v>0</v>
      </c>
      <c r="L30" s="39">
        <f t="shared" si="7"/>
        <v>0</v>
      </c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6">
        <f t="shared" si="5"/>
        <v>0</v>
      </c>
    </row>
    <row r="31" spans="5:117" x14ac:dyDescent="0.35">
      <c r="E31" s="111"/>
      <c r="F31" s="112"/>
      <c r="G31" s="112"/>
      <c r="H31" s="38">
        <f t="shared" si="2"/>
        <v>0</v>
      </c>
      <c r="I31" s="38">
        <f t="shared" si="6"/>
        <v>0</v>
      </c>
      <c r="J31" s="38">
        <f t="shared" si="3"/>
        <v>0</v>
      </c>
      <c r="K31" s="38">
        <f t="shared" si="4"/>
        <v>0</v>
      </c>
      <c r="L31" s="39">
        <f t="shared" si="7"/>
        <v>0</v>
      </c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6">
        <f t="shared" si="5"/>
        <v>0</v>
      </c>
    </row>
    <row r="32" spans="5:117" x14ac:dyDescent="0.35">
      <c r="E32" s="111"/>
      <c r="F32" s="112"/>
      <c r="G32" s="112"/>
      <c r="H32" s="38">
        <f t="shared" si="2"/>
        <v>0</v>
      </c>
      <c r="I32" s="38">
        <f t="shared" si="6"/>
        <v>0</v>
      </c>
      <c r="J32" s="38">
        <f t="shared" si="3"/>
        <v>0</v>
      </c>
      <c r="K32" s="38">
        <f t="shared" si="4"/>
        <v>0</v>
      </c>
      <c r="L32" s="39">
        <f t="shared" si="7"/>
        <v>0</v>
      </c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6">
        <f t="shared" si="5"/>
        <v>0</v>
      </c>
    </row>
    <row r="33" spans="5:117" hidden="1" x14ac:dyDescent="0.35">
      <c r="E33" s="111"/>
      <c r="F33" s="112"/>
      <c r="G33" s="112"/>
      <c r="H33" s="38">
        <f t="shared" si="2"/>
        <v>0</v>
      </c>
      <c r="I33" s="38">
        <f t="shared" si="6"/>
        <v>0</v>
      </c>
      <c r="J33" s="38">
        <f t="shared" si="3"/>
        <v>0</v>
      </c>
      <c r="K33" s="38">
        <f t="shared" si="4"/>
        <v>0</v>
      </c>
      <c r="L33" s="39">
        <f t="shared" si="7"/>
        <v>0</v>
      </c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6">
        <f t="shared" si="5"/>
        <v>0</v>
      </c>
    </row>
    <row r="34" spans="5:117" hidden="1" x14ac:dyDescent="0.35">
      <c r="E34" s="111"/>
      <c r="F34" s="112"/>
      <c r="G34" s="112"/>
      <c r="H34" s="38">
        <f t="shared" si="2"/>
        <v>0</v>
      </c>
      <c r="I34" s="38">
        <f t="shared" si="6"/>
        <v>0</v>
      </c>
      <c r="J34" s="38">
        <f t="shared" si="3"/>
        <v>0</v>
      </c>
      <c r="K34" s="38">
        <f t="shared" si="4"/>
        <v>0</v>
      </c>
      <c r="L34" s="39">
        <f t="shared" si="7"/>
        <v>0</v>
      </c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6">
        <f t="shared" si="5"/>
        <v>0</v>
      </c>
    </row>
    <row r="35" spans="5:117" hidden="1" x14ac:dyDescent="0.35">
      <c r="E35" s="111"/>
      <c r="F35" s="112"/>
      <c r="G35" s="112"/>
      <c r="H35" s="38">
        <f t="shared" si="2"/>
        <v>0</v>
      </c>
      <c r="I35" s="38">
        <f t="shared" si="6"/>
        <v>0</v>
      </c>
      <c r="J35" s="38">
        <f t="shared" si="3"/>
        <v>0</v>
      </c>
      <c r="K35" s="38">
        <f t="shared" si="4"/>
        <v>0</v>
      </c>
      <c r="L35" s="39">
        <f t="shared" si="7"/>
        <v>0</v>
      </c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6">
        <f t="shared" si="5"/>
        <v>0</v>
      </c>
    </row>
    <row r="36" spans="5:117" hidden="1" x14ac:dyDescent="0.35">
      <c r="E36" s="111"/>
      <c r="F36" s="112"/>
      <c r="G36" s="112"/>
      <c r="H36" s="38">
        <f t="shared" si="2"/>
        <v>0</v>
      </c>
      <c r="I36" s="38">
        <f t="shared" si="6"/>
        <v>0</v>
      </c>
      <c r="J36" s="38">
        <f t="shared" si="3"/>
        <v>0</v>
      </c>
      <c r="K36" s="38">
        <f t="shared" si="4"/>
        <v>0</v>
      </c>
      <c r="L36" s="39">
        <f t="shared" si="7"/>
        <v>0</v>
      </c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6">
        <f t="shared" si="5"/>
        <v>0</v>
      </c>
    </row>
    <row r="37" spans="5:117" hidden="1" x14ac:dyDescent="0.35">
      <c r="E37" s="111"/>
      <c r="F37" s="112"/>
      <c r="G37" s="112"/>
      <c r="H37" s="38">
        <f t="shared" si="2"/>
        <v>0</v>
      </c>
      <c r="I37" s="38">
        <f t="shared" si="6"/>
        <v>0</v>
      </c>
      <c r="J37" s="38">
        <f t="shared" si="3"/>
        <v>0</v>
      </c>
      <c r="K37" s="38">
        <f t="shared" si="4"/>
        <v>0</v>
      </c>
      <c r="L37" s="39">
        <f t="shared" si="7"/>
        <v>0</v>
      </c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6">
        <f t="shared" si="5"/>
        <v>0</v>
      </c>
    </row>
    <row r="38" spans="5:117" hidden="1" x14ac:dyDescent="0.35">
      <c r="E38" s="111"/>
      <c r="F38" s="112"/>
      <c r="G38" s="112"/>
      <c r="H38" s="38">
        <f t="shared" si="2"/>
        <v>0</v>
      </c>
      <c r="I38" s="38">
        <f t="shared" si="6"/>
        <v>0</v>
      </c>
      <c r="J38" s="38">
        <f t="shared" si="3"/>
        <v>0</v>
      </c>
      <c r="K38" s="38">
        <f t="shared" si="4"/>
        <v>0</v>
      </c>
      <c r="L38" s="39">
        <f t="shared" si="7"/>
        <v>0</v>
      </c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6">
        <f t="shared" si="5"/>
        <v>0</v>
      </c>
    </row>
    <row r="39" spans="5:117" hidden="1" x14ac:dyDescent="0.35">
      <c r="E39" s="111"/>
      <c r="F39" s="112"/>
      <c r="G39" s="112"/>
      <c r="H39" s="38">
        <f t="shared" si="2"/>
        <v>0</v>
      </c>
      <c r="I39" s="38">
        <f t="shared" si="6"/>
        <v>0</v>
      </c>
      <c r="J39" s="38">
        <f t="shared" si="3"/>
        <v>0</v>
      </c>
      <c r="K39" s="38">
        <f t="shared" si="4"/>
        <v>0</v>
      </c>
      <c r="L39" s="39">
        <f t="shared" si="7"/>
        <v>0</v>
      </c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6">
        <f t="shared" si="5"/>
        <v>0</v>
      </c>
    </row>
    <row r="40" spans="5:117" hidden="1" x14ac:dyDescent="0.35">
      <c r="E40" s="111"/>
      <c r="F40" s="112"/>
      <c r="G40" s="112"/>
      <c r="H40" s="38">
        <f t="shared" si="2"/>
        <v>0</v>
      </c>
      <c r="I40" s="38">
        <f t="shared" si="6"/>
        <v>0</v>
      </c>
      <c r="J40" s="38">
        <f t="shared" si="3"/>
        <v>0</v>
      </c>
      <c r="K40" s="38">
        <f t="shared" si="4"/>
        <v>0</v>
      </c>
      <c r="L40" s="39">
        <f t="shared" si="7"/>
        <v>0</v>
      </c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6">
        <f t="shared" si="5"/>
        <v>0</v>
      </c>
    </row>
    <row r="41" spans="5:117" hidden="1" x14ac:dyDescent="0.35">
      <c r="E41" s="111"/>
      <c r="F41" s="112"/>
      <c r="G41" s="112"/>
      <c r="H41" s="38">
        <f t="shared" si="2"/>
        <v>0</v>
      </c>
      <c r="I41" s="38">
        <f t="shared" si="6"/>
        <v>0</v>
      </c>
      <c r="J41" s="38">
        <f t="shared" si="3"/>
        <v>0</v>
      </c>
      <c r="K41" s="38">
        <f t="shared" si="4"/>
        <v>0</v>
      </c>
      <c r="L41" s="39">
        <f t="shared" si="7"/>
        <v>0</v>
      </c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6">
        <f t="shared" si="5"/>
        <v>0</v>
      </c>
    </row>
    <row r="42" spans="5:117" hidden="1" x14ac:dyDescent="0.35">
      <c r="E42" s="111"/>
      <c r="F42" s="112"/>
      <c r="G42" s="112"/>
      <c r="H42" s="38">
        <f t="shared" si="2"/>
        <v>0</v>
      </c>
      <c r="I42" s="38">
        <f t="shared" si="6"/>
        <v>0</v>
      </c>
      <c r="J42" s="38">
        <f t="shared" si="3"/>
        <v>0</v>
      </c>
      <c r="K42" s="38">
        <f t="shared" si="4"/>
        <v>0</v>
      </c>
      <c r="L42" s="39">
        <f t="shared" si="7"/>
        <v>0</v>
      </c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6">
        <f t="shared" si="5"/>
        <v>0</v>
      </c>
    </row>
    <row r="43" spans="5:117" hidden="1" x14ac:dyDescent="0.35">
      <c r="E43" s="111"/>
      <c r="F43" s="112"/>
      <c r="G43" s="112"/>
      <c r="H43" s="38">
        <f t="shared" si="2"/>
        <v>0</v>
      </c>
      <c r="I43" s="38">
        <f t="shared" si="6"/>
        <v>0</v>
      </c>
      <c r="J43" s="38">
        <f t="shared" si="3"/>
        <v>0</v>
      </c>
      <c r="K43" s="38">
        <f t="shared" si="4"/>
        <v>0</v>
      </c>
      <c r="L43" s="39">
        <f t="shared" si="7"/>
        <v>0</v>
      </c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6">
        <f t="shared" si="5"/>
        <v>0</v>
      </c>
    </row>
    <row r="44" spans="5:117" hidden="1" x14ac:dyDescent="0.35">
      <c r="E44" s="111"/>
      <c r="F44" s="112"/>
      <c r="G44" s="112"/>
      <c r="H44" s="38">
        <f t="shared" si="2"/>
        <v>0</v>
      </c>
      <c r="I44" s="38">
        <f t="shared" si="6"/>
        <v>0</v>
      </c>
      <c r="J44" s="38">
        <f t="shared" si="3"/>
        <v>0</v>
      </c>
      <c r="K44" s="38">
        <f t="shared" si="4"/>
        <v>0</v>
      </c>
      <c r="L44" s="39">
        <f t="shared" si="7"/>
        <v>0</v>
      </c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6">
        <f t="shared" si="5"/>
        <v>0</v>
      </c>
    </row>
    <row r="45" spans="5:117" hidden="1" x14ac:dyDescent="0.35">
      <c r="E45" s="111"/>
      <c r="F45" s="112"/>
      <c r="G45" s="112"/>
      <c r="H45" s="38">
        <f t="shared" si="2"/>
        <v>0</v>
      </c>
      <c r="I45" s="38">
        <f t="shared" si="6"/>
        <v>0</v>
      </c>
      <c r="J45" s="38">
        <f t="shared" si="3"/>
        <v>0</v>
      </c>
      <c r="K45" s="38">
        <f t="shared" si="4"/>
        <v>0</v>
      </c>
      <c r="L45" s="39">
        <f t="shared" si="7"/>
        <v>0</v>
      </c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6">
        <f t="shared" si="5"/>
        <v>0</v>
      </c>
    </row>
    <row r="46" spans="5:117" hidden="1" x14ac:dyDescent="0.35">
      <c r="E46" s="111"/>
      <c r="F46" s="112"/>
      <c r="G46" s="112"/>
      <c r="H46" s="38">
        <f t="shared" si="2"/>
        <v>0</v>
      </c>
      <c r="I46" s="38">
        <f t="shared" si="6"/>
        <v>0</v>
      </c>
      <c r="J46" s="38">
        <f t="shared" si="3"/>
        <v>0</v>
      </c>
      <c r="K46" s="38">
        <f t="shared" si="4"/>
        <v>0</v>
      </c>
      <c r="L46" s="39">
        <f t="shared" si="7"/>
        <v>0</v>
      </c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6">
        <f t="shared" si="5"/>
        <v>0</v>
      </c>
    </row>
    <row r="47" spans="5:117" hidden="1" x14ac:dyDescent="0.35">
      <c r="E47" s="111"/>
      <c r="F47" s="112"/>
      <c r="G47" s="112"/>
      <c r="H47" s="38">
        <f t="shared" si="2"/>
        <v>0</v>
      </c>
      <c r="I47" s="38">
        <f t="shared" si="6"/>
        <v>0</v>
      </c>
      <c r="J47" s="38">
        <f t="shared" si="3"/>
        <v>0</v>
      </c>
      <c r="K47" s="38">
        <f t="shared" si="4"/>
        <v>0</v>
      </c>
      <c r="L47" s="39">
        <f t="shared" si="7"/>
        <v>0</v>
      </c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6">
        <f t="shared" si="5"/>
        <v>0</v>
      </c>
    </row>
    <row r="48" spans="5:117" hidden="1" x14ac:dyDescent="0.35">
      <c r="E48" s="111"/>
      <c r="F48" s="112"/>
      <c r="G48" s="112"/>
      <c r="H48" s="38">
        <f t="shared" si="2"/>
        <v>0</v>
      </c>
      <c r="I48" s="38">
        <f t="shared" si="6"/>
        <v>0</v>
      </c>
      <c r="J48" s="38">
        <f t="shared" si="3"/>
        <v>0</v>
      </c>
      <c r="K48" s="38">
        <f t="shared" si="4"/>
        <v>0</v>
      </c>
      <c r="L48" s="39">
        <f t="shared" si="7"/>
        <v>0</v>
      </c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6">
        <f t="shared" si="5"/>
        <v>0</v>
      </c>
    </row>
    <row r="49" spans="5:117" hidden="1" x14ac:dyDescent="0.35">
      <c r="E49" s="111"/>
      <c r="F49" s="112"/>
      <c r="G49" s="112"/>
      <c r="H49" s="38">
        <f t="shared" si="2"/>
        <v>0</v>
      </c>
      <c r="I49" s="38">
        <f t="shared" si="6"/>
        <v>0</v>
      </c>
      <c r="J49" s="38">
        <f t="shared" si="3"/>
        <v>0</v>
      </c>
      <c r="K49" s="38">
        <f t="shared" si="4"/>
        <v>0</v>
      </c>
      <c r="L49" s="39">
        <f t="shared" si="7"/>
        <v>0</v>
      </c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6">
        <f t="shared" si="5"/>
        <v>0</v>
      </c>
    </row>
    <row r="50" spans="5:117" hidden="1" x14ac:dyDescent="0.35">
      <c r="E50" s="111"/>
      <c r="F50" s="112"/>
      <c r="G50" s="112"/>
      <c r="H50" s="38">
        <f t="shared" si="2"/>
        <v>0</v>
      </c>
      <c r="I50" s="38">
        <f t="shared" si="6"/>
        <v>0</v>
      </c>
      <c r="J50" s="38">
        <f t="shared" si="3"/>
        <v>0</v>
      </c>
      <c r="K50" s="38">
        <f t="shared" si="4"/>
        <v>0</v>
      </c>
      <c r="L50" s="39">
        <f t="shared" si="7"/>
        <v>0</v>
      </c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6">
        <f t="shared" si="5"/>
        <v>0</v>
      </c>
    </row>
    <row r="51" spans="5:117" hidden="1" x14ac:dyDescent="0.35">
      <c r="E51" s="111"/>
      <c r="F51" s="112"/>
      <c r="G51" s="112"/>
      <c r="H51" s="38">
        <f t="shared" si="2"/>
        <v>0</v>
      </c>
      <c r="I51" s="38">
        <f t="shared" si="6"/>
        <v>0</v>
      </c>
      <c r="J51" s="38">
        <f t="shared" si="3"/>
        <v>0</v>
      </c>
      <c r="K51" s="38">
        <f t="shared" si="4"/>
        <v>0</v>
      </c>
      <c r="L51" s="39">
        <f t="shared" si="7"/>
        <v>0</v>
      </c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6">
        <f t="shared" si="5"/>
        <v>0</v>
      </c>
    </row>
    <row r="52" spans="5:117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38">
        <f t="shared" si="6"/>
        <v>0</v>
      </c>
      <c r="J52" s="38">
        <f t="shared" ref="J52:J69" si="9">H52*L52</f>
        <v>0</v>
      </c>
      <c r="K52" s="38">
        <f t="shared" ref="K52:K69" si="10">I52*L52</f>
        <v>0</v>
      </c>
      <c r="L52" s="39">
        <f t="shared" si="7"/>
        <v>0</v>
      </c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6">
        <f t="shared" ref="DM52:DM69" si="11">IFERROR((L52*VLOOKUP(G52,Resource_List,3,FALSE)),0)</f>
        <v>0</v>
      </c>
    </row>
    <row r="53" spans="5:117" hidden="1" x14ac:dyDescent="0.35">
      <c r="E53" s="111"/>
      <c r="F53" s="112"/>
      <c r="G53" s="112"/>
      <c r="H53" s="38">
        <f t="shared" si="8"/>
        <v>0</v>
      </c>
      <c r="I53" s="38">
        <f t="shared" si="6"/>
        <v>0</v>
      </c>
      <c r="J53" s="38">
        <f t="shared" si="9"/>
        <v>0</v>
      </c>
      <c r="K53" s="38">
        <f t="shared" si="10"/>
        <v>0</v>
      </c>
      <c r="L53" s="39">
        <f t="shared" si="7"/>
        <v>0</v>
      </c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6">
        <f t="shared" si="11"/>
        <v>0</v>
      </c>
    </row>
    <row r="54" spans="5:117" hidden="1" x14ac:dyDescent="0.35">
      <c r="E54" s="111"/>
      <c r="F54" s="112"/>
      <c r="G54" s="112"/>
      <c r="H54" s="38">
        <f t="shared" si="8"/>
        <v>0</v>
      </c>
      <c r="I54" s="38">
        <f t="shared" si="6"/>
        <v>0</v>
      </c>
      <c r="J54" s="38">
        <f t="shared" si="9"/>
        <v>0</v>
      </c>
      <c r="K54" s="38">
        <f t="shared" si="10"/>
        <v>0</v>
      </c>
      <c r="L54" s="39">
        <f t="shared" si="7"/>
        <v>0</v>
      </c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6">
        <f t="shared" si="11"/>
        <v>0</v>
      </c>
    </row>
    <row r="55" spans="5:117" hidden="1" x14ac:dyDescent="0.35">
      <c r="E55" s="111"/>
      <c r="F55" s="112"/>
      <c r="G55" s="112"/>
      <c r="H55" s="38">
        <f t="shared" si="8"/>
        <v>0</v>
      </c>
      <c r="I55" s="38">
        <f t="shared" si="6"/>
        <v>0</v>
      </c>
      <c r="J55" s="38">
        <f t="shared" si="9"/>
        <v>0</v>
      </c>
      <c r="K55" s="38">
        <f t="shared" si="10"/>
        <v>0</v>
      </c>
      <c r="L55" s="39">
        <f t="shared" si="7"/>
        <v>0</v>
      </c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6">
        <f t="shared" si="11"/>
        <v>0</v>
      </c>
    </row>
    <row r="56" spans="5:117" hidden="1" x14ac:dyDescent="0.35">
      <c r="E56" s="111"/>
      <c r="F56" s="112"/>
      <c r="G56" s="112"/>
      <c r="H56" s="38">
        <f t="shared" si="8"/>
        <v>0</v>
      </c>
      <c r="I56" s="38">
        <f t="shared" si="6"/>
        <v>0</v>
      </c>
      <c r="J56" s="38">
        <f t="shared" si="9"/>
        <v>0</v>
      </c>
      <c r="K56" s="38">
        <f t="shared" si="10"/>
        <v>0</v>
      </c>
      <c r="L56" s="39">
        <f t="shared" si="7"/>
        <v>0</v>
      </c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6">
        <f t="shared" si="11"/>
        <v>0</v>
      </c>
    </row>
    <row r="57" spans="5:117" hidden="1" x14ac:dyDescent="0.35">
      <c r="E57" s="111"/>
      <c r="F57" s="112"/>
      <c r="G57" s="112"/>
      <c r="H57" s="38">
        <f t="shared" si="8"/>
        <v>0</v>
      </c>
      <c r="I57" s="38">
        <f t="shared" si="6"/>
        <v>0</v>
      </c>
      <c r="J57" s="38">
        <f t="shared" si="9"/>
        <v>0</v>
      </c>
      <c r="K57" s="38">
        <f t="shared" si="10"/>
        <v>0</v>
      </c>
      <c r="L57" s="39">
        <f t="shared" si="7"/>
        <v>0</v>
      </c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6">
        <f t="shared" si="11"/>
        <v>0</v>
      </c>
    </row>
    <row r="58" spans="5:117" hidden="1" x14ac:dyDescent="0.35">
      <c r="E58" s="111"/>
      <c r="F58" s="112"/>
      <c r="G58" s="112"/>
      <c r="H58" s="38">
        <f t="shared" si="8"/>
        <v>0</v>
      </c>
      <c r="I58" s="38">
        <f t="shared" si="6"/>
        <v>0</v>
      </c>
      <c r="J58" s="38">
        <f t="shared" si="9"/>
        <v>0</v>
      </c>
      <c r="K58" s="38">
        <f t="shared" si="10"/>
        <v>0</v>
      </c>
      <c r="L58" s="39">
        <f t="shared" si="7"/>
        <v>0</v>
      </c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6">
        <f t="shared" si="11"/>
        <v>0</v>
      </c>
    </row>
    <row r="59" spans="5:117" hidden="1" x14ac:dyDescent="0.35">
      <c r="E59" s="111"/>
      <c r="F59" s="112"/>
      <c r="G59" s="112"/>
      <c r="H59" s="38">
        <f t="shared" si="8"/>
        <v>0</v>
      </c>
      <c r="I59" s="38">
        <f t="shared" si="6"/>
        <v>0</v>
      </c>
      <c r="J59" s="38">
        <f t="shared" si="9"/>
        <v>0</v>
      </c>
      <c r="K59" s="38">
        <f t="shared" si="10"/>
        <v>0</v>
      </c>
      <c r="L59" s="39">
        <f t="shared" si="7"/>
        <v>0</v>
      </c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6">
        <f t="shared" si="11"/>
        <v>0</v>
      </c>
    </row>
    <row r="60" spans="5:117" hidden="1" x14ac:dyDescent="0.35">
      <c r="E60" s="111"/>
      <c r="F60" s="112"/>
      <c r="G60" s="112"/>
      <c r="H60" s="38">
        <f t="shared" si="8"/>
        <v>0</v>
      </c>
      <c r="I60" s="38">
        <f t="shared" si="6"/>
        <v>0</v>
      </c>
      <c r="J60" s="38">
        <f t="shared" si="9"/>
        <v>0</v>
      </c>
      <c r="K60" s="38">
        <f t="shared" si="10"/>
        <v>0</v>
      </c>
      <c r="L60" s="39">
        <f t="shared" si="7"/>
        <v>0</v>
      </c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6">
        <f t="shared" si="11"/>
        <v>0</v>
      </c>
    </row>
    <row r="61" spans="5:117" hidden="1" x14ac:dyDescent="0.35">
      <c r="E61" s="111"/>
      <c r="F61" s="112"/>
      <c r="G61" s="112"/>
      <c r="H61" s="38">
        <f t="shared" si="8"/>
        <v>0</v>
      </c>
      <c r="I61" s="38">
        <f t="shared" si="6"/>
        <v>0</v>
      </c>
      <c r="J61" s="38">
        <f t="shared" si="9"/>
        <v>0</v>
      </c>
      <c r="K61" s="38">
        <f t="shared" si="10"/>
        <v>0</v>
      </c>
      <c r="L61" s="39">
        <f t="shared" si="7"/>
        <v>0</v>
      </c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6">
        <f t="shared" si="11"/>
        <v>0</v>
      </c>
    </row>
    <row r="62" spans="5:117" hidden="1" x14ac:dyDescent="0.35">
      <c r="E62" s="111"/>
      <c r="F62" s="112"/>
      <c r="G62" s="112"/>
      <c r="H62" s="38">
        <f t="shared" si="8"/>
        <v>0</v>
      </c>
      <c r="I62" s="38">
        <f t="shared" si="6"/>
        <v>0</v>
      </c>
      <c r="J62" s="38">
        <f t="shared" si="9"/>
        <v>0</v>
      </c>
      <c r="K62" s="38">
        <f t="shared" si="10"/>
        <v>0</v>
      </c>
      <c r="L62" s="39">
        <f t="shared" si="7"/>
        <v>0</v>
      </c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6">
        <f t="shared" si="11"/>
        <v>0</v>
      </c>
    </row>
    <row r="63" spans="5:117" hidden="1" x14ac:dyDescent="0.35">
      <c r="E63" s="111"/>
      <c r="F63" s="112"/>
      <c r="G63" s="112"/>
      <c r="H63" s="38">
        <f t="shared" si="8"/>
        <v>0</v>
      </c>
      <c r="I63" s="38">
        <f t="shared" si="6"/>
        <v>0</v>
      </c>
      <c r="J63" s="38">
        <f t="shared" si="9"/>
        <v>0</v>
      </c>
      <c r="K63" s="38">
        <f t="shared" si="10"/>
        <v>0</v>
      </c>
      <c r="L63" s="39">
        <f t="shared" si="7"/>
        <v>0</v>
      </c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6">
        <f t="shared" si="11"/>
        <v>0</v>
      </c>
    </row>
    <row r="64" spans="5:117" hidden="1" x14ac:dyDescent="0.35">
      <c r="E64" s="111"/>
      <c r="F64" s="112"/>
      <c r="G64" s="112"/>
      <c r="H64" s="38">
        <f t="shared" si="8"/>
        <v>0</v>
      </c>
      <c r="I64" s="38">
        <f t="shared" si="6"/>
        <v>0</v>
      </c>
      <c r="J64" s="38">
        <f t="shared" si="9"/>
        <v>0</v>
      </c>
      <c r="K64" s="38">
        <f t="shared" si="10"/>
        <v>0</v>
      </c>
      <c r="L64" s="39">
        <f t="shared" si="7"/>
        <v>0</v>
      </c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6">
        <f t="shared" si="11"/>
        <v>0</v>
      </c>
    </row>
    <row r="65" spans="5:117" hidden="1" x14ac:dyDescent="0.35">
      <c r="E65" s="111"/>
      <c r="F65" s="112"/>
      <c r="G65" s="112"/>
      <c r="H65" s="38">
        <f t="shared" si="8"/>
        <v>0</v>
      </c>
      <c r="I65" s="38">
        <f t="shared" si="6"/>
        <v>0</v>
      </c>
      <c r="J65" s="38">
        <f t="shared" si="9"/>
        <v>0</v>
      </c>
      <c r="K65" s="38">
        <f t="shared" si="10"/>
        <v>0</v>
      </c>
      <c r="L65" s="39">
        <f t="shared" si="7"/>
        <v>0</v>
      </c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6">
        <f t="shared" si="11"/>
        <v>0</v>
      </c>
    </row>
    <row r="66" spans="5:117" hidden="1" x14ac:dyDescent="0.35">
      <c r="E66" s="111"/>
      <c r="F66" s="112"/>
      <c r="G66" s="112"/>
      <c r="H66" s="38">
        <f t="shared" si="8"/>
        <v>0</v>
      </c>
      <c r="I66" s="38">
        <f t="shared" si="6"/>
        <v>0</v>
      </c>
      <c r="J66" s="38">
        <f t="shared" si="9"/>
        <v>0</v>
      </c>
      <c r="K66" s="38">
        <f t="shared" si="10"/>
        <v>0</v>
      </c>
      <c r="L66" s="39">
        <f t="shared" si="7"/>
        <v>0</v>
      </c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6">
        <f t="shared" si="11"/>
        <v>0</v>
      </c>
    </row>
    <row r="67" spans="5:117" hidden="1" x14ac:dyDescent="0.35">
      <c r="E67" s="111"/>
      <c r="F67" s="112"/>
      <c r="G67" s="112"/>
      <c r="H67" s="38">
        <f t="shared" si="8"/>
        <v>0</v>
      </c>
      <c r="I67" s="38">
        <f t="shared" si="6"/>
        <v>0</v>
      </c>
      <c r="J67" s="38">
        <f t="shared" si="9"/>
        <v>0</v>
      </c>
      <c r="K67" s="38">
        <f t="shared" si="10"/>
        <v>0</v>
      </c>
      <c r="L67" s="39">
        <f t="shared" si="7"/>
        <v>0</v>
      </c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6">
        <f t="shared" si="11"/>
        <v>0</v>
      </c>
    </row>
    <row r="68" spans="5:117" hidden="1" x14ac:dyDescent="0.35">
      <c r="E68" s="111"/>
      <c r="F68" s="112"/>
      <c r="G68" s="112"/>
      <c r="H68" s="38">
        <f t="shared" si="8"/>
        <v>0</v>
      </c>
      <c r="I68" s="38">
        <f t="shared" si="6"/>
        <v>0</v>
      </c>
      <c r="J68" s="38">
        <f t="shared" si="9"/>
        <v>0</v>
      </c>
      <c r="K68" s="38">
        <f t="shared" si="10"/>
        <v>0</v>
      </c>
      <c r="L68" s="39">
        <f t="shared" si="7"/>
        <v>0</v>
      </c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6">
        <f t="shared" si="11"/>
        <v>0</v>
      </c>
    </row>
    <row r="69" spans="5:117" x14ac:dyDescent="0.35">
      <c r="E69" s="111"/>
      <c r="F69" s="112"/>
      <c r="G69" s="112"/>
      <c r="H69" s="38">
        <f t="shared" si="8"/>
        <v>0</v>
      </c>
      <c r="I69" s="38">
        <f t="shared" si="6"/>
        <v>0</v>
      </c>
      <c r="J69" s="38">
        <f t="shared" si="9"/>
        <v>0</v>
      </c>
      <c r="K69" s="38">
        <f t="shared" si="10"/>
        <v>0</v>
      </c>
      <c r="L69" s="39">
        <f t="shared" si="7"/>
        <v>0</v>
      </c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6">
        <f t="shared" si="11"/>
        <v>0</v>
      </c>
    </row>
    <row r="70" spans="5:117" ht="15" thickBot="1" x14ac:dyDescent="0.4">
      <c r="E70" s="3" t="s">
        <v>274</v>
      </c>
      <c r="F70" s="41"/>
      <c r="G70" s="41"/>
      <c r="H70" s="41"/>
      <c r="I70" s="8" t="s">
        <v>150</v>
      </c>
      <c r="J70" s="98">
        <f>SUM(J20:J69)</f>
        <v>433440</v>
      </c>
      <c r="K70" s="97">
        <f>SUM(K20:K69)</f>
        <v>0</v>
      </c>
      <c r="L70" s="99">
        <f>SUM(L20:L69)</f>
        <v>168</v>
      </c>
      <c r="M70" s="4">
        <f>SUM(M20:M69)</f>
        <v>32</v>
      </c>
      <c r="N70" s="4">
        <f t="shared" ref="N70:BY70" si="12">SUM(N20:N69)</f>
        <v>40</v>
      </c>
      <c r="O70" s="4">
        <f t="shared" si="12"/>
        <v>40</v>
      </c>
      <c r="P70" s="4">
        <f t="shared" si="12"/>
        <v>40</v>
      </c>
      <c r="Q70" s="4">
        <f t="shared" si="12"/>
        <v>16</v>
      </c>
      <c r="R70" s="4">
        <f t="shared" si="12"/>
        <v>0</v>
      </c>
      <c r="S70" s="4">
        <f t="shared" si="12"/>
        <v>0</v>
      </c>
      <c r="T70" s="4">
        <f t="shared" si="12"/>
        <v>0</v>
      </c>
      <c r="U70" s="4">
        <f t="shared" si="12"/>
        <v>0</v>
      </c>
      <c r="V70" s="4">
        <f t="shared" si="12"/>
        <v>0</v>
      </c>
      <c r="W70" s="4">
        <f t="shared" si="12"/>
        <v>0</v>
      </c>
      <c r="X70" s="4">
        <f t="shared" si="12"/>
        <v>0</v>
      </c>
      <c r="Y70" s="4">
        <f t="shared" si="12"/>
        <v>0</v>
      </c>
      <c r="Z70" s="4">
        <f t="shared" si="12"/>
        <v>0</v>
      </c>
      <c r="AA70" s="4">
        <f t="shared" si="12"/>
        <v>0</v>
      </c>
      <c r="AB70" s="4">
        <f t="shared" si="12"/>
        <v>0</v>
      </c>
      <c r="AC70" s="4">
        <f t="shared" si="12"/>
        <v>0</v>
      </c>
      <c r="AD70" s="4">
        <f t="shared" si="12"/>
        <v>0</v>
      </c>
      <c r="AE70" s="4">
        <f t="shared" si="12"/>
        <v>0</v>
      </c>
      <c r="AF70" s="4">
        <f t="shared" si="12"/>
        <v>0</v>
      </c>
      <c r="AG70" s="4">
        <f t="shared" si="12"/>
        <v>0</v>
      </c>
      <c r="AH70" s="4">
        <f t="shared" si="12"/>
        <v>0</v>
      </c>
      <c r="AI70" s="4">
        <f t="shared" si="12"/>
        <v>0</v>
      </c>
      <c r="AJ70" s="4">
        <f t="shared" si="12"/>
        <v>0</v>
      </c>
      <c r="AK70" s="4">
        <f t="shared" si="12"/>
        <v>0</v>
      </c>
      <c r="AL70" s="4">
        <f t="shared" si="12"/>
        <v>0</v>
      </c>
      <c r="AM70" s="4">
        <f t="shared" si="12"/>
        <v>0</v>
      </c>
      <c r="AN70" s="4">
        <f t="shared" si="12"/>
        <v>0</v>
      </c>
      <c r="AO70" s="4">
        <f t="shared" si="12"/>
        <v>0</v>
      </c>
      <c r="AP70" s="4">
        <f t="shared" si="12"/>
        <v>0</v>
      </c>
      <c r="AQ70" s="4">
        <f t="shared" si="12"/>
        <v>0</v>
      </c>
      <c r="AR70" s="4">
        <f t="shared" si="12"/>
        <v>0</v>
      </c>
      <c r="AS70" s="4">
        <f t="shared" si="12"/>
        <v>0</v>
      </c>
      <c r="AT70" s="4">
        <f t="shared" si="12"/>
        <v>0</v>
      </c>
      <c r="AU70" s="4">
        <f t="shared" si="12"/>
        <v>0</v>
      </c>
      <c r="AV70" s="4">
        <f t="shared" si="12"/>
        <v>0</v>
      </c>
      <c r="AW70" s="4">
        <f t="shared" si="12"/>
        <v>0</v>
      </c>
      <c r="AX70" s="4">
        <f t="shared" si="12"/>
        <v>0</v>
      </c>
      <c r="AY70" s="4">
        <f t="shared" si="12"/>
        <v>0</v>
      </c>
      <c r="AZ70" s="4">
        <f t="shared" si="12"/>
        <v>0</v>
      </c>
      <c r="BA70" s="4">
        <f t="shared" si="12"/>
        <v>0</v>
      </c>
      <c r="BB70" s="4">
        <f t="shared" si="12"/>
        <v>0</v>
      </c>
      <c r="BC70" s="4">
        <f t="shared" si="12"/>
        <v>0</v>
      </c>
      <c r="BD70" s="4">
        <f t="shared" si="12"/>
        <v>0</v>
      </c>
      <c r="BE70" s="4">
        <f t="shared" si="12"/>
        <v>0</v>
      </c>
      <c r="BF70" s="4">
        <f t="shared" si="12"/>
        <v>0</v>
      </c>
      <c r="BG70" s="4">
        <f t="shared" si="12"/>
        <v>0</v>
      </c>
      <c r="BH70" s="4">
        <f t="shared" si="12"/>
        <v>0</v>
      </c>
      <c r="BI70" s="4">
        <f t="shared" si="12"/>
        <v>0</v>
      </c>
      <c r="BJ70" s="4">
        <f t="shared" si="12"/>
        <v>0</v>
      </c>
      <c r="BK70" s="4">
        <f t="shared" si="12"/>
        <v>0</v>
      </c>
      <c r="BL70" s="4">
        <f t="shared" si="12"/>
        <v>0</v>
      </c>
      <c r="BM70" s="4">
        <f t="shared" si="12"/>
        <v>0</v>
      </c>
      <c r="BN70" s="4">
        <f t="shared" si="12"/>
        <v>0</v>
      </c>
      <c r="BO70" s="4">
        <f t="shared" si="12"/>
        <v>0</v>
      </c>
      <c r="BP70" s="4">
        <f t="shared" si="12"/>
        <v>0</v>
      </c>
      <c r="BQ70" s="4">
        <f t="shared" si="12"/>
        <v>0</v>
      </c>
      <c r="BR70" s="4">
        <f t="shared" si="12"/>
        <v>0</v>
      </c>
      <c r="BS70" s="4">
        <f t="shared" si="12"/>
        <v>0</v>
      </c>
      <c r="BT70" s="4">
        <f t="shared" si="12"/>
        <v>0</v>
      </c>
      <c r="BU70" s="4">
        <f t="shared" si="12"/>
        <v>0</v>
      </c>
      <c r="BV70" s="4">
        <f t="shared" si="12"/>
        <v>0</v>
      </c>
      <c r="BW70" s="4">
        <f t="shared" si="12"/>
        <v>0</v>
      </c>
      <c r="BX70" s="4">
        <f t="shared" si="12"/>
        <v>0</v>
      </c>
      <c r="BY70" s="4">
        <f t="shared" si="12"/>
        <v>0</v>
      </c>
      <c r="BZ70" s="4">
        <f t="shared" ref="BZ70:DL70" si="13">SUM(BZ20:BZ69)</f>
        <v>0</v>
      </c>
      <c r="CA70" s="4">
        <f t="shared" si="13"/>
        <v>0</v>
      </c>
      <c r="CB70" s="4">
        <f t="shared" si="13"/>
        <v>0</v>
      </c>
      <c r="CC70" s="4">
        <f t="shared" si="13"/>
        <v>0</v>
      </c>
      <c r="CD70" s="4">
        <f t="shared" si="13"/>
        <v>0</v>
      </c>
      <c r="CE70" s="4">
        <f t="shared" si="13"/>
        <v>0</v>
      </c>
      <c r="CF70" s="4">
        <f t="shared" si="13"/>
        <v>0</v>
      </c>
      <c r="CG70" s="4">
        <f t="shared" si="13"/>
        <v>0</v>
      </c>
      <c r="CH70" s="4">
        <f t="shared" si="13"/>
        <v>0</v>
      </c>
      <c r="CI70" s="4">
        <f t="shared" si="13"/>
        <v>0</v>
      </c>
      <c r="CJ70" s="4">
        <f t="shared" si="13"/>
        <v>0</v>
      </c>
      <c r="CK70" s="4">
        <f t="shared" si="13"/>
        <v>0</v>
      </c>
      <c r="CL70" s="4">
        <f t="shared" si="13"/>
        <v>0</v>
      </c>
      <c r="CM70" s="4">
        <f t="shared" si="13"/>
        <v>0</v>
      </c>
      <c r="CN70" s="4">
        <f t="shared" si="13"/>
        <v>0</v>
      </c>
      <c r="CO70" s="4">
        <f t="shared" si="13"/>
        <v>0</v>
      </c>
      <c r="CP70" s="4">
        <f t="shared" si="13"/>
        <v>0</v>
      </c>
      <c r="CQ70" s="4">
        <f t="shared" si="13"/>
        <v>0</v>
      </c>
      <c r="CR70" s="4">
        <f t="shared" si="13"/>
        <v>0</v>
      </c>
      <c r="CS70" s="4">
        <f t="shared" si="13"/>
        <v>0</v>
      </c>
      <c r="CT70" s="4">
        <f t="shared" si="13"/>
        <v>0</v>
      </c>
      <c r="CU70" s="4">
        <f t="shared" si="13"/>
        <v>0</v>
      </c>
      <c r="CV70" s="4">
        <f t="shared" si="13"/>
        <v>0</v>
      </c>
      <c r="CW70" s="4">
        <f t="shared" si="13"/>
        <v>0</v>
      </c>
      <c r="CX70" s="4">
        <f t="shared" si="13"/>
        <v>0</v>
      </c>
      <c r="CY70" s="4">
        <f t="shared" si="13"/>
        <v>0</v>
      </c>
      <c r="CZ70" s="4">
        <f t="shared" si="13"/>
        <v>0</v>
      </c>
      <c r="DA70" s="4">
        <f t="shared" si="13"/>
        <v>0</v>
      </c>
      <c r="DB70" s="4">
        <f t="shared" si="13"/>
        <v>0</v>
      </c>
      <c r="DC70" s="4">
        <f t="shared" si="13"/>
        <v>0</v>
      </c>
      <c r="DD70" s="4">
        <f t="shared" si="13"/>
        <v>0</v>
      </c>
      <c r="DE70" s="4">
        <f t="shared" si="13"/>
        <v>0</v>
      </c>
      <c r="DF70" s="4">
        <f t="shared" si="13"/>
        <v>0</v>
      </c>
      <c r="DG70" s="4">
        <f t="shared" si="13"/>
        <v>0</v>
      </c>
      <c r="DH70" s="4">
        <f t="shared" si="13"/>
        <v>0</v>
      </c>
      <c r="DI70" s="4">
        <f t="shared" si="13"/>
        <v>0</v>
      </c>
      <c r="DJ70" s="4">
        <f t="shared" si="13"/>
        <v>0</v>
      </c>
      <c r="DK70" s="4">
        <f t="shared" si="13"/>
        <v>0</v>
      </c>
      <c r="DL70" s="4">
        <f t="shared" si="13"/>
        <v>0</v>
      </c>
      <c r="DM70" s="42">
        <f>SUM(DM20:DM69)</f>
        <v>297230.76923076925</v>
      </c>
    </row>
    <row r="71" spans="5:117" ht="15" thickBot="1" x14ac:dyDescent="0.4"/>
    <row r="72" spans="5:117" ht="15" thickBot="1" x14ac:dyDescent="0.4">
      <c r="E72" s="95" t="s">
        <v>297</v>
      </c>
      <c r="F72" s="48"/>
      <c r="G72" s="48"/>
      <c r="H72" s="48"/>
      <c r="I72" s="48"/>
      <c r="J72" s="48"/>
      <c r="K72" s="48"/>
      <c r="L72" s="48"/>
      <c r="M72" s="94">
        <f>FrontPage!B9</f>
        <v>46174.229166666664</v>
      </c>
      <c r="N72" s="88">
        <f>M72+7</f>
        <v>46181.229166666664</v>
      </c>
      <c r="O72" s="88">
        <f t="shared" ref="O72" si="14">N72+7</f>
        <v>46188.229166666664</v>
      </c>
      <c r="P72" s="88">
        <f t="shared" ref="P72" si="15">O72+7</f>
        <v>46195.229166666664</v>
      </c>
      <c r="Q72" s="88">
        <f t="shared" ref="Q72" si="16">P72+7</f>
        <v>46202.229166666664</v>
      </c>
      <c r="R72" s="88">
        <f t="shared" ref="R72" si="17">Q72+7</f>
        <v>46209.229166666664</v>
      </c>
      <c r="S72" s="88">
        <f t="shared" ref="S72" si="18">R72+7</f>
        <v>46216.229166666664</v>
      </c>
      <c r="T72" s="88">
        <f t="shared" ref="T72" si="19">S72+7</f>
        <v>46223.229166666664</v>
      </c>
      <c r="U72" s="88">
        <f t="shared" ref="U72" si="20">T72+7</f>
        <v>46230.229166666664</v>
      </c>
      <c r="V72" s="88">
        <f t="shared" ref="V72" si="21">U72+7</f>
        <v>46237.229166666664</v>
      </c>
      <c r="W72" s="88">
        <f t="shared" ref="W72" si="22">V72+7</f>
        <v>46244.229166666664</v>
      </c>
      <c r="X72" s="88">
        <f t="shared" ref="X72" si="23">W72+7</f>
        <v>46251.229166666664</v>
      </c>
      <c r="Y72" s="88">
        <f t="shared" ref="Y72" si="24">X72+7</f>
        <v>46258.229166666664</v>
      </c>
      <c r="Z72" s="88">
        <f t="shared" ref="Z72" si="25">Y72+7</f>
        <v>46265.229166666664</v>
      </c>
      <c r="AA72" s="88">
        <f t="shared" ref="AA72" si="26">Z72+7</f>
        <v>46272.229166666664</v>
      </c>
      <c r="AB72" s="88">
        <f t="shared" ref="AB72" si="27">AA72+7</f>
        <v>46279.229166666664</v>
      </c>
      <c r="AC72" s="88">
        <f t="shared" ref="AC72" si="28">AB72+7</f>
        <v>46286.229166666664</v>
      </c>
      <c r="AD72" s="88">
        <f t="shared" ref="AD72" si="29">AC72+7</f>
        <v>46293.229166666664</v>
      </c>
      <c r="AE72" s="88">
        <f t="shared" ref="AE72" si="30">AD72+7</f>
        <v>46300.229166666664</v>
      </c>
      <c r="AF72" s="88">
        <f t="shared" ref="AF72" si="31">AE72+7</f>
        <v>46307.229166666664</v>
      </c>
      <c r="AG72" s="88">
        <f t="shared" ref="AG72" si="32">AF72+7</f>
        <v>46314.229166666664</v>
      </c>
      <c r="AH72" s="88">
        <f t="shared" ref="AH72" si="33">AG72+7</f>
        <v>46321.229166666664</v>
      </c>
      <c r="AI72" s="88">
        <f t="shared" ref="AI72" si="34">AH72+7</f>
        <v>46328.229166666664</v>
      </c>
      <c r="AJ72" s="88">
        <f t="shared" ref="AJ72" si="35">AI72+7</f>
        <v>46335.229166666664</v>
      </c>
      <c r="AK72" s="88">
        <f t="shared" ref="AK72" si="36">AJ72+7</f>
        <v>46342.229166666664</v>
      </c>
      <c r="AL72" s="88">
        <f t="shared" ref="AL72" si="37">AK72+7</f>
        <v>46349.229166666664</v>
      </c>
      <c r="AM72" s="88">
        <f t="shared" ref="AM72" si="38">AL72+7</f>
        <v>46356.229166666664</v>
      </c>
      <c r="AN72" s="88">
        <f t="shared" ref="AN72" si="39">AM72+7</f>
        <v>46363.229166666664</v>
      </c>
      <c r="AO72" s="88">
        <f t="shared" ref="AO72" si="40">AN72+7</f>
        <v>46370.229166666664</v>
      </c>
      <c r="AP72" s="88">
        <f t="shared" ref="AP72" si="41">AO72+7</f>
        <v>46377.229166666664</v>
      </c>
      <c r="AQ72" s="88">
        <f t="shared" ref="AQ72" si="42">AP72+7</f>
        <v>46384.229166666664</v>
      </c>
      <c r="AR72" s="88">
        <f t="shared" ref="AR72" si="43">AQ72+7</f>
        <v>46391.229166666664</v>
      </c>
      <c r="AS72" s="88">
        <f t="shared" ref="AS72" si="44">AR72+7</f>
        <v>46398.229166666664</v>
      </c>
      <c r="AT72" s="88">
        <f t="shared" ref="AT72" si="45">AS72+7</f>
        <v>46405.229166666664</v>
      </c>
      <c r="AU72" s="88">
        <f t="shared" ref="AU72" si="46">AT72+7</f>
        <v>46412.229166666664</v>
      </c>
      <c r="AV72" s="88">
        <f t="shared" ref="AV72" si="47">AU72+7</f>
        <v>46419.229166666664</v>
      </c>
      <c r="AW72" s="88">
        <f t="shared" ref="AW72" si="48">AV72+7</f>
        <v>46426.229166666664</v>
      </c>
      <c r="AX72" s="88">
        <f t="shared" ref="AX72" si="49">AW72+7</f>
        <v>46433.229166666664</v>
      </c>
      <c r="AY72" s="88">
        <f t="shared" ref="AY72" si="50">AX72+7</f>
        <v>46440.229166666664</v>
      </c>
      <c r="AZ72" s="88">
        <f t="shared" ref="AZ72" si="51">AY72+7</f>
        <v>46447.229166666664</v>
      </c>
      <c r="BA72" s="88">
        <f t="shared" ref="BA72" si="52">AZ72+7</f>
        <v>46454.229166666664</v>
      </c>
      <c r="BB72" s="88">
        <f t="shared" ref="BB72" si="53">BA72+7</f>
        <v>46461.229166666664</v>
      </c>
      <c r="BC72" s="88">
        <f t="shared" ref="BC72" si="54">BB72+7</f>
        <v>46468.229166666664</v>
      </c>
      <c r="BD72" s="88">
        <f t="shared" ref="BD72" si="55">BC72+7</f>
        <v>46475.229166666664</v>
      </c>
      <c r="BE72" s="88">
        <f t="shared" ref="BE72" si="56">BD72+7</f>
        <v>46482.229166666664</v>
      </c>
      <c r="BF72" s="88">
        <f t="shared" ref="BF72" si="57">BE72+7</f>
        <v>46489.229166666664</v>
      </c>
      <c r="BG72" s="88">
        <f t="shared" ref="BG72" si="58">BF72+7</f>
        <v>46496.229166666664</v>
      </c>
      <c r="BH72" s="88">
        <f t="shared" ref="BH72" si="59">BG72+7</f>
        <v>46503.229166666664</v>
      </c>
      <c r="BI72" s="88">
        <f t="shared" ref="BI72" si="60">BH72+7</f>
        <v>46510.229166666664</v>
      </c>
      <c r="BJ72" s="88">
        <f t="shared" ref="BJ72" si="61">BI72+7</f>
        <v>46517.229166666664</v>
      </c>
      <c r="BK72" s="88">
        <f t="shared" ref="BK72" si="62">BJ72+7</f>
        <v>46524.229166666664</v>
      </c>
      <c r="BL72" s="88">
        <f t="shared" ref="BL72" si="63">BK72+7</f>
        <v>46531.229166666664</v>
      </c>
      <c r="BM72" s="88">
        <f t="shared" ref="BM72" si="64">BL72+7</f>
        <v>46538.229166666664</v>
      </c>
      <c r="BN72" s="88">
        <f t="shared" ref="BN72" si="65">BM72+7</f>
        <v>46545.229166666664</v>
      </c>
      <c r="BO72" s="88">
        <f t="shared" ref="BO72" si="66">BN72+7</f>
        <v>46552.229166666664</v>
      </c>
      <c r="BP72" s="88">
        <f t="shared" ref="BP72" si="67">BO72+7</f>
        <v>46559.229166666664</v>
      </c>
      <c r="BQ72" s="88">
        <f t="shared" ref="BQ72" si="68">BP72+7</f>
        <v>46566.229166666664</v>
      </c>
      <c r="BR72" s="88">
        <f t="shared" ref="BR72" si="69">BQ72+7</f>
        <v>46573.229166666664</v>
      </c>
      <c r="BS72" s="88">
        <f t="shared" ref="BS72" si="70">BR72+7</f>
        <v>46580.229166666664</v>
      </c>
      <c r="BT72" s="88">
        <f t="shared" ref="BT72" si="71">BS72+7</f>
        <v>46587.229166666664</v>
      </c>
      <c r="BU72" s="88">
        <f t="shared" ref="BU72" si="72">BT72+7</f>
        <v>46594.229166666664</v>
      </c>
      <c r="BV72" s="88">
        <f t="shared" ref="BV72" si="73">BU72+7</f>
        <v>46601.229166666664</v>
      </c>
      <c r="BW72" s="88">
        <f t="shared" ref="BW72" si="74">BV72+7</f>
        <v>46608.229166666664</v>
      </c>
      <c r="BX72" s="88">
        <f t="shared" ref="BX72" si="75">BW72+7</f>
        <v>46615.229166666664</v>
      </c>
      <c r="BY72" s="88">
        <f t="shared" ref="BY72" si="76">BX72+7</f>
        <v>46622.229166666664</v>
      </c>
      <c r="BZ72" s="88">
        <f t="shared" ref="BZ72" si="77">BY72+7</f>
        <v>46629.229166666664</v>
      </c>
      <c r="CA72" s="88">
        <f t="shared" ref="CA72" si="78">BZ72+7</f>
        <v>46636.229166666664</v>
      </c>
      <c r="CB72" s="88">
        <f t="shared" ref="CB72" si="79">CA72+7</f>
        <v>46643.229166666664</v>
      </c>
      <c r="CC72" s="88">
        <f t="shared" ref="CC72" si="80">CB72+7</f>
        <v>46650.229166666664</v>
      </c>
      <c r="CD72" s="88">
        <f t="shared" ref="CD72" si="81">CC72+7</f>
        <v>46657.229166666664</v>
      </c>
      <c r="CE72" s="88">
        <f t="shared" ref="CE72" si="82">CD72+7</f>
        <v>46664.229166666664</v>
      </c>
      <c r="CF72" s="88">
        <f t="shared" ref="CF72" si="83">CE72+7</f>
        <v>46671.229166666664</v>
      </c>
      <c r="CG72" s="88">
        <f t="shared" ref="CG72" si="84">CF72+7</f>
        <v>46678.229166666664</v>
      </c>
      <c r="CH72" s="88">
        <f t="shared" ref="CH72" si="85">CG72+7</f>
        <v>46685.229166666664</v>
      </c>
      <c r="CI72" s="88">
        <f t="shared" ref="CI72" si="86">CH72+7</f>
        <v>46692.229166666664</v>
      </c>
      <c r="CJ72" s="88">
        <f t="shared" ref="CJ72" si="87">CI72+7</f>
        <v>46699.229166666664</v>
      </c>
      <c r="CK72" s="88">
        <f t="shared" ref="CK72" si="88">CJ72+7</f>
        <v>46706.229166666664</v>
      </c>
      <c r="CL72" s="88">
        <f t="shared" ref="CL72" si="89">CK72+7</f>
        <v>46713.229166666664</v>
      </c>
      <c r="CM72" s="88">
        <f t="shared" ref="CM72" si="90">CL72+7</f>
        <v>46720.229166666664</v>
      </c>
      <c r="CN72" s="88">
        <f t="shared" ref="CN72" si="91">CM72+7</f>
        <v>46727.229166666664</v>
      </c>
      <c r="CO72" s="88">
        <f t="shared" ref="CO72" si="92">CN72+7</f>
        <v>46734.229166666664</v>
      </c>
      <c r="CP72" s="88">
        <f t="shared" ref="CP72" si="93">CO72+7</f>
        <v>46741.229166666664</v>
      </c>
      <c r="CQ72" s="88">
        <f t="shared" ref="CQ72" si="94">CP72+7</f>
        <v>46748.229166666664</v>
      </c>
      <c r="CR72" s="88">
        <f t="shared" ref="CR72" si="95">CQ72+7</f>
        <v>46755.229166666664</v>
      </c>
      <c r="CS72" s="88">
        <f t="shared" ref="CS72" si="96">CR72+7</f>
        <v>46762.229166666664</v>
      </c>
      <c r="CT72" s="88">
        <f t="shared" ref="CT72" si="97">CS72+7</f>
        <v>46769.229166666664</v>
      </c>
      <c r="CU72" s="88">
        <f t="shared" ref="CU72" si="98">CT72+7</f>
        <v>46776.229166666664</v>
      </c>
      <c r="CV72" s="88">
        <f t="shared" ref="CV72" si="99">CU72+7</f>
        <v>46783.229166666664</v>
      </c>
      <c r="CW72" s="88">
        <f t="shared" ref="CW72" si="100">CV72+7</f>
        <v>46790.229166666664</v>
      </c>
      <c r="CX72" s="88">
        <f t="shared" ref="CX72" si="101">CW72+7</f>
        <v>46797.229166666664</v>
      </c>
      <c r="CY72" s="88">
        <f t="shared" ref="CY72" si="102">CX72+7</f>
        <v>46804.229166666664</v>
      </c>
      <c r="CZ72" s="88">
        <f t="shared" ref="CZ72" si="103">CY72+7</f>
        <v>46811.229166666664</v>
      </c>
      <c r="DA72" s="88">
        <f t="shared" ref="DA72" si="104">CZ72+7</f>
        <v>46818.229166666664</v>
      </c>
      <c r="DB72" s="88">
        <f t="shared" ref="DB72" si="105">DA72+7</f>
        <v>46825.229166666664</v>
      </c>
      <c r="DC72" s="88">
        <f t="shared" ref="DC72" si="106">DB72+7</f>
        <v>46832.229166666664</v>
      </c>
      <c r="DD72" s="88">
        <f t="shared" ref="DD72" si="107">DC72+7</f>
        <v>46839.229166666664</v>
      </c>
      <c r="DE72" s="88">
        <f t="shared" ref="DE72" si="108">DD72+7</f>
        <v>46846.229166666664</v>
      </c>
      <c r="DF72" s="88">
        <f t="shared" ref="DF72" si="109">DE72+7</f>
        <v>46853.229166666664</v>
      </c>
      <c r="DG72" s="88">
        <f t="shared" ref="DG72" si="110">DF72+7</f>
        <v>46860.229166666664</v>
      </c>
      <c r="DH72" s="88">
        <f t="shared" ref="DH72" si="111">DG72+7</f>
        <v>46867.229166666664</v>
      </c>
      <c r="DI72" s="88">
        <f t="shared" ref="DI72" si="112">DH72+7</f>
        <v>46874.229166666664</v>
      </c>
      <c r="DJ72" s="88">
        <f t="shared" ref="DJ72" si="113">DI72+7</f>
        <v>46881.229166666664</v>
      </c>
      <c r="DK72" s="88">
        <f t="shared" ref="DK72" si="114">DJ72+7</f>
        <v>46888.229166666664</v>
      </c>
      <c r="DL72" s="89">
        <f t="shared" ref="DL72" si="115">DK72+7</f>
        <v>46895.229166666664</v>
      </c>
    </row>
    <row r="73" spans="5:117" s="19" customFormat="1" ht="30" customHeight="1" x14ac:dyDescent="0.3">
      <c r="E73" s="28" t="s">
        <v>29</v>
      </c>
      <c r="F73" s="91" t="s">
        <v>299</v>
      </c>
      <c r="G73" s="91" t="s">
        <v>300</v>
      </c>
      <c r="H73" s="92" t="s">
        <v>301</v>
      </c>
      <c r="I73" s="69"/>
      <c r="J73" s="69"/>
      <c r="K73" s="93" t="s">
        <v>298</v>
      </c>
      <c r="L73" s="34" t="s">
        <v>257</v>
      </c>
      <c r="M73" s="34" t="s">
        <v>35</v>
      </c>
      <c r="N73" s="33" t="s">
        <v>36</v>
      </c>
      <c r="O73" s="33" t="s">
        <v>37</v>
      </c>
      <c r="P73" s="33" t="s">
        <v>38</v>
      </c>
      <c r="Q73" s="33" t="s">
        <v>39</v>
      </c>
      <c r="R73" s="33" t="s">
        <v>40</v>
      </c>
      <c r="S73" s="33" t="s">
        <v>41</v>
      </c>
      <c r="T73" s="33" t="s">
        <v>42</v>
      </c>
      <c r="U73" s="33" t="s">
        <v>43</v>
      </c>
      <c r="V73" s="33" t="s">
        <v>44</v>
      </c>
      <c r="W73" s="33" t="s">
        <v>45</v>
      </c>
      <c r="X73" s="33" t="s">
        <v>46</v>
      </c>
      <c r="Y73" s="33" t="s">
        <v>47</v>
      </c>
      <c r="Z73" s="33" t="s">
        <v>48</v>
      </c>
      <c r="AA73" s="33" t="s">
        <v>49</v>
      </c>
      <c r="AB73" s="33" t="s">
        <v>50</v>
      </c>
      <c r="AC73" s="33" t="s">
        <v>51</v>
      </c>
      <c r="AD73" s="33" t="s">
        <v>52</v>
      </c>
      <c r="AE73" s="33" t="s">
        <v>53</v>
      </c>
      <c r="AF73" s="33" t="s">
        <v>54</v>
      </c>
      <c r="AG73" s="33" t="s">
        <v>55</v>
      </c>
      <c r="AH73" s="33" t="s">
        <v>56</v>
      </c>
      <c r="AI73" s="33" t="s">
        <v>57</v>
      </c>
      <c r="AJ73" s="33" t="s">
        <v>58</v>
      </c>
      <c r="AK73" s="33" t="s">
        <v>59</v>
      </c>
      <c r="AL73" s="33" t="s">
        <v>60</v>
      </c>
      <c r="AM73" s="33" t="s">
        <v>61</v>
      </c>
      <c r="AN73" s="33" t="s">
        <v>62</v>
      </c>
      <c r="AO73" s="33" t="s">
        <v>63</v>
      </c>
      <c r="AP73" s="33" t="s">
        <v>64</v>
      </c>
      <c r="AQ73" s="33" t="s">
        <v>65</v>
      </c>
      <c r="AR73" s="33" t="s">
        <v>66</v>
      </c>
      <c r="AS73" s="33" t="s">
        <v>67</v>
      </c>
      <c r="AT73" s="33" t="s">
        <v>68</v>
      </c>
      <c r="AU73" s="33" t="s">
        <v>69</v>
      </c>
      <c r="AV73" s="33" t="s">
        <v>70</v>
      </c>
      <c r="AW73" s="33" t="s">
        <v>71</v>
      </c>
      <c r="AX73" s="33" t="s">
        <v>72</v>
      </c>
      <c r="AY73" s="33" t="s">
        <v>73</v>
      </c>
      <c r="AZ73" s="33" t="s">
        <v>74</v>
      </c>
      <c r="BA73" s="33" t="s">
        <v>75</v>
      </c>
      <c r="BB73" s="33" t="s">
        <v>76</v>
      </c>
      <c r="BC73" s="33" t="s">
        <v>77</v>
      </c>
      <c r="BD73" s="33" t="s">
        <v>78</v>
      </c>
      <c r="BE73" s="33" t="s">
        <v>79</v>
      </c>
      <c r="BF73" s="33" t="s">
        <v>80</v>
      </c>
      <c r="BG73" s="33" t="s">
        <v>81</v>
      </c>
      <c r="BH73" s="33" t="s">
        <v>82</v>
      </c>
      <c r="BI73" s="33" t="s">
        <v>83</v>
      </c>
      <c r="BJ73" s="33" t="s">
        <v>84</v>
      </c>
      <c r="BK73" s="33" t="s">
        <v>85</v>
      </c>
      <c r="BL73" s="33" t="s">
        <v>86</v>
      </c>
      <c r="BM73" s="33" t="s">
        <v>87</v>
      </c>
      <c r="BN73" s="33" t="s">
        <v>88</v>
      </c>
      <c r="BO73" s="33" t="s">
        <v>89</v>
      </c>
      <c r="BP73" s="33" t="s">
        <v>90</v>
      </c>
      <c r="BQ73" s="33" t="s">
        <v>91</v>
      </c>
      <c r="BR73" s="33" t="s">
        <v>92</v>
      </c>
      <c r="BS73" s="33" t="s">
        <v>93</v>
      </c>
      <c r="BT73" s="33" t="s">
        <v>94</v>
      </c>
      <c r="BU73" s="33" t="s">
        <v>95</v>
      </c>
      <c r="BV73" s="33" t="s">
        <v>96</v>
      </c>
      <c r="BW73" s="33" t="s">
        <v>97</v>
      </c>
      <c r="BX73" s="33" t="s">
        <v>98</v>
      </c>
      <c r="BY73" s="33" t="s">
        <v>99</v>
      </c>
      <c r="BZ73" s="33" t="s">
        <v>100</v>
      </c>
      <c r="CA73" s="33" t="s">
        <v>101</v>
      </c>
      <c r="CB73" s="33" t="s">
        <v>102</v>
      </c>
      <c r="CC73" s="33" t="s">
        <v>103</v>
      </c>
      <c r="CD73" s="33" t="s">
        <v>104</v>
      </c>
      <c r="CE73" s="33" t="s">
        <v>105</v>
      </c>
      <c r="CF73" s="33" t="s">
        <v>106</v>
      </c>
      <c r="CG73" s="33" t="s">
        <v>107</v>
      </c>
      <c r="CH73" s="33" t="s">
        <v>108</v>
      </c>
      <c r="CI73" s="33" t="s">
        <v>109</v>
      </c>
      <c r="CJ73" s="33" t="s">
        <v>110</v>
      </c>
      <c r="CK73" s="33" t="s">
        <v>111</v>
      </c>
      <c r="CL73" s="33" t="s">
        <v>112</v>
      </c>
      <c r="CM73" s="33" t="s">
        <v>113</v>
      </c>
      <c r="CN73" s="33" t="s">
        <v>114</v>
      </c>
      <c r="CO73" s="33" t="s">
        <v>115</v>
      </c>
      <c r="CP73" s="33" t="s">
        <v>116</v>
      </c>
      <c r="CQ73" s="33" t="s">
        <v>117</v>
      </c>
      <c r="CR73" s="33" t="s">
        <v>118</v>
      </c>
      <c r="CS73" s="33" t="s">
        <v>119</v>
      </c>
      <c r="CT73" s="33" t="s">
        <v>120</v>
      </c>
      <c r="CU73" s="33" t="s">
        <v>121</v>
      </c>
      <c r="CV73" s="33" t="s">
        <v>122</v>
      </c>
      <c r="CW73" s="33" t="s">
        <v>123</v>
      </c>
      <c r="CX73" s="33" t="s">
        <v>124</v>
      </c>
      <c r="CY73" s="33" t="s">
        <v>125</v>
      </c>
      <c r="CZ73" s="33" t="s">
        <v>126</v>
      </c>
      <c r="DA73" s="33" t="s">
        <v>127</v>
      </c>
      <c r="DB73" s="33" t="s">
        <v>128</v>
      </c>
      <c r="DC73" s="33" t="s">
        <v>129</v>
      </c>
      <c r="DD73" s="33" t="s">
        <v>130</v>
      </c>
      <c r="DE73" s="33" t="s">
        <v>131</v>
      </c>
      <c r="DF73" s="33" t="s">
        <v>132</v>
      </c>
      <c r="DG73" s="33" t="s">
        <v>133</v>
      </c>
      <c r="DH73" s="33" t="s">
        <v>134</v>
      </c>
      <c r="DI73" s="33" t="s">
        <v>135</v>
      </c>
      <c r="DJ73" s="33" t="s">
        <v>136</v>
      </c>
      <c r="DK73" s="33" t="s">
        <v>137</v>
      </c>
      <c r="DL73" s="44" t="s">
        <v>138</v>
      </c>
      <c r="DM73" s="45"/>
    </row>
    <row r="74" spans="5:117" x14ac:dyDescent="0.35">
      <c r="E74" s="111"/>
      <c r="F74" s="112"/>
      <c r="G74" s="112"/>
      <c r="H74" s="115"/>
      <c r="I74" s="70"/>
      <c r="J74" s="70"/>
      <c r="K74" s="68">
        <f>H74*L74</f>
        <v>0</v>
      </c>
      <c r="L74" s="39">
        <f>SUM(M74:DL74)</f>
        <v>0</v>
      </c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  <c r="BO74" s="113"/>
      <c r="BP74" s="113"/>
      <c r="BQ74" s="113"/>
      <c r="BR74" s="113"/>
      <c r="BS74" s="113"/>
      <c r="BT74" s="113"/>
      <c r="BU74" s="113"/>
      <c r="BV74" s="113"/>
      <c r="BW74" s="113"/>
      <c r="BX74" s="113"/>
      <c r="BY74" s="113"/>
      <c r="BZ74" s="113"/>
      <c r="CA74" s="113"/>
      <c r="CB74" s="113"/>
      <c r="CC74" s="113"/>
      <c r="CD74" s="113"/>
      <c r="CE74" s="113"/>
      <c r="CF74" s="113"/>
      <c r="CG74" s="113"/>
      <c r="CH74" s="113"/>
      <c r="CI74" s="113"/>
      <c r="CJ74" s="113"/>
      <c r="CK74" s="113"/>
      <c r="CL74" s="113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  <c r="DC74" s="113"/>
      <c r="DD74" s="113"/>
      <c r="DE74" s="113"/>
      <c r="DF74" s="113"/>
      <c r="DG74" s="113"/>
      <c r="DH74" s="113"/>
      <c r="DI74" s="113"/>
      <c r="DJ74" s="113"/>
      <c r="DK74" s="113"/>
      <c r="DL74" s="114"/>
      <c r="DM74" s="47"/>
    </row>
    <row r="75" spans="5:117" x14ac:dyDescent="0.35">
      <c r="E75" s="111"/>
      <c r="F75" s="112"/>
      <c r="G75" s="112"/>
      <c r="H75" s="115"/>
      <c r="I75" s="70"/>
      <c r="J75" s="70"/>
      <c r="K75" s="68">
        <f t="shared" ref="K75:K83" si="116">H75*L75</f>
        <v>0</v>
      </c>
      <c r="L75" s="39">
        <f t="shared" ref="L75:L83" si="117">SUM(M75:DL75)</f>
        <v>0</v>
      </c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  <c r="BO75" s="113"/>
      <c r="BP75" s="113"/>
      <c r="BQ75" s="113"/>
      <c r="BR75" s="113"/>
      <c r="BS75" s="113"/>
      <c r="BT75" s="113"/>
      <c r="BU75" s="113"/>
      <c r="BV75" s="113"/>
      <c r="BW75" s="113"/>
      <c r="BX75" s="113"/>
      <c r="BY75" s="113"/>
      <c r="BZ75" s="113"/>
      <c r="CA75" s="113"/>
      <c r="CB75" s="113"/>
      <c r="CC75" s="113"/>
      <c r="CD75" s="113"/>
      <c r="CE75" s="113"/>
      <c r="CF75" s="113"/>
      <c r="CG75" s="113"/>
      <c r="CH75" s="113"/>
      <c r="CI75" s="113"/>
      <c r="CJ75" s="113"/>
      <c r="CK75" s="113"/>
      <c r="CL75" s="113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  <c r="DC75" s="113"/>
      <c r="DD75" s="113"/>
      <c r="DE75" s="113"/>
      <c r="DF75" s="113"/>
      <c r="DG75" s="113"/>
      <c r="DH75" s="113"/>
      <c r="DI75" s="113"/>
      <c r="DJ75" s="113"/>
      <c r="DK75" s="113"/>
      <c r="DL75" s="114"/>
      <c r="DM75" s="47"/>
    </row>
    <row r="76" spans="5:117" x14ac:dyDescent="0.35">
      <c r="E76" s="111"/>
      <c r="F76" s="112"/>
      <c r="G76" s="112"/>
      <c r="H76" s="115"/>
      <c r="I76" s="70"/>
      <c r="J76" s="70"/>
      <c r="K76" s="68">
        <f t="shared" si="116"/>
        <v>0</v>
      </c>
      <c r="L76" s="39">
        <f t="shared" si="117"/>
        <v>0</v>
      </c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  <c r="BO76" s="113"/>
      <c r="BP76" s="113"/>
      <c r="BQ76" s="113"/>
      <c r="BR76" s="113"/>
      <c r="BS76" s="113"/>
      <c r="BT76" s="113"/>
      <c r="BU76" s="113"/>
      <c r="BV76" s="113"/>
      <c r="BW76" s="113"/>
      <c r="BX76" s="113"/>
      <c r="BY76" s="113"/>
      <c r="BZ76" s="113"/>
      <c r="CA76" s="113"/>
      <c r="CB76" s="113"/>
      <c r="CC76" s="113"/>
      <c r="CD76" s="113"/>
      <c r="CE76" s="113"/>
      <c r="CF76" s="113"/>
      <c r="CG76" s="113"/>
      <c r="CH76" s="113"/>
      <c r="CI76" s="113"/>
      <c r="CJ76" s="113"/>
      <c r="CK76" s="113"/>
      <c r="CL76" s="113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  <c r="DC76" s="113"/>
      <c r="DD76" s="113"/>
      <c r="DE76" s="113"/>
      <c r="DF76" s="113"/>
      <c r="DG76" s="113"/>
      <c r="DH76" s="113"/>
      <c r="DI76" s="113"/>
      <c r="DJ76" s="113"/>
      <c r="DK76" s="113"/>
      <c r="DL76" s="114"/>
      <c r="DM76" s="47"/>
    </row>
    <row r="77" spans="5:117" x14ac:dyDescent="0.35">
      <c r="E77" s="111"/>
      <c r="F77" s="112"/>
      <c r="G77" s="112"/>
      <c r="H77" s="115"/>
      <c r="I77" s="70"/>
      <c r="J77" s="70"/>
      <c r="K77" s="68">
        <f t="shared" si="116"/>
        <v>0</v>
      </c>
      <c r="L77" s="39">
        <f t="shared" si="117"/>
        <v>0</v>
      </c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  <c r="BO77" s="113"/>
      <c r="BP77" s="113"/>
      <c r="BQ77" s="113"/>
      <c r="BR77" s="113"/>
      <c r="BS77" s="113"/>
      <c r="BT77" s="113"/>
      <c r="BU77" s="113"/>
      <c r="BV77" s="113"/>
      <c r="BW77" s="113"/>
      <c r="BX77" s="113"/>
      <c r="BY77" s="113"/>
      <c r="BZ77" s="113"/>
      <c r="CA77" s="113"/>
      <c r="CB77" s="113"/>
      <c r="CC77" s="113"/>
      <c r="CD77" s="113"/>
      <c r="CE77" s="113"/>
      <c r="CF77" s="113"/>
      <c r="CG77" s="113"/>
      <c r="CH77" s="113"/>
      <c r="CI77" s="113"/>
      <c r="CJ77" s="113"/>
      <c r="CK77" s="113"/>
      <c r="CL77" s="113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  <c r="DC77" s="113"/>
      <c r="DD77" s="113"/>
      <c r="DE77" s="113"/>
      <c r="DF77" s="113"/>
      <c r="DG77" s="113"/>
      <c r="DH77" s="113"/>
      <c r="DI77" s="113"/>
      <c r="DJ77" s="113"/>
      <c r="DK77" s="113"/>
      <c r="DL77" s="114"/>
      <c r="DM77" s="47"/>
    </row>
    <row r="78" spans="5:117" x14ac:dyDescent="0.35">
      <c r="E78" s="111"/>
      <c r="F78" s="112"/>
      <c r="G78" s="112"/>
      <c r="H78" s="115"/>
      <c r="I78" s="70"/>
      <c r="J78" s="70"/>
      <c r="K78" s="68">
        <f t="shared" si="116"/>
        <v>0</v>
      </c>
      <c r="L78" s="39">
        <f t="shared" si="117"/>
        <v>0</v>
      </c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  <c r="BO78" s="113"/>
      <c r="BP78" s="113"/>
      <c r="BQ78" s="113"/>
      <c r="BR78" s="113"/>
      <c r="BS78" s="113"/>
      <c r="BT78" s="113"/>
      <c r="BU78" s="113"/>
      <c r="BV78" s="113"/>
      <c r="BW78" s="113"/>
      <c r="BX78" s="113"/>
      <c r="BY78" s="113"/>
      <c r="BZ78" s="113"/>
      <c r="CA78" s="113"/>
      <c r="CB78" s="113"/>
      <c r="CC78" s="113"/>
      <c r="CD78" s="113"/>
      <c r="CE78" s="113"/>
      <c r="CF78" s="113"/>
      <c r="CG78" s="113"/>
      <c r="CH78" s="113"/>
      <c r="CI78" s="113"/>
      <c r="CJ78" s="113"/>
      <c r="CK78" s="113"/>
      <c r="CL78" s="113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  <c r="DC78" s="113"/>
      <c r="DD78" s="113"/>
      <c r="DE78" s="113"/>
      <c r="DF78" s="113"/>
      <c r="DG78" s="113"/>
      <c r="DH78" s="113"/>
      <c r="DI78" s="113"/>
      <c r="DJ78" s="113"/>
      <c r="DK78" s="113"/>
      <c r="DL78" s="114"/>
      <c r="DM78" s="47"/>
    </row>
    <row r="79" spans="5:117" x14ac:dyDescent="0.35">
      <c r="E79" s="111"/>
      <c r="F79" s="112"/>
      <c r="G79" s="112"/>
      <c r="H79" s="115"/>
      <c r="I79" s="70"/>
      <c r="J79" s="70"/>
      <c r="K79" s="68">
        <f t="shared" si="116"/>
        <v>0</v>
      </c>
      <c r="L79" s="39">
        <f t="shared" si="117"/>
        <v>0</v>
      </c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113"/>
      <c r="BT79" s="113"/>
      <c r="BU79" s="113"/>
      <c r="BV79" s="113"/>
      <c r="BW79" s="113"/>
      <c r="BX79" s="113"/>
      <c r="BY79" s="113"/>
      <c r="BZ79" s="113"/>
      <c r="CA79" s="113"/>
      <c r="CB79" s="113"/>
      <c r="CC79" s="113"/>
      <c r="CD79" s="113"/>
      <c r="CE79" s="113"/>
      <c r="CF79" s="113"/>
      <c r="CG79" s="113"/>
      <c r="CH79" s="113"/>
      <c r="CI79" s="113"/>
      <c r="CJ79" s="113"/>
      <c r="CK79" s="113"/>
      <c r="CL79" s="113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  <c r="DC79" s="113"/>
      <c r="DD79" s="113"/>
      <c r="DE79" s="113"/>
      <c r="DF79" s="113"/>
      <c r="DG79" s="113"/>
      <c r="DH79" s="113"/>
      <c r="DI79" s="113"/>
      <c r="DJ79" s="113"/>
      <c r="DK79" s="113"/>
      <c r="DL79" s="114"/>
      <c r="DM79" s="47"/>
    </row>
    <row r="80" spans="5:117" x14ac:dyDescent="0.35">
      <c r="E80" s="111"/>
      <c r="F80" s="112"/>
      <c r="G80" s="112"/>
      <c r="H80" s="115"/>
      <c r="I80" s="70"/>
      <c r="J80" s="70"/>
      <c r="K80" s="68">
        <f t="shared" si="116"/>
        <v>0</v>
      </c>
      <c r="L80" s="39">
        <f t="shared" si="117"/>
        <v>0</v>
      </c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113"/>
      <c r="BT80" s="113"/>
      <c r="BU80" s="113"/>
      <c r="BV80" s="113"/>
      <c r="BW80" s="113"/>
      <c r="BX80" s="113"/>
      <c r="BY80" s="113"/>
      <c r="BZ80" s="113"/>
      <c r="CA80" s="113"/>
      <c r="CB80" s="113"/>
      <c r="CC80" s="113"/>
      <c r="CD80" s="113"/>
      <c r="CE80" s="113"/>
      <c r="CF80" s="113"/>
      <c r="CG80" s="113"/>
      <c r="CH80" s="113"/>
      <c r="CI80" s="113"/>
      <c r="CJ80" s="113"/>
      <c r="CK80" s="113"/>
      <c r="CL80" s="113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  <c r="DC80" s="113"/>
      <c r="DD80" s="113"/>
      <c r="DE80" s="113"/>
      <c r="DF80" s="113"/>
      <c r="DG80" s="113"/>
      <c r="DH80" s="113"/>
      <c r="DI80" s="113"/>
      <c r="DJ80" s="113"/>
      <c r="DK80" s="113"/>
      <c r="DL80" s="114"/>
      <c r="DM80" s="47"/>
    </row>
    <row r="81" spans="1:117" x14ac:dyDescent="0.35">
      <c r="E81" s="111"/>
      <c r="F81" s="112"/>
      <c r="G81" s="112"/>
      <c r="H81" s="115"/>
      <c r="I81" s="70"/>
      <c r="J81" s="70"/>
      <c r="K81" s="68">
        <f t="shared" si="116"/>
        <v>0</v>
      </c>
      <c r="L81" s="39">
        <f t="shared" si="117"/>
        <v>0</v>
      </c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  <c r="BU81" s="113"/>
      <c r="BV81" s="113"/>
      <c r="BW81" s="113"/>
      <c r="BX81" s="113"/>
      <c r="BY81" s="113"/>
      <c r="BZ81" s="113"/>
      <c r="CA81" s="113"/>
      <c r="CB81" s="113"/>
      <c r="CC81" s="113"/>
      <c r="CD81" s="113"/>
      <c r="CE81" s="113"/>
      <c r="CF81" s="113"/>
      <c r="CG81" s="113"/>
      <c r="CH81" s="113"/>
      <c r="CI81" s="113"/>
      <c r="CJ81" s="113"/>
      <c r="CK81" s="113"/>
      <c r="CL81" s="113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  <c r="DC81" s="113"/>
      <c r="DD81" s="113"/>
      <c r="DE81" s="113"/>
      <c r="DF81" s="113"/>
      <c r="DG81" s="113"/>
      <c r="DH81" s="113"/>
      <c r="DI81" s="113"/>
      <c r="DJ81" s="113"/>
      <c r="DK81" s="113"/>
      <c r="DL81" s="114"/>
      <c r="DM81" s="47"/>
    </row>
    <row r="82" spans="1:117" x14ac:dyDescent="0.35">
      <c r="E82" s="111"/>
      <c r="F82" s="112"/>
      <c r="G82" s="112"/>
      <c r="H82" s="115"/>
      <c r="I82" s="70"/>
      <c r="J82" s="70"/>
      <c r="K82" s="68">
        <f t="shared" si="116"/>
        <v>0</v>
      </c>
      <c r="L82" s="39">
        <f t="shared" si="117"/>
        <v>0</v>
      </c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  <c r="BU82" s="113"/>
      <c r="BV82" s="113"/>
      <c r="BW82" s="113"/>
      <c r="BX82" s="113"/>
      <c r="BY82" s="113"/>
      <c r="BZ82" s="113"/>
      <c r="CA82" s="113"/>
      <c r="CB82" s="113"/>
      <c r="CC82" s="113"/>
      <c r="CD82" s="113"/>
      <c r="CE82" s="113"/>
      <c r="CF82" s="113"/>
      <c r="CG82" s="113"/>
      <c r="CH82" s="113"/>
      <c r="CI82" s="113"/>
      <c r="CJ82" s="113"/>
      <c r="CK82" s="113"/>
      <c r="CL82" s="113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  <c r="DC82" s="113"/>
      <c r="DD82" s="113"/>
      <c r="DE82" s="113"/>
      <c r="DF82" s="113"/>
      <c r="DG82" s="113"/>
      <c r="DH82" s="113"/>
      <c r="DI82" s="113"/>
      <c r="DJ82" s="113"/>
      <c r="DK82" s="113"/>
      <c r="DL82" s="114"/>
      <c r="DM82" s="47"/>
    </row>
    <row r="83" spans="1:117" x14ac:dyDescent="0.35">
      <c r="E83" s="111"/>
      <c r="F83" s="112"/>
      <c r="G83" s="112"/>
      <c r="H83" s="115"/>
      <c r="I83" s="70"/>
      <c r="J83" s="70"/>
      <c r="K83" s="68">
        <f t="shared" si="116"/>
        <v>0</v>
      </c>
      <c r="L83" s="39">
        <f t="shared" si="117"/>
        <v>0</v>
      </c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  <c r="BU83" s="113"/>
      <c r="BV83" s="113"/>
      <c r="BW83" s="113"/>
      <c r="BX83" s="113"/>
      <c r="BY83" s="113"/>
      <c r="BZ83" s="113"/>
      <c r="CA83" s="113"/>
      <c r="CB83" s="113"/>
      <c r="CC83" s="113"/>
      <c r="CD83" s="113"/>
      <c r="CE83" s="113"/>
      <c r="CF83" s="113"/>
      <c r="CG83" s="113"/>
      <c r="CH83" s="113"/>
      <c r="CI83" s="113"/>
      <c r="CJ83" s="113"/>
      <c r="CK83" s="113"/>
      <c r="CL83" s="113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  <c r="DC83" s="113"/>
      <c r="DD83" s="113"/>
      <c r="DE83" s="113"/>
      <c r="DF83" s="113"/>
      <c r="DG83" s="113"/>
      <c r="DH83" s="113"/>
      <c r="DI83" s="113"/>
      <c r="DJ83" s="113"/>
      <c r="DK83" s="113"/>
      <c r="DL83" s="114"/>
      <c r="DM83" s="47"/>
    </row>
    <row r="84" spans="1:117" ht="15" thickBot="1" x14ac:dyDescent="0.4">
      <c r="E84" s="3"/>
      <c r="F84" s="41"/>
      <c r="G84" s="41"/>
      <c r="H84" s="41"/>
      <c r="I84" s="8"/>
      <c r="J84" s="8" t="s">
        <v>150</v>
      </c>
      <c r="K84" s="97">
        <f>SUM(K74:K83)</f>
        <v>0</v>
      </c>
      <c r="L84" s="96"/>
      <c r="M84" s="4">
        <f>SUM(M34:M83)</f>
        <v>46206.229166666664</v>
      </c>
      <c r="N84" s="4">
        <f t="shared" ref="N84:BY84" si="118">SUM(N34:N83)</f>
        <v>46221.229166666664</v>
      </c>
      <c r="O84" s="4">
        <f t="shared" si="118"/>
        <v>46228.229166666664</v>
      </c>
      <c r="P84" s="4">
        <f t="shared" si="118"/>
        <v>46235.229166666664</v>
      </c>
      <c r="Q84" s="4">
        <f t="shared" si="118"/>
        <v>46218.229166666664</v>
      </c>
      <c r="R84" s="4">
        <f t="shared" si="118"/>
        <v>46209.229166666664</v>
      </c>
      <c r="S84" s="4">
        <f t="shared" si="118"/>
        <v>46216.229166666664</v>
      </c>
      <c r="T84" s="4">
        <f t="shared" si="118"/>
        <v>46223.229166666664</v>
      </c>
      <c r="U84" s="4">
        <f t="shared" si="118"/>
        <v>46230.229166666664</v>
      </c>
      <c r="V84" s="4">
        <f t="shared" si="118"/>
        <v>46237.229166666664</v>
      </c>
      <c r="W84" s="4">
        <f t="shared" si="118"/>
        <v>46244.229166666664</v>
      </c>
      <c r="X84" s="4">
        <f t="shared" si="118"/>
        <v>46251.229166666664</v>
      </c>
      <c r="Y84" s="4">
        <f t="shared" si="118"/>
        <v>46258.229166666664</v>
      </c>
      <c r="Z84" s="4">
        <f t="shared" si="118"/>
        <v>46265.229166666664</v>
      </c>
      <c r="AA84" s="4">
        <f t="shared" si="118"/>
        <v>46272.229166666664</v>
      </c>
      <c r="AB84" s="4">
        <f t="shared" si="118"/>
        <v>46279.229166666664</v>
      </c>
      <c r="AC84" s="4">
        <f t="shared" si="118"/>
        <v>46286.229166666664</v>
      </c>
      <c r="AD84" s="4">
        <f t="shared" si="118"/>
        <v>46293.229166666664</v>
      </c>
      <c r="AE84" s="4">
        <f t="shared" si="118"/>
        <v>46300.229166666664</v>
      </c>
      <c r="AF84" s="4">
        <f t="shared" si="118"/>
        <v>46307.229166666664</v>
      </c>
      <c r="AG84" s="4">
        <f t="shared" si="118"/>
        <v>46314.229166666664</v>
      </c>
      <c r="AH84" s="4">
        <f t="shared" si="118"/>
        <v>46321.229166666664</v>
      </c>
      <c r="AI84" s="4">
        <f t="shared" si="118"/>
        <v>46328.229166666664</v>
      </c>
      <c r="AJ84" s="4">
        <f t="shared" si="118"/>
        <v>46335.229166666664</v>
      </c>
      <c r="AK84" s="4">
        <f t="shared" si="118"/>
        <v>46342.229166666664</v>
      </c>
      <c r="AL84" s="4">
        <f t="shared" si="118"/>
        <v>46349.229166666664</v>
      </c>
      <c r="AM84" s="4">
        <f t="shared" si="118"/>
        <v>46356.229166666664</v>
      </c>
      <c r="AN84" s="4">
        <f t="shared" si="118"/>
        <v>46363.229166666664</v>
      </c>
      <c r="AO84" s="4">
        <f t="shared" si="118"/>
        <v>46370.229166666664</v>
      </c>
      <c r="AP84" s="4">
        <f t="shared" si="118"/>
        <v>46377.229166666664</v>
      </c>
      <c r="AQ84" s="4">
        <f t="shared" si="118"/>
        <v>46384.229166666664</v>
      </c>
      <c r="AR84" s="4">
        <f t="shared" si="118"/>
        <v>46391.229166666664</v>
      </c>
      <c r="AS84" s="4">
        <f t="shared" si="118"/>
        <v>46398.229166666664</v>
      </c>
      <c r="AT84" s="4">
        <f t="shared" si="118"/>
        <v>46405.229166666664</v>
      </c>
      <c r="AU84" s="4">
        <f t="shared" si="118"/>
        <v>46412.229166666664</v>
      </c>
      <c r="AV84" s="4">
        <f t="shared" si="118"/>
        <v>46419.229166666664</v>
      </c>
      <c r="AW84" s="4">
        <f t="shared" si="118"/>
        <v>46426.229166666664</v>
      </c>
      <c r="AX84" s="4">
        <f t="shared" si="118"/>
        <v>46433.229166666664</v>
      </c>
      <c r="AY84" s="4">
        <f t="shared" si="118"/>
        <v>46440.229166666664</v>
      </c>
      <c r="AZ84" s="4">
        <f t="shared" si="118"/>
        <v>46447.229166666664</v>
      </c>
      <c r="BA84" s="4">
        <f t="shared" si="118"/>
        <v>46454.229166666664</v>
      </c>
      <c r="BB84" s="4">
        <f t="shared" si="118"/>
        <v>46461.229166666664</v>
      </c>
      <c r="BC84" s="4">
        <f t="shared" si="118"/>
        <v>46468.229166666664</v>
      </c>
      <c r="BD84" s="4">
        <f t="shared" si="118"/>
        <v>46475.229166666664</v>
      </c>
      <c r="BE84" s="4">
        <f t="shared" si="118"/>
        <v>46482.229166666664</v>
      </c>
      <c r="BF84" s="4">
        <f t="shared" si="118"/>
        <v>46489.229166666664</v>
      </c>
      <c r="BG84" s="4">
        <f t="shared" si="118"/>
        <v>46496.229166666664</v>
      </c>
      <c r="BH84" s="4">
        <f t="shared" si="118"/>
        <v>46503.229166666664</v>
      </c>
      <c r="BI84" s="4">
        <f t="shared" si="118"/>
        <v>46510.229166666664</v>
      </c>
      <c r="BJ84" s="4">
        <f t="shared" si="118"/>
        <v>46517.229166666664</v>
      </c>
      <c r="BK84" s="4">
        <f t="shared" si="118"/>
        <v>46524.229166666664</v>
      </c>
      <c r="BL84" s="4">
        <f t="shared" si="118"/>
        <v>46531.229166666664</v>
      </c>
      <c r="BM84" s="4">
        <f t="shared" si="118"/>
        <v>46538.229166666664</v>
      </c>
      <c r="BN84" s="4">
        <f t="shared" si="118"/>
        <v>46545.229166666664</v>
      </c>
      <c r="BO84" s="4">
        <f t="shared" si="118"/>
        <v>46552.229166666664</v>
      </c>
      <c r="BP84" s="4">
        <f t="shared" si="118"/>
        <v>46559.229166666664</v>
      </c>
      <c r="BQ84" s="4">
        <f t="shared" si="118"/>
        <v>46566.229166666664</v>
      </c>
      <c r="BR84" s="4">
        <f t="shared" si="118"/>
        <v>46573.229166666664</v>
      </c>
      <c r="BS84" s="4">
        <f t="shared" si="118"/>
        <v>46580.229166666664</v>
      </c>
      <c r="BT84" s="4">
        <f t="shared" si="118"/>
        <v>46587.229166666664</v>
      </c>
      <c r="BU84" s="4">
        <f t="shared" si="118"/>
        <v>46594.229166666664</v>
      </c>
      <c r="BV84" s="4">
        <f t="shared" si="118"/>
        <v>46601.229166666664</v>
      </c>
      <c r="BW84" s="4">
        <f t="shared" si="118"/>
        <v>46608.229166666664</v>
      </c>
      <c r="BX84" s="4">
        <f t="shared" si="118"/>
        <v>46615.229166666664</v>
      </c>
      <c r="BY84" s="4">
        <f t="shared" si="118"/>
        <v>46622.229166666664</v>
      </c>
      <c r="BZ84" s="4">
        <f t="shared" ref="BZ84:DL84" si="119">SUM(BZ34:BZ83)</f>
        <v>46629.229166666664</v>
      </c>
      <c r="CA84" s="4">
        <f t="shared" si="119"/>
        <v>46636.229166666664</v>
      </c>
      <c r="CB84" s="4">
        <f t="shared" si="119"/>
        <v>46643.229166666664</v>
      </c>
      <c r="CC84" s="4">
        <f t="shared" si="119"/>
        <v>46650.229166666664</v>
      </c>
      <c r="CD84" s="4">
        <f t="shared" si="119"/>
        <v>46657.229166666664</v>
      </c>
      <c r="CE84" s="4">
        <f t="shared" si="119"/>
        <v>46664.229166666664</v>
      </c>
      <c r="CF84" s="4">
        <f t="shared" si="119"/>
        <v>46671.229166666664</v>
      </c>
      <c r="CG84" s="4">
        <f t="shared" si="119"/>
        <v>46678.229166666664</v>
      </c>
      <c r="CH84" s="4">
        <f t="shared" si="119"/>
        <v>46685.229166666664</v>
      </c>
      <c r="CI84" s="4">
        <f t="shared" si="119"/>
        <v>46692.229166666664</v>
      </c>
      <c r="CJ84" s="4">
        <f t="shared" si="119"/>
        <v>46699.229166666664</v>
      </c>
      <c r="CK84" s="4">
        <f t="shared" si="119"/>
        <v>46706.229166666664</v>
      </c>
      <c r="CL84" s="4">
        <f t="shared" si="119"/>
        <v>46713.229166666664</v>
      </c>
      <c r="CM84" s="4">
        <f t="shared" si="119"/>
        <v>46720.229166666664</v>
      </c>
      <c r="CN84" s="4">
        <f t="shared" si="119"/>
        <v>46727.229166666664</v>
      </c>
      <c r="CO84" s="4">
        <f t="shared" si="119"/>
        <v>46734.229166666664</v>
      </c>
      <c r="CP84" s="4">
        <f t="shared" si="119"/>
        <v>46741.229166666664</v>
      </c>
      <c r="CQ84" s="4">
        <f t="shared" si="119"/>
        <v>46748.229166666664</v>
      </c>
      <c r="CR84" s="4">
        <f t="shared" si="119"/>
        <v>46755.229166666664</v>
      </c>
      <c r="CS84" s="4">
        <f t="shared" si="119"/>
        <v>46762.229166666664</v>
      </c>
      <c r="CT84" s="4">
        <f t="shared" si="119"/>
        <v>46769.229166666664</v>
      </c>
      <c r="CU84" s="4">
        <f t="shared" si="119"/>
        <v>46776.229166666664</v>
      </c>
      <c r="CV84" s="4">
        <f t="shared" si="119"/>
        <v>46783.229166666664</v>
      </c>
      <c r="CW84" s="4">
        <f t="shared" si="119"/>
        <v>46790.229166666664</v>
      </c>
      <c r="CX84" s="4">
        <f t="shared" si="119"/>
        <v>46797.229166666664</v>
      </c>
      <c r="CY84" s="4">
        <f t="shared" si="119"/>
        <v>46804.229166666664</v>
      </c>
      <c r="CZ84" s="4">
        <f t="shared" si="119"/>
        <v>46811.229166666664</v>
      </c>
      <c r="DA84" s="4">
        <f t="shared" si="119"/>
        <v>46818.229166666664</v>
      </c>
      <c r="DB84" s="4">
        <f t="shared" si="119"/>
        <v>46825.229166666664</v>
      </c>
      <c r="DC84" s="4">
        <f t="shared" si="119"/>
        <v>46832.229166666664</v>
      </c>
      <c r="DD84" s="4">
        <f t="shared" si="119"/>
        <v>46839.229166666664</v>
      </c>
      <c r="DE84" s="4">
        <f t="shared" si="119"/>
        <v>46846.229166666664</v>
      </c>
      <c r="DF84" s="4">
        <f t="shared" si="119"/>
        <v>46853.229166666664</v>
      </c>
      <c r="DG84" s="4">
        <f t="shared" si="119"/>
        <v>46860.229166666664</v>
      </c>
      <c r="DH84" s="4">
        <f t="shared" si="119"/>
        <v>46867.229166666664</v>
      </c>
      <c r="DI84" s="4">
        <f t="shared" si="119"/>
        <v>46874.229166666664</v>
      </c>
      <c r="DJ84" s="4">
        <f t="shared" si="119"/>
        <v>46881.229166666664</v>
      </c>
      <c r="DK84" s="4">
        <f t="shared" si="119"/>
        <v>46888.229166666664</v>
      </c>
      <c r="DL84" s="90">
        <f t="shared" si="119"/>
        <v>46895.229166666664</v>
      </c>
      <c r="DM84" s="47"/>
    </row>
    <row r="85" spans="1:117" ht="15" thickBot="1" x14ac:dyDescent="0.4"/>
    <row r="86" spans="1:117" ht="15" thickBot="1" x14ac:dyDescent="0.4">
      <c r="E86" s="43" t="s">
        <v>152</v>
      </c>
    </row>
    <row r="87" spans="1:117" x14ac:dyDescent="0.35">
      <c r="E87" s="28" t="s">
        <v>29</v>
      </c>
      <c r="F87" s="32" t="s">
        <v>261</v>
      </c>
      <c r="G87" s="32" t="s">
        <v>262</v>
      </c>
      <c r="H87" s="32" t="s">
        <v>259</v>
      </c>
      <c r="I87" s="33" t="s">
        <v>260</v>
      </c>
      <c r="J87" s="33" t="s">
        <v>308</v>
      </c>
      <c r="K87" s="33" t="s">
        <v>142</v>
      </c>
      <c r="L87" s="33" t="s">
        <v>257</v>
      </c>
      <c r="M87" s="33" t="s">
        <v>153</v>
      </c>
      <c r="N87" s="33" t="s">
        <v>154</v>
      </c>
      <c r="O87" s="33" t="s">
        <v>155</v>
      </c>
      <c r="P87" s="33" t="s">
        <v>156</v>
      </c>
      <c r="Q87" s="33" t="s">
        <v>157</v>
      </c>
      <c r="R87" s="33" t="s">
        <v>158</v>
      </c>
      <c r="S87" s="33" t="s">
        <v>159</v>
      </c>
      <c r="T87" s="33" t="s">
        <v>160</v>
      </c>
      <c r="U87" s="33" t="s">
        <v>161</v>
      </c>
      <c r="V87" s="33" t="s">
        <v>162</v>
      </c>
      <c r="W87" s="33" t="s">
        <v>163</v>
      </c>
      <c r="X87" s="33" t="s">
        <v>164</v>
      </c>
      <c r="Y87" s="33" t="s">
        <v>165</v>
      </c>
      <c r="Z87" s="33" t="s">
        <v>166</v>
      </c>
      <c r="AA87" s="33" t="s">
        <v>167</v>
      </c>
      <c r="AB87" s="33" t="s">
        <v>168</v>
      </c>
      <c r="AC87" s="33" t="s">
        <v>169</v>
      </c>
      <c r="AD87" s="33" t="s">
        <v>170</v>
      </c>
      <c r="AE87" s="33" t="s">
        <v>171</v>
      </c>
      <c r="AF87" s="33" t="s">
        <v>172</v>
      </c>
      <c r="AG87" s="33" t="s">
        <v>173</v>
      </c>
      <c r="AH87" s="33" t="s">
        <v>174</v>
      </c>
      <c r="AI87" s="33" t="s">
        <v>175</v>
      </c>
      <c r="AJ87" s="33" t="s">
        <v>176</v>
      </c>
      <c r="AK87" s="33" t="s">
        <v>177</v>
      </c>
      <c r="AL87" s="33" t="s">
        <v>178</v>
      </c>
      <c r="AM87" s="33" t="s">
        <v>179</v>
      </c>
      <c r="AN87" s="33" t="s">
        <v>180</v>
      </c>
      <c r="AO87" s="33" t="s">
        <v>181</v>
      </c>
      <c r="AP87" s="33" t="s">
        <v>182</v>
      </c>
      <c r="AQ87" s="33" t="s">
        <v>183</v>
      </c>
      <c r="AR87" s="33" t="s">
        <v>184</v>
      </c>
      <c r="AS87" s="33" t="s">
        <v>185</v>
      </c>
      <c r="AT87" s="33" t="s">
        <v>186</v>
      </c>
      <c r="AU87" s="33" t="s">
        <v>187</v>
      </c>
      <c r="AV87" s="33" t="s">
        <v>188</v>
      </c>
      <c r="AW87" s="33" t="s">
        <v>189</v>
      </c>
      <c r="AX87" s="33" t="s">
        <v>190</v>
      </c>
      <c r="AY87" s="33" t="s">
        <v>191</v>
      </c>
      <c r="AZ87" s="33" t="s">
        <v>192</v>
      </c>
      <c r="BA87" s="33" t="s">
        <v>193</v>
      </c>
      <c r="BB87" s="33" t="s">
        <v>194</v>
      </c>
      <c r="BC87" s="33" t="s">
        <v>195</v>
      </c>
      <c r="BD87" s="33" t="s">
        <v>196</v>
      </c>
      <c r="BE87" s="33" t="s">
        <v>197</v>
      </c>
      <c r="BF87" s="33" t="s">
        <v>198</v>
      </c>
      <c r="BG87" s="33" t="s">
        <v>199</v>
      </c>
      <c r="BH87" s="33" t="s">
        <v>200</v>
      </c>
      <c r="BI87" s="33" t="s">
        <v>201</v>
      </c>
      <c r="BJ87" s="33" t="s">
        <v>202</v>
      </c>
      <c r="BK87" s="33" t="s">
        <v>203</v>
      </c>
      <c r="BL87" s="33" t="s">
        <v>204</v>
      </c>
      <c r="BM87" s="33" t="s">
        <v>205</v>
      </c>
      <c r="BN87" s="33" t="s">
        <v>206</v>
      </c>
      <c r="BO87" s="33" t="s">
        <v>207</v>
      </c>
      <c r="BP87" s="33" t="s">
        <v>208</v>
      </c>
      <c r="BQ87" s="33" t="s">
        <v>209</v>
      </c>
      <c r="BR87" s="33" t="s">
        <v>210</v>
      </c>
      <c r="BS87" s="33" t="s">
        <v>211</v>
      </c>
      <c r="BT87" s="33" t="s">
        <v>212</v>
      </c>
      <c r="BU87" s="33" t="s">
        <v>213</v>
      </c>
      <c r="BV87" s="33" t="s">
        <v>214</v>
      </c>
      <c r="BW87" s="33" t="s">
        <v>215</v>
      </c>
      <c r="BX87" s="33" t="s">
        <v>216</v>
      </c>
      <c r="BY87" s="33" t="s">
        <v>217</v>
      </c>
      <c r="BZ87" s="33" t="s">
        <v>218</v>
      </c>
      <c r="CA87" s="33" t="s">
        <v>219</v>
      </c>
      <c r="CB87" s="33" t="s">
        <v>220</v>
      </c>
      <c r="CC87" s="33" t="s">
        <v>221</v>
      </c>
      <c r="CD87" s="33" t="s">
        <v>222</v>
      </c>
      <c r="CE87" s="33" t="s">
        <v>223</v>
      </c>
      <c r="CF87" s="33" t="s">
        <v>224</v>
      </c>
      <c r="CG87" s="33" t="s">
        <v>225</v>
      </c>
      <c r="CH87" s="33" t="s">
        <v>226</v>
      </c>
      <c r="CI87" s="33" t="s">
        <v>227</v>
      </c>
      <c r="CJ87" s="33" t="s">
        <v>228</v>
      </c>
      <c r="CK87" s="33" t="s">
        <v>229</v>
      </c>
      <c r="CL87" s="33" t="s">
        <v>230</v>
      </c>
      <c r="CM87" s="33" t="s">
        <v>231</v>
      </c>
      <c r="CN87" s="33" t="s">
        <v>232</v>
      </c>
      <c r="CO87" s="33" t="s">
        <v>233</v>
      </c>
      <c r="CP87" s="33" t="s">
        <v>234</v>
      </c>
      <c r="CQ87" s="33" t="s">
        <v>235</v>
      </c>
      <c r="CR87" s="33" t="s">
        <v>236</v>
      </c>
      <c r="CS87" s="33" t="s">
        <v>237</v>
      </c>
      <c r="CT87" s="33" t="s">
        <v>238</v>
      </c>
      <c r="CU87" s="33" t="s">
        <v>239</v>
      </c>
      <c r="CV87" s="33" t="s">
        <v>240</v>
      </c>
      <c r="CW87" s="33" t="s">
        <v>241</v>
      </c>
      <c r="CX87" s="33" t="s">
        <v>242</v>
      </c>
      <c r="CY87" s="33" t="s">
        <v>243</v>
      </c>
      <c r="CZ87" s="33" t="s">
        <v>244</v>
      </c>
      <c r="DA87" s="33" t="s">
        <v>245</v>
      </c>
      <c r="DB87" s="33" t="s">
        <v>246</v>
      </c>
      <c r="DC87" s="33" t="s">
        <v>247</v>
      </c>
      <c r="DD87" s="33" t="s">
        <v>248</v>
      </c>
      <c r="DE87" s="33" t="s">
        <v>249</v>
      </c>
      <c r="DF87" s="33" t="s">
        <v>250</v>
      </c>
      <c r="DG87" s="33" t="s">
        <v>251</v>
      </c>
      <c r="DH87" s="33" t="s">
        <v>252</v>
      </c>
      <c r="DI87" s="33" t="s">
        <v>253</v>
      </c>
      <c r="DJ87" s="33" t="s">
        <v>254</v>
      </c>
      <c r="DK87" s="33" t="s">
        <v>255</v>
      </c>
      <c r="DL87" s="33" t="s">
        <v>256</v>
      </c>
      <c r="DM87" s="45"/>
    </row>
    <row r="88" spans="1:117" x14ac:dyDescent="0.35">
      <c r="A88" s="117"/>
      <c r="B88" s="117"/>
      <c r="C88" s="117"/>
      <c r="D88" s="117"/>
      <c r="E88" s="111"/>
      <c r="F88" s="112"/>
      <c r="G88" s="112"/>
      <c r="H88" s="116"/>
      <c r="I88" s="116"/>
      <c r="J88" s="124" t="str">
        <f>IFERROR(1-(I88/H88),"-")</f>
        <v>-</v>
      </c>
      <c r="K88" s="38">
        <f>I88*L88</f>
        <v>0</v>
      </c>
      <c r="L88" s="39">
        <f t="shared" ref="L88:L117" si="120">SUM(M88:DL88)</f>
        <v>0</v>
      </c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  <c r="BU88" s="113"/>
      <c r="BV88" s="113"/>
      <c r="BW88" s="113"/>
      <c r="BX88" s="113"/>
      <c r="BY88" s="113"/>
      <c r="BZ88" s="113"/>
      <c r="CA88" s="113"/>
      <c r="CB88" s="113"/>
      <c r="CC88" s="113"/>
      <c r="CD88" s="113"/>
      <c r="CE88" s="113"/>
      <c r="CF88" s="113"/>
      <c r="CG88" s="113"/>
      <c r="CH88" s="113"/>
      <c r="CI88" s="113"/>
      <c r="CJ88" s="113"/>
      <c r="CK88" s="113"/>
      <c r="CL88" s="113"/>
      <c r="CM88" s="113"/>
      <c r="CN88" s="113"/>
      <c r="CO88" s="113"/>
      <c r="CP88" s="113"/>
      <c r="CQ88" s="113"/>
      <c r="CR88" s="113"/>
      <c r="CS88" s="113"/>
      <c r="CT88" s="113"/>
      <c r="CU88" s="113"/>
      <c r="CV88" s="113"/>
      <c r="CW88" s="113"/>
      <c r="CX88" s="113"/>
      <c r="CY88" s="113"/>
      <c r="CZ88" s="113"/>
      <c r="DA88" s="113"/>
      <c r="DB88" s="113"/>
      <c r="DC88" s="113"/>
      <c r="DD88" s="113"/>
      <c r="DE88" s="113"/>
      <c r="DF88" s="113"/>
      <c r="DG88" s="113"/>
      <c r="DH88" s="113"/>
      <c r="DI88" s="113"/>
      <c r="DJ88" s="113"/>
      <c r="DK88" s="113"/>
      <c r="DL88" s="114"/>
      <c r="DM88" s="47"/>
    </row>
    <row r="89" spans="1:117" x14ac:dyDescent="0.35">
      <c r="A89" s="117"/>
      <c r="B89" s="117"/>
      <c r="C89" s="117"/>
      <c r="D89" s="117"/>
      <c r="E89" s="111"/>
      <c r="F89" s="112"/>
      <c r="G89" s="112"/>
      <c r="H89" s="116"/>
      <c r="I89" s="116"/>
      <c r="J89" s="124" t="str">
        <f t="shared" ref="J89:J117" si="121">IFERROR(1-(I89/H89),"-")</f>
        <v>-</v>
      </c>
      <c r="K89" s="38">
        <f t="shared" ref="K89:K117" si="122">I89*L89</f>
        <v>0</v>
      </c>
      <c r="L89" s="39">
        <f t="shared" si="120"/>
        <v>0</v>
      </c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  <c r="BU89" s="113"/>
      <c r="BV89" s="113"/>
      <c r="BW89" s="113"/>
      <c r="BX89" s="113"/>
      <c r="BY89" s="113"/>
      <c r="BZ89" s="113"/>
      <c r="CA89" s="113"/>
      <c r="CB89" s="113"/>
      <c r="CC89" s="113"/>
      <c r="CD89" s="113"/>
      <c r="CE89" s="113"/>
      <c r="CF89" s="113"/>
      <c r="CG89" s="113"/>
      <c r="CH89" s="113"/>
      <c r="CI89" s="113"/>
      <c r="CJ89" s="113"/>
      <c r="CK89" s="113"/>
      <c r="CL89" s="113"/>
      <c r="CM89" s="113"/>
      <c r="CN89" s="113"/>
      <c r="CO89" s="113"/>
      <c r="CP89" s="113"/>
      <c r="CQ89" s="113"/>
      <c r="CR89" s="113"/>
      <c r="CS89" s="113"/>
      <c r="CT89" s="113"/>
      <c r="CU89" s="113"/>
      <c r="CV89" s="113"/>
      <c r="CW89" s="113"/>
      <c r="CX89" s="113"/>
      <c r="CY89" s="113"/>
      <c r="CZ89" s="113"/>
      <c r="DA89" s="113"/>
      <c r="DB89" s="113"/>
      <c r="DC89" s="113"/>
      <c r="DD89" s="113"/>
      <c r="DE89" s="113"/>
      <c r="DF89" s="113"/>
      <c r="DG89" s="113"/>
      <c r="DH89" s="113"/>
      <c r="DI89" s="113"/>
      <c r="DJ89" s="113"/>
      <c r="DK89" s="113"/>
      <c r="DL89" s="114"/>
      <c r="DM89" s="47"/>
    </row>
    <row r="90" spans="1:117" x14ac:dyDescent="0.35">
      <c r="A90" s="117"/>
      <c r="B90" s="117"/>
      <c r="C90" s="117"/>
      <c r="D90" s="117"/>
      <c r="E90" s="111"/>
      <c r="F90" s="112"/>
      <c r="G90" s="112"/>
      <c r="H90" s="116"/>
      <c r="I90" s="116"/>
      <c r="J90" s="124" t="str">
        <f t="shared" si="121"/>
        <v>-</v>
      </c>
      <c r="K90" s="38">
        <f t="shared" si="122"/>
        <v>0</v>
      </c>
      <c r="L90" s="39">
        <f t="shared" si="120"/>
        <v>0</v>
      </c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  <c r="BU90" s="113"/>
      <c r="BV90" s="113"/>
      <c r="BW90" s="113"/>
      <c r="BX90" s="113"/>
      <c r="BY90" s="113"/>
      <c r="BZ90" s="113"/>
      <c r="CA90" s="113"/>
      <c r="CB90" s="113"/>
      <c r="CC90" s="113"/>
      <c r="CD90" s="113"/>
      <c r="CE90" s="113"/>
      <c r="CF90" s="113"/>
      <c r="CG90" s="113"/>
      <c r="CH90" s="113"/>
      <c r="CI90" s="113"/>
      <c r="CJ90" s="113"/>
      <c r="CK90" s="113"/>
      <c r="CL90" s="113"/>
      <c r="CM90" s="113"/>
      <c r="CN90" s="113"/>
      <c r="CO90" s="113"/>
      <c r="CP90" s="113"/>
      <c r="CQ90" s="113"/>
      <c r="CR90" s="113"/>
      <c r="CS90" s="113"/>
      <c r="CT90" s="113"/>
      <c r="CU90" s="113"/>
      <c r="CV90" s="113"/>
      <c r="CW90" s="113"/>
      <c r="CX90" s="113"/>
      <c r="CY90" s="113"/>
      <c r="CZ90" s="113"/>
      <c r="DA90" s="113"/>
      <c r="DB90" s="113"/>
      <c r="DC90" s="113"/>
      <c r="DD90" s="113"/>
      <c r="DE90" s="113"/>
      <c r="DF90" s="113"/>
      <c r="DG90" s="113"/>
      <c r="DH90" s="113"/>
      <c r="DI90" s="113"/>
      <c r="DJ90" s="113"/>
      <c r="DK90" s="113"/>
      <c r="DL90" s="114"/>
      <c r="DM90" s="47"/>
    </row>
    <row r="91" spans="1:117" x14ac:dyDescent="0.35">
      <c r="A91" s="117"/>
      <c r="B91" s="117"/>
      <c r="C91" s="117"/>
      <c r="D91" s="117"/>
      <c r="E91" s="111"/>
      <c r="F91" s="112"/>
      <c r="G91" s="112"/>
      <c r="H91" s="116"/>
      <c r="I91" s="116"/>
      <c r="J91" s="124" t="str">
        <f t="shared" si="121"/>
        <v>-</v>
      </c>
      <c r="K91" s="38">
        <f t="shared" si="122"/>
        <v>0</v>
      </c>
      <c r="L91" s="39">
        <f t="shared" si="120"/>
        <v>0</v>
      </c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  <c r="BU91" s="113"/>
      <c r="BV91" s="113"/>
      <c r="BW91" s="113"/>
      <c r="BX91" s="113"/>
      <c r="BY91" s="113"/>
      <c r="BZ91" s="113"/>
      <c r="CA91" s="113"/>
      <c r="CB91" s="11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  <c r="CN91" s="113"/>
      <c r="CO91" s="113"/>
      <c r="CP91" s="113"/>
      <c r="CQ91" s="113"/>
      <c r="CR91" s="113"/>
      <c r="CS91" s="113"/>
      <c r="CT91" s="113"/>
      <c r="CU91" s="113"/>
      <c r="CV91" s="113"/>
      <c r="CW91" s="113"/>
      <c r="CX91" s="113"/>
      <c r="CY91" s="113"/>
      <c r="CZ91" s="113"/>
      <c r="DA91" s="113"/>
      <c r="DB91" s="113"/>
      <c r="DC91" s="113"/>
      <c r="DD91" s="113"/>
      <c r="DE91" s="113"/>
      <c r="DF91" s="113"/>
      <c r="DG91" s="113"/>
      <c r="DH91" s="113"/>
      <c r="DI91" s="113"/>
      <c r="DJ91" s="113"/>
      <c r="DK91" s="113"/>
      <c r="DL91" s="114"/>
      <c r="DM91" s="47"/>
    </row>
    <row r="92" spans="1:117" x14ac:dyDescent="0.35">
      <c r="A92" s="117"/>
      <c r="B92" s="117"/>
      <c r="C92" s="117"/>
      <c r="D92" s="117"/>
      <c r="E92" s="111"/>
      <c r="F92" s="112"/>
      <c r="G92" s="112"/>
      <c r="H92" s="116"/>
      <c r="I92" s="116"/>
      <c r="J92" s="124" t="str">
        <f t="shared" si="121"/>
        <v>-</v>
      </c>
      <c r="K92" s="38">
        <f t="shared" si="122"/>
        <v>0</v>
      </c>
      <c r="L92" s="39">
        <f t="shared" si="120"/>
        <v>0</v>
      </c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  <c r="BU92" s="113"/>
      <c r="BV92" s="113"/>
      <c r="BW92" s="113"/>
      <c r="BX92" s="113"/>
      <c r="BY92" s="113"/>
      <c r="BZ92" s="113"/>
      <c r="CA92" s="113"/>
      <c r="CB92" s="113"/>
      <c r="CC92" s="113"/>
      <c r="CD92" s="113"/>
      <c r="CE92" s="113"/>
      <c r="CF92" s="113"/>
      <c r="CG92" s="113"/>
      <c r="CH92" s="113"/>
      <c r="CI92" s="113"/>
      <c r="CJ92" s="113"/>
      <c r="CK92" s="113"/>
      <c r="CL92" s="113"/>
      <c r="CM92" s="113"/>
      <c r="CN92" s="113"/>
      <c r="CO92" s="113"/>
      <c r="CP92" s="113"/>
      <c r="CQ92" s="113"/>
      <c r="CR92" s="113"/>
      <c r="CS92" s="113"/>
      <c r="CT92" s="113"/>
      <c r="CU92" s="113"/>
      <c r="CV92" s="113"/>
      <c r="CW92" s="113"/>
      <c r="CX92" s="113"/>
      <c r="CY92" s="113"/>
      <c r="CZ92" s="113"/>
      <c r="DA92" s="113"/>
      <c r="DB92" s="113"/>
      <c r="DC92" s="113"/>
      <c r="DD92" s="113"/>
      <c r="DE92" s="113"/>
      <c r="DF92" s="113"/>
      <c r="DG92" s="113"/>
      <c r="DH92" s="113"/>
      <c r="DI92" s="113"/>
      <c r="DJ92" s="113"/>
      <c r="DK92" s="113"/>
      <c r="DL92" s="114"/>
      <c r="DM92" s="47"/>
    </row>
    <row r="93" spans="1:117" x14ac:dyDescent="0.35">
      <c r="A93" s="117"/>
      <c r="B93" s="117"/>
      <c r="C93" s="117"/>
      <c r="D93" s="117"/>
      <c r="E93" s="111"/>
      <c r="F93" s="112"/>
      <c r="G93" s="112"/>
      <c r="H93" s="116"/>
      <c r="I93" s="116"/>
      <c r="J93" s="124" t="str">
        <f t="shared" si="121"/>
        <v>-</v>
      </c>
      <c r="K93" s="38">
        <f t="shared" si="122"/>
        <v>0</v>
      </c>
      <c r="L93" s="39">
        <f t="shared" si="120"/>
        <v>0</v>
      </c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  <c r="CB93" s="113"/>
      <c r="CC93" s="113"/>
      <c r="CD93" s="113"/>
      <c r="CE93" s="113"/>
      <c r="CF93" s="113"/>
      <c r="CG93" s="113"/>
      <c r="CH93" s="113"/>
      <c r="CI93" s="113"/>
      <c r="CJ93" s="113"/>
      <c r="CK93" s="113"/>
      <c r="CL93" s="113"/>
      <c r="CM93" s="113"/>
      <c r="CN93" s="113"/>
      <c r="CO93" s="113"/>
      <c r="CP93" s="113"/>
      <c r="CQ93" s="113"/>
      <c r="CR93" s="113"/>
      <c r="CS93" s="113"/>
      <c r="CT93" s="113"/>
      <c r="CU93" s="113"/>
      <c r="CV93" s="113"/>
      <c r="CW93" s="113"/>
      <c r="CX93" s="113"/>
      <c r="CY93" s="113"/>
      <c r="CZ93" s="113"/>
      <c r="DA93" s="113"/>
      <c r="DB93" s="113"/>
      <c r="DC93" s="113"/>
      <c r="DD93" s="113"/>
      <c r="DE93" s="113"/>
      <c r="DF93" s="113"/>
      <c r="DG93" s="113"/>
      <c r="DH93" s="113"/>
      <c r="DI93" s="113"/>
      <c r="DJ93" s="113"/>
      <c r="DK93" s="113"/>
      <c r="DL93" s="114"/>
      <c r="DM93" s="47"/>
    </row>
    <row r="94" spans="1:117" x14ac:dyDescent="0.35">
      <c r="A94" s="117"/>
      <c r="B94" s="117"/>
      <c r="C94" s="117"/>
      <c r="D94" s="117"/>
      <c r="E94" s="111"/>
      <c r="F94" s="112"/>
      <c r="G94" s="112"/>
      <c r="H94" s="116"/>
      <c r="I94" s="116"/>
      <c r="J94" s="124" t="str">
        <f t="shared" si="121"/>
        <v>-</v>
      </c>
      <c r="K94" s="38">
        <f t="shared" si="122"/>
        <v>0</v>
      </c>
      <c r="L94" s="39">
        <f t="shared" si="120"/>
        <v>0</v>
      </c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  <c r="BU94" s="113"/>
      <c r="BV94" s="113"/>
      <c r="BW94" s="113"/>
      <c r="BX94" s="113"/>
      <c r="BY94" s="113"/>
      <c r="BZ94" s="113"/>
      <c r="CA94" s="113"/>
      <c r="CB94" s="113"/>
      <c r="CC94" s="113"/>
      <c r="CD94" s="113"/>
      <c r="CE94" s="113"/>
      <c r="CF94" s="113"/>
      <c r="CG94" s="113"/>
      <c r="CH94" s="113"/>
      <c r="CI94" s="113"/>
      <c r="CJ94" s="113"/>
      <c r="CK94" s="113"/>
      <c r="CL94" s="113"/>
      <c r="CM94" s="113"/>
      <c r="CN94" s="113"/>
      <c r="CO94" s="113"/>
      <c r="CP94" s="113"/>
      <c r="CQ94" s="113"/>
      <c r="CR94" s="113"/>
      <c r="CS94" s="113"/>
      <c r="CT94" s="113"/>
      <c r="CU94" s="113"/>
      <c r="CV94" s="113"/>
      <c r="CW94" s="113"/>
      <c r="CX94" s="113"/>
      <c r="CY94" s="113"/>
      <c r="CZ94" s="113"/>
      <c r="DA94" s="113"/>
      <c r="DB94" s="113"/>
      <c r="DC94" s="113"/>
      <c r="DD94" s="113"/>
      <c r="DE94" s="113"/>
      <c r="DF94" s="113"/>
      <c r="DG94" s="113"/>
      <c r="DH94" s="113"/>
      <c r="DI94" s="113"/>
      <c r="DJ94" s="113"/>
      <c r="DK94" s="113"/>
      <c r="DL94" s="114"/>
      <c r="DM94" s="47"/>
    </row>
    <row r="95" spans="1:117" x14ac:dyDescent="0.35">
      <c r="A95" s="117"/>
      <c r="B95" s="117"/>
      <c r="C95" s="117"/>
      <c r="D95" s="117"/>
      <c r="E95" s="111"/>
      <c r="F95" s="112"/>
      <c r="G95" s="112"/>
      <c r="H95" s="116"/>
      <c r="I95" s="116"/>
      <c r="J95" s="124" t="str">
        <f t="shared" si="121"/>
        <v>-</v>
      </c>
      <c r="K95" s="38">
        <f t="shared" si="122"/>
        <v>0</v>
      </c>
      <c r="L95" s="39">
        <f t="shared" si="120"/>
        <v>0</v>
      </c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  <c r="BU95" s="113"/>
      <c r="BV95" s="113"/>
      <c r="BW95" s="113"/>
      <c r="BX95" s="113"/>
      <c r="BY95" s="113"/>
      <c r="BZ95" s="113"/>
      <c r="CA95" s="113"/>
      <c r="CB95" s="113"/>
      <c r="CC95" s="113"/>
      <c r="CD95" s="113"/>
      <c r="CE95" s="113"/>
      <c r="CF95" s="113"/>
      <c r="CG95" s="113"/>
      <c r="CH95" s="113"/>
      <c r="CI95" s="113"/>
      <c r="CJ95" s="113"/>
      <c r="CK95" s="113"/>
      <c r="CL95" s="113"/>
      <c r="CM95" s="113"/>
      <c r="CN95" s="113"/>
      <c r="CO95" s="113"/>
      <c r="CP95" s="113"/>
      <c r="CQ95" s="113"/>
      <c r="CR95" s="113"/>
      <c r="CS95" s="113"/>
      <c r="CT95" s="113"/>
      <c r="CU95" s="113"/>
      <c r="CV95" s="113"/>
      <c r="CW95" s="113"/>
      <c r="CX95" s="113"/>
      <c r="CY95" s="113"/>
      <c r="CZ95" s="113"/>
      <c r="DA95" s="113"/>
      <c r="DB95" s="113"/>
      <c r="DC95" s="113"/>
      <c r="DD95" s="113"/>
      <c r="DE95" s="113"/>
      <c r="DF95" s="113"/>
      <c r="DG95" s="113"/>
      <c r="DH95" s="113"/>
      <c r="DI95" s="113"/>
      <c r="DJ95" s="113"/>
      <c r="DK95" s="113"/>
      <c r="DL95" s="114"/>
      <c r="DM95" s="47"/>
    </row>
    <row r="96" spans="1:117" x14ac:dyDescent="0.35">
      <c r="A96" s="117"/>
      <c r="B96" s="117"/>
      <c r="C96" s="117"/>
      <c r="D96" s="117"/>
      <c r="E96" s="111"/>
      <c r="F96" s="112"/>
      <c r="G96" s="112"/>
      <c r="H96" s="116"/>
      <c r="I96" s="116"/>
      <c r="J96" s="124" t="str">
        <f t="shared" si="121"/>
        <v>-</v>
      </c>
      <c r="K96" s="38">
        <f t="shared" si="122"/>
        <v>0</v>
      </c>
      <c r="L96" s="39">
        <f t="shared" si="120"/>
        <v>0</v>
      </c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4"/>
      <c r="DM96" s="47"/>
    </row>
    <row r="97" spans="1:117" x14ac:dyDescent="0.35">
      <c r="A97" s="117"/>
      <c r="B97" s="117"/>
      <c r="C97" s="117"/>
      <c r="D97" s="117"/>
      <c r="E97" s="111"/>
      <c r="F97" s="112"/>
      <c r="G97" s="112"/>
      <c r="H97" s="116"/>
      <c r="I97" s="116"/>
      <c r="J97" s="124" t="str">
        <f t="shared" si="121"/>
        <v>-</v>
      </c>
      <c r="K97" s="38">
        <f t="shared" si="122"/>
        <v>0</v>
      </c>
      <c r="L97" s="39">
        <f t="shared" si="120"/>
        <v>0</v>
      </c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  <c r="BU97" s="113"/>
      <c r="BV97" s="113"/>
      <c r="BW97" s="113"/>
      <c r="BX97" s="113"/>
      <c r="BY97" s="113"/>
      <c r="BZ97" s="113"/>
      <c r="CA97" s="113"/>
      <c r="CB97" s="113"/>
      <c r="CC97" s="113"/>
      <c r="CD97" s="113"/>
      <c r="CE97" s="113"/>
      <c r="CF97" s="113"/>
      <c r="CG97" s="113"/>
      <c r="CH97" s="113"/>
      <c r="CI97" s="113"/>
      <c r="CJ97" s="113"/>
      <c r="CK97" s="113"/>
      <c r="CL97" s="113"/>
      <c r="CM97" s="113"/>
      <c r="CN97" s="113"/>
      <c r="CO97" s="113"/>
      <c r="CP97" s="113"/>
      <c r="CQ97" s="113"/>
      <c r="CR97" s="113"/>
      <c r="CS97" s="113"/>
      <c r="CT97" s="113"/>
      <c r="CU97" s="113"/>
      <c r="CV97" s="113"/>
      <c r="CW97" s="113"/>
      <c r="CX97" s="113"/>
      <c r="CY97" s="113"/>
      <c r="CZ97" s="113"/>
      <c r="DA97" s="113"/>
      <c r="DB97" s="113"/>
      <c r="DC97" s="113"/>
      <c r="DD97" s="113"/>
      <c r="DE97" s="113"/>
      <c r="DF97" s="113"/>
      <c r="DG97" s="113"/>
      <c r="DH97" s="113"/>
      <c r="DI97" s="113"/>
      <c r="DJ97" s="113"/>
      <c r="DK97" s="113"/>
      <c r="DL97" s="114"/>
      <c r="DM97" s="47"/>
    </row>
    <row r="98" spans="1:117" x14ac:dyDescent="0.35">
      <c r="E98" s="36"/>
      <c r="F98" s="37"/>
      <c r="G98" s="37"/>
      <c r="H98" s="116"/>
      <c r="I98" s="116"/>
      <c r="J98" s="124" t="str">
        <f t="shared" si="121"/>
        <v>-</v>
      </c>
      <c r="K98" s="38">
        <f t="shared" si="122"/>
        <v>0</v>
      </c>
      <c r="L98" s="39">
        <f t="shared" si="120"/>
        <v>0</v>
      </c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  <c r="BU98" s="113"/>
      <c r="BV98" s="113"/>
      <c r="BW98" s="113"/>
      <c r="BX98" s="113"/>
      <c r="BY98" s="113"/>
      <c r="BZ98" s="113"/>
      <c r="CA98" s="113"/>
      <c r="CB98" s="113"/>
      <c r="CC98" s="113"/>
      <c r="CD98" s="113"/>
      <c r="CE98" s="113"/>
      <c r="CF98" s="113"/>
      <c r="CG98" s="113"/>
      <c r="CH98" s="113"/>
      <c r="CI98" s="113"/>
      <c r="CJ98" s="113"/>
      <c r="CK98" s="113"/>
      <c r="CL98" s="113"/>
      <c r="CM98" s="113"/>
      <c r="CN98" s="113"/>
      <c r="CO98" s="113"/>
      <c r="CP98" s="113"/>
      <c r="CQ98" s="113"/>
      <c r="CR98" s="113"/>
      <c r="CS98" s="113"/>
      <c r="CT98" s="113"/>
      <c r="CU98" s="113"/>
      <c r="CV98" s="113"/>
      <c r="CW98" s="113"/>
      <c r="CX98" s="113"/>
      <c r="CY98" s="113"/>
      <c r="CZ98" s="113"/>
      <c r="DA98" s="113"/>
      <c r="DB98" s="113"/>
      <c r="DC98" s="113"/>
      <c r="DD98" s="113"/>
      <c r="DE98" s="113"/>
      <c r="DF98" s="113"/>
      <c r="DG98" s="113"/>
      <c r="DH98" s="113"/>
      <c r="DI98" s="113"/>
      <c r="DJ98" s="113"/>
      <c r="DK98" s="113"/>
      <c r="DL98" s="114"/>
      <c r="DM98" s="47"/>
    </row>
    <row r="99" spans="1:117" x14ac:dyDescent="0.35">
      <c r="E99" s="36"/>
      <c r="F99" s="37"/>
      <c r="G99" s="37"/>
      <c r="H99" s="116"/>
      <c r="I99" s="116"/>
      <c r="J99" s="124" t="str">
        <f t="shared" si="121"/>
        <v>-</v>
      </c>
      <c r="K99" s="38">
        <f t="shared" si="122"/>
        <v>0</v>
      </c>
      <c r="L99" s="39">
        <f t="shared" si="120"/>
        <v>0</v>
      </c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  <c r="BU99" s="113"/>
      <c r="BV99" s="113"/>
      <c r="BW99" s="113"/>
      <c r="BX99" s="113"/>
      <c r="BY99" s="113"/>
      <c r="BZ99" s="113"/>
      <c r="CA99" s="113"/>
      <c r="CB99" s="113"/>
      <c r="CC99" s="113"/>
      <c r="CD99" s="113"/>
      <c r="CE99" s="113"/>
      <c r="CF99" s="113"/>
      <c r="CG99" s="113"/>
      <c r="CH99" s="113"/>
      <c r="CI99" s="113"/>
      <c r="CJ99" s="113"/>
      <c r="CK99" s="113"/>
      <c r="CL99" s="113"/>
      <c r="CM99" s="113"/>
      <c r="CN99" s="113"/>
      <c r="CO99" s="113"/>
      <c r="CP99" s="113"/>
      <c r="CQ99" s="113"/>
      <c r="CR99" s="113"/>
      <c r="CS99" s="113"/>
      <c r="CT99" s="113"/>
      <c r="CU99" s="113"/>
      <c r="CV99" s="113"/>
      <c r="CW99" s="113"/>
      <c r="CX99" s="113"/>
      <c r="CY99" s="113"/>
      <c r="CZ99" s="113"/>
      <c r="DA99" s="113"/>
      <c r="DB99" s="113"/>
      <c r="DC99" s="113"/>
      <c r="DD99" s="113"/>
      <c r="DE99" s="113"/>
      <c r="DF99" s="113"/>
      <c r="DG99" s="113"/>
      <c r="DH99" s="113"/>
      <c r="DI99" s="113"/>
      <c r="DJ99" s="113"/>
      <c r="DK99" s="113"/>
      <c r="DL99" s="114"/>
      <c r="DM99" s="47"/>
    </row>
    <row r="100" spans="1:117" x14ac:dyDescent="0.35">
      <c r="E100" s="36"/>
      <c r="F100" s="37"/>
      <c r="G100" s="37"/>
      <c r="H100" s="116"/>
      <c r="I100" s="116"/>
      <c r="J100" s="124" t="str">
        <f t="shared" si="121"/>
        <v>-</v>
      </c>
      <c r="K100" s="38">
        <f t="shared" si="122"/>
        <v>0</v>
      </c>
      <c r="L100" s="39">
        <f t="shared" si="120"/>
        <v>0</v>
      </c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  <c r="BU100" s="113"/>
      <c r="BV100" s="113"/>
      <c r="BW100" s="113"/>
      <c r="BX100" s="113"/>
      <c r="BY100" s="113"/>
      <c r="BZ100" s="113"/>
      <c r="CA100" s="113"/>
      <c r="CB100" s="113"/>
      <c r="CC100" s="113"/>
      <c r="CD100" s="113"/>
      <c r="CE100" s="113"/>
      <c r="CF100" s="113"/>
      <c r="CG100" s="113"/>
      <c r="CH100" s="113"/>
      <c r="CI100" s="113"/>
      <c r="CJ100" s="113"/>
      <c r="CK100" s="113"/>
      <c r="CL100" s="113"/>
      <c r="CM100" s="113"/>
      <c r="CN100" s="113"/>
      <c r="CO100" s="113"/>
      <c r="CP100" s="113"/>
      <c r="CQ100" s="113"/>
      <c r="CR100" s="113"/>
      <c r="CS100" s="113"/>
      <c r="CT100" s="113"/>
      <c r="CU100" s="113"/>
      <c r="CV100" s="113"/>
      <c r="CW100" s="113"/>
      <c r="CX100" s="113"/>
      <c r="CY100" s="113"/>
      <c r="CZ100" s="113"/>
      <c r="DA100" s="113"/>
      <c r="DB100" s="113"/>
      <c r="DC100" s="113"/>
      <c r="DD100" s="113"/>
      <c r="DE100" s="113"/>
      <c r="DF100" s="113"/>
      <c r="DG100" s="113"/>
      <c r="DH100" s="113"/>
      <c r="DI100" s="113"/>
      <c r="DJ100" s="113"/>
      <c r="DK100" s="113"/>
      <c r="DL100" s="114"/>
      <c r="DM100" s="47"/>
    </row>
    <row r="101" spans="1:117" x14ac:dyDescent="0.35">
      <c r="E101" s="36"/>
      <c r="F101" s="37"/>
      <c r="G101" s="37"/>
      <c r="H101" s="116"/>
      <c r="I101" s="116"/>
      <c r="J101" s="124" t="str">
        <f t="shared" si="121"/>
        <v>-</v>
      </c>
      <c r="K101" s="38">
        <f t="shared" si="122"/>
        <v>0</v>
      </c>
      <c r="L101" s="39">
        <f t="shared" si="120"/>
        <v>0</v>
      </c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  <c r="BU101" s="113"/>
      <c r="BV101" s="113"/>
      <c r="BW101" s="113"/>
      <c r="BX101" s="113"/>
      <c r="BY101" s="113"/>
      <c r="BZ101" s="113"/>
      <c r="CA101" s="113"/>
      <c r="CB101" s="113"/>
      <c r="CC101" s="113"/>
      <c r="CD101" s="113"/>
      <c r="CE101" s="113"/>
      <c r="CF101" s="113"/>
      <c r="CG101" s="113"/>
      <c r="CH101" s="113"/>
      <c r="CI101" s="113"/>
      <c r="CJ101" s="113"/>
      <c r="CK101" s="113"/>
      <c r="CL101" s="113"/>
      <c r="CM101" s="113"/>
      <c r="CN101" s="113"/>
      <c r="CO101" s="113"/>
      <c r="CP101" s="113"/>
      <c r="CQ101" s="113"/>
      <c r="CR101" s="113"/>
      <c r="CS101" s="113"/>
      <c r="CT101" s="113"/>
      <c r="CU101" s="113"/>
      <c r="CV101" s="113"/>
      <c r="CW101" s="113"/>
      <c r="CX101" s="113"/>
      <c r="CY101" s="113"/>
      <c r="CZ101" s="113"/>
      <c r="DA101" s="113"/>
      <c r="DB101" s="113"/>
      <c r="DC101" s="113"/>
      <c r="DD101" s="113"/>
      <c r="DE101" s="113"/>
      <c r="DF101" s="113"/>
      <c r="DG101" s="113"/>
      <c r="DH101" s="113"/>
      <c r="DI101" s="113"/>
      <c r="DJ101" s="113"/>
      <c r="DK101" s="113"/>
      <c r="DL101" s="114"/>
      <c r="DM101" s="47"/>
    </row>
    <row r="102" spans="1:117" x14ac:dyDescent="0.35">
      <c r="E102" s="36"/>
      <c r="F102" s="37"/>
      <c r="G102" s="37"/>
      <c r="H102" s="116"/>
      <c r="I102" s="116"/>
      <c r="J102" s="124" t="str">
        <f t="shared" si="121"/>
        <v>-</v>
      </c>
      <c r="K102" s="38">
        <f t="shared" si="122"/>
        <v>0</v>
      </c>
      <c r="L102" s="39">
        <f t="shared" si="120"/>
        <v>0</v>
      </c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  <c r="BU102" s="113"/>
      <c r="BV102" s="113"/>
      <c r="BW102" s="113"/>
      <c r="BX102" s="113"/>
      <c r="BY102" s="113"/>
      <c r="BZ102" s="113"/>
      <c r="CA102" s="113"/>
      <c r="CB102" s="113"/>
      <c r="CC102" s="113"/>
      <c r="CD102" s="113"/>
      <c r="CE102" s="113"/>
      <c r="CF102" s="113"/>
      <c r="CG102" s="113"/>
      <c r="CH102" s="113"/>
      <c r="CI102" s="113"/>
      <c r="CJ102" s="113"/>
      <c r="CK102" s="113"/>
      <c r="CL102" s="113"/>
      <c r="CM102" s="113"/>
      <c r="CN102" s="113"/>
      <c r="CO102" s="113"/>
      <c r="CP102" s="113"/>
      <c r="CQ102" s="113"/>
      <c r="CR102" s="113"/>
      <c r="CS102" s="113"/>
      <c r="CT102" s="113"/>
      <c r="CU102" s="113"/>
      <c r="CV102" s="113"/>
      <c r="CW102" s="113"/>
      <c r="CX102" s="113"/>
      <c r="CY102" s="113"/>
      <c r="CZ102" s="113"/>
      <c r="DA102" s="113"/>
      <c r="DB102" s="113"/>
      <c r="DC102" s="113"/>
      <c r="DD102" s="113"/>
      <c r="DE102" s="113"/>
      <c r="DF102" s="113"/>
      <c r="DG102" s="113"/>
      <c r="DH102" s="113"/>
      <c r="DI102" s="113"/>
      <c r="DJ102" s="113"/>
      <c r="DK102" s="113"/>
      <c r="DL102" s="114"/>
      <c r="DM102" s="47"/>
    </row>
    <row r="103" spans="1:117" x14ac:dyDescent="0.35">
      <c r="E103" s="36"/>
      <c r="F103" s="37"/>
      <c r="G103" s="37"/>
      <c r="H103" s="116"/>
      <c r="I103" s="116"/>
      <c r="J103" s="124" t="str">
        <f t="shared" si="121"/>
        <v>-</v>
      </c>
      <c r="K103" s="38">
        <f t="shared" si="122"/>
        <v>0</v>
      </c>
      <c r="L103" s="39">
        <f t="shared" si="120"/>
        <v>0</v>
      </c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J103" s="113"/>
      <c r="CK103" s="113"/>
      <c r="CL103" s="113"/>
      <c r="CM103" s="113"/>
      <c r="CN103" s="113"/>
      <c r="CO103" s="113"/>
      <c r="CP103" s="113"/>
      <c r="CQ103" s="113"/>
      <c r="CR103" s="113"/>
      <c r="CS103" s="113"/>
      <c r="CT103" s="113"/>
      <c r="CU103" s="113"/>
      <c r="CV103" s="113"/>
      <c r="CW103" s="113"/>
      <c r="CX103" s="113"/>
      <c r="CY103" s="113"/>
      <c r="CZ103" s="113"/>
      <c r="DA103" s="113"/>
      <c r="DB103" s="113"/>
      <c r="DC103" s="113"/>
      <c r="DD103" s="113"/>
      <c r="DE103" s="113"/>
      <c r="DF103" s="113"/>
      <c r="DG103" s="113"/>
      <c r="DH103" s="113"/>
      <c r="DI103" s="113"/>
      <c r="DJ103" s="113"/>
      <c r="DK103" s="113"/>
      <c r="DL103" s="114"/>
      <c r="DM103" s="47"/>
    </row>
    <row r="104" spans="1:117" x14ac:dyDescent="0.35">
      <c r="E104" s="36"/>
      <c r="F104" s="37"/>
      <c r="G104" s="37"/>
      <c r="H104" s="116"/>
      <c r="I104" s="116"/>
      <c r="J104" s="124" t="str">
        <f t="shared" si="121"/>
        <v>-</v>
      </c>
      <c r="K104" s="38">
        <f t="shared" si="122"/>
        <v>0</v>
      </c>
      <c r="L104" s="39">
        <f t="shared" si="120"/>
        <v>0</v>
      </c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  <c r="BU104" s="113"/>
      <c r="BV104" s="113"/>
      <c r="BW104" s="113"/>
      <c r="BX104" s="113"/>
      <c r="BY104" s="113"/>
      <c r="BZ104" s="113"/>
      <c r="CA104" s="113"/>
      <c r="CB104" s="113"/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  <c r="CN104" s="113"/>
      <c r="CO104" s="113"/>
      <c r="CP104" s="113"/>
      <c r="CQ104" s="113"/>
      <c r="CR104" s="113"/>
      <c r="CS104" s="113"/>
      <c r="CT104" s="113"/>
      <c r="CU104" s="113"/>
      <c r="CV104" s="113"/>
      <c r="CW104" s="113"/>
      <c r="CX104" s="113"/>
      <c r="CY104" s="113"/>
      <c r="CZ104" s="113"/>
      <c r="DA104" s="113"/>
      <c r="DB104" s="113"/>
      <c r="DC104" s="113"/>
      <c r="DD104" s="113"/>
      <c r="DE104" s="113"/>
      <c r="DF104" s="113"/>
      <c r="DG104" s="113"/>
      <c r="DH104" s="113"/>
      <c r="DI104" s="113"/>
      <c r="DJ104" s="113"/>
      <c r="DK104" s="113"/>
      <c r="DL104" s="114"/>
      <c r="DM104" s="47"/>
    </row>
    <row r="105" spans="1:117" x14ac:dyDescent="0.35">
      <c r="E105" s="36"/>
      <c r="F105" s="37"/>
      <c r="G105" s="37"/>
      <c r="H105" s="116"/>
      <c r="I105" s="116"/>
      <c r="J105" s="124" t="str">
        <f t="shared" si="121"/>
        <v>-</v>
      </c>
      <c r="K105" s="38">
        <f t="shared" si="122"/>
        <v>0</v>
      </c>
      <c r="L105" s="39">
        <f t="shared" si="120"/>
        <v>0</v>
      </c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  <c r="CN105" s="113"/>
      <c r="CO105" s="113"/>
      <c r="CP105" s="113"/>
      <c r="CQ105" s="113"/>
      <c r="CR105" s="113"/>
      <c r="CS105" s="113"/>
      <c r="CT105" s="113"/>
      <c r="CU105" s="113"/>
      <c r="CV105" s="113"/>
      <c r="CW105" s="113"/>
      <c r="CX105" s="113"/>
      <c r="CY105" s="113"/>
      <c r="CZ105" s="113"/>
      <c r="DA105" s="113"/>
      <c r="DB105" s="113"/>
      <c r="DC105" s="113"/>
      <c r="DD105" s="113"/>
      <c r="DE105" s="113"/>
      <c r="DF105" s="113"/>
      <c r="DG105" s="113"/>
      <c r="DH105" s="113"/>
      <c r="DI105" s="113"/>
      <c r="DJ105" s="113"/>
      <c r="DK105" s="113"/>
      <c r="DL105" s="114"/>
      <c r="DM105" s="47"/>
    </row>
    <row r="106" spans="1:117" x14ac:dyDescent="0.35">
      <c r="E106" s="36"/>
      <c r="F106" s="37"/>
      <c r="G106" s="37"/>
      <c r="H106" s="116"/>
      <c r="I106" s="116"/>
      <c r="J106" s="124" t="str">
        <f t="shared" si="121"/>
        <v>-</v>
      </c>
      <c r="K106" s="38">
        <f t="shared" si="122"/>
        <v>0</v>
      </c>
      <c r="L106" s="39">
        <f t="shared" si="120"/>
        <v>0</v>
      </c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  <c r="BZ106" s="113"/>
      <c r="CA106" s="113"/>
      <c r="CB106" s="113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  <c r="CN106" s="113"/>
      <c r="CO106" s="113"/>
      <c r="CP106" s="113"/>
      <c r="CQ106" s="113"/>
      <c r="CR106" s="113"/>
      <c r="CS106" s="113"/>
      <c r="CT106" s="113"/>
      <c r="CU106" s="113"/>
      <c r="CV106" s="113"/>
      <c r="CW106" s="113"/>
      <c r="CX106" s="113"/>
      <c r="CY106" s="113"/>
      <c r="CZ106" s="113"/>
      <c r="DA106" s="113"/>
      <c r="DB106" s="113"/>
      <c r="DC106" s="113"/>
      <c r="DD106" s="113"/>
      <c r="DE106" s="113"/>
      <c r="DF106" s="113"/>
      <c r="DG106" s="113"/>
      <c r="DH106" s="113"/>
      <c r="DI106" s="113"/>
      <c r="DJ106" s="113"/>
      <c r="DK106" s="113"/>
      <c r="DL106" s="114"/>
      <c r="DM106" s="47"/>
    </row>
    <row r="107" spans="1:117" x14ac:dyDescent="0.35">
      <c r="E107" s="36"/>
      <c r="F107" s="37"/>
      <c r="G107" s="37"/>
      <c r="H107" s="116"/>
      <c r="I107" s="116"/>
      <c r="J107" s="124" t="str">
        <f t="shared" si="121"/>
        <v>-</v>
      </c>
      <c r="K107" s="38">
        <f t="shared" si="122"/>
        <v>0</v>
      </c>
      <c r="L107" s="39">
        <f t="shared" si="120"/>
        <v>0</v>
      </c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K107" s="113"/>
      <c r="CL107" s="113"/>
      <c r="CM107" s="113"/>
      <c r="CN107" s="113"/>
      <c r="CO107" s="113"/>
      <c r="CP107" s="113"/>
      <c r="CQ107" s="113"/>
      <c r="CR107" s="113"/>
      <c r="CS107" s="113"/>
      <c r="CT107" s="113"/>
      <c r="CU107" s="113"/>
      <c r="CV107" s="113"/>
      <c r="CW107" s="113"/>
      <c r="CX107" s="113"/>
      <c r="CY107" s="113"/>
      <c r="CZ107" s="113"/>
      <c r="DA107" s="113"/>
      <c r="DB107" s="113"/>
      <c r="DC107" s="113"/>
      <c r="DD107" s="113"/>
      <c r="DE107" s="113"/>
      <c r="DF107" s="113"/>
      <c r="DG107" s="113"/>
      <c r="DH107" s="113"/>
      <c r="DI107" s="113"/>
      <c r="DJ107" s="113"/>
      <c r="DK107" s="113"/>
      <c r="DL107" s="114"/>
      <c r="DM107" s="47"/>
    </row>
    <row r="108" spans="1:117" x14ac:dyDescent="0.35">
      <c r="E108" s="36"/>
      <c r="F108" s="37"/>
      <c r="G108" s="37"/>
      <c r="H108" s="116"/>
      <c r="I108" s="116"/>
      <c r="J108" s="124" t="str">
        <f t="shared" si="121"/>
        <v>-</v>
      </c>
      <c r="K108" s="38">
        <f t="shared" si="122"/>
        <v>0</v>
      </c>
      <c r="L108" s="39">
        <f t="shared" si="120"/>
        <v>0</v>
      </c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J108" s="113"/>
      <c r="CK108" s="113"/>
      <c r="CL108" s="113"/>
      <c r="CM108" s="113"/>
      <c r="CN108" s="113"/>
      <c r="CO108" s="113"/>
      <c r="CP108" s="113"/>
      <c r="CQ108" s="113"/>
      <c r="CR108" s="113"/>
      <c r="CS108" s="113"/>
      <c r="CT108" s="113"/>
      <c r="CU108" s="113"/>
      <c r="CV108" s="113"/>
      <c r="CW108" s="113"/>
      <c r="CX108" s="113"/>
      <c r="CY108" s="113"/>
      <c r="CZ108" s="113"/>
      <c r="DA108" s="113"/>
      <c r="DB108" s="113"/>
      <c r="DC108" s="113"/>
      <c r="DD108" s="113"/>
      <c r="DE108" s="113"/>
      <c r="DF108" s="113"/>
      <c r="DG108" s="113"/>
      <c r="DH108" s="113"/>
      <c r="DI108" s="113"/>
      <c r="DJ108" s="113"/>
      <c r="DK108" s="113"/>
      <c r="DL108" s="114"/>
      <c r="DM108" s="47"/>
    </row>
    <row r="109" spans="1:117" x14ac:dyDescent="0.35">
      <c r="E109" s="36"/>
      <c r="F109" s="37"/>
      <c r="G109" s="37"/>
      <c r="H109" s="116"/>
      <c r="I109" s="116"/>
      <c r="J109" s="124" t="str">
        <f t="shared" si="121"/>
        <v>-</v>
      </c>
      <c r="K109" s="38">
        <f t="shared" si="122"/>
        <v>0</v>
      </c>
      <c r="L109" s="39">
        <f t="shared" si="120"/>
        <v>0</v>
      </c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  <c r="BZ109" s="113"/>
      <c r="CA109" s="113"/>
      <c r="CB109" s="113"/>
      <c r="CC109" s="113"/>
      <c r="CD109" s="113"/>
      <c r="CE109" s="113"/>
      <c r="CF109" s="113"/>
      <c r="CG109" s="113"/>
      <c r="CH109" s="113"/>
      <c r="CI109" s="113"/>
      <c r="CJ109" s="113"/>
      <c r="CK109" s="113"/>
      <c r="CL109" s="113"/>
      <c r="CM109" s="113"/>
      <c r="CN109" s="113"/>
      <c r="CO109" s="113"/>
      <c r="CP109" s="113"/>
      <c r="CQ109" s="113"/>
      <c r="CR109" s="113"/>
      <c r="CS109" s="113"/>
      <c r="CT109" s="113"/>
      <c r="CU109" s="113"/>
      <c r="CV109" s="113"/>
      <c r="CW109" s="113"/>
      <c r="CX109" s="113"/>
      <c r="CY109" s="113"/>
      <c r="CZ109" s="113"/>
      <c r="DA109" s="113"/>
      <c r="DB109" s="113"/>
      <c r="DC109" s="113"/>
      <c r="DD109" s="113"/>
      <c r="DE109" s="113"/>
      <c r="DF109" s="113"/>
      <c r="DG109" s="113"/>
      <c r="DH109" s="113"/>
      <c r="DI109" s="113"/>
      <c r="DJ109" s="113"/>
      <c r="DK109" s="113"/>
      <c r="DL109" s="114"/>
      <c r="DM109" s="47"/>
    </row>
    <row r="110" spans="1:117" x14ac:dyDescent="0.35">
      <c r="E110" s="36"/>
      <c r="F110" s="37"/>
      <c r="G110" s="37"/>
      <c r="H110" s="116"/>
      <c r="I110" s="116"/>
      <c r="J110" s="124" t="str">
        <f t="shared" si="121"/>
        <v>-</v>
      </c>
      <c r="K110" s="38">
        <f t="shared" si="122"/>
        <v>0</v>
      </c>
      <c r="L110" s="39">
        <f t="shared" si="120"/>
        <v>0</v>
      </c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  <c r="BZ110" s="113"/>
      <c r="CA110" s="113"/>
      <c r="CB110" s="113"/>
      <c r="CC110" s="113"/>
      <c r="CD110" s="113"/>
      <c r="CE110" s="113"/>
      <c r="CF110" s="113"/>
      <c r="CG110" s="113"/>
      <c r="CH110" s="113"/>
      <c r="CI110" s="113"/>
      <c r="CJ110" s="113"/>
      <c r="CK110" s="113"/>
      <c r="CL110" s="113"/>
      <c r="CM110" s="113"/>
      <c r="CN110" s="113"/>
      <c r="CO110" s="113"/>
      <c r="CP110" s="113"/>
      <c r="CQ110" s="113"/>
      <c r="CR110" s="113"/>
      <c r="CS110" s="113"/>
      <c r="CT110" s="113"/>
      <c r="CU110" s="113"/>
      <c r="CV110" s="113"/>
      <c r="CW110" s="113"/>
      <c r="CX110" s="113"/>
      <c r="CY110" s="113"/>
      <c r="CZ110" s="113"/>
      <c r="DA110" s="113"/>
      <c r="DB110" s="113"/>
      <c r="DC110" s="113"/>
      <c r="DD110" s="113"/>
      <c r="DE110" s="113"/>
      <c r="DF110" s="113"/>
      <c r="DG110" s="113"/>
      <c r="DH110" s="113"/>
      <c r="DI110" s="113"/>
      <c r="DJ110" s="113"/>
      <c r="DK110" s="113"/>
      <c r="DL110" s="114"/>
      <c r="DM110" s="47"/>
    </row>
    <row r="111" spans="1:117" x14ac:dyDescent="0.35">
      <c r="E111" s="36"/>
      <c r="F111" s="37"/>
      <c r="G111" s="37"/>
      <c r="H111" s="116"/>
      <c r="I111" s="116"/>
      <c r="J111" s="124" t="str">
        <f t="shared" si="121"/>
        <v>-</v>
      </c>
      <c r="K111" s="38">
        <f t="shared" si="122"/>
        <v>0</v>
      </c>
      <c r="L111" s="39">
        <f t="shared" si="120"/>
        <v>0</v>
      </c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E111" s="113"/>
      <c r="CF111" s="113"/>
      <c r="CG111" s="113"/>
      <c r="CH111" s="113"/>
      <c r="CI111" s="113"/>
      <c r="CJ111" s="113"/>
      <c r="CK111" s="113"/>
      <c r="CL111" s="113"/>
      <c r="CM111" s="113"/>
      <c r="CN111" s="113"/>
      <c r="CO111" s="113"/>
      <c r="CP111" s="113"/>
      <c r="CQ111" s="113"/>
      <c r="CR111" s="113"/>
      <c r="CS111" s="113"/>
      <c r="CT111" s="113"/>
      <c r="CU111" s="113"/>
      <c r="CV111" s="113"/>
      <c r="CW111" s="113"/>
      <c r="CX111" s="113"/>
      <c r="CY111" s="113"/>
      <c r="CZ111" s="113"/>
      <c r="DA111" s="113"/>
      <c r="DB111" s="113"/>
      <c r="DC111" s="113"/>
      <c r="DD111" s="113"/>
      <c r="DE111" s="113"/>
      <c r="DF111" s="113"/>
      <c r="DG111" s="113"/>
      <c r="DH111" s="113"/>
      <c r="DI111" s="113"/>
      <c r="DJ111" s="113"/>
      <c r="DK111" s="113"/>
      <c r="DL111" s="114"/>
      <c r="DM111" s="47"/>
    </row>
    <row r="112" spans="1:117" x14ac:dyDescent="0.35">
      <c r="E112" s="36"/>
      <c r="F112" s="37"/>
      <c r="G112" s="37"/>
      <c r="H112" s="116"/>
      <c r="I112" s="116"/>
      <c r="J112" s="124" t="str">
        <f t="shared" si="121"/>
        <v>-</v>
      </c>
      <c r="K112" s="38">
        <f t="shared" si="122"/>
        <v>0</v>
      </c>
      <c r="L112" s="39">
        <f t="shared" si="120"/>
        <v>0</v>
      </c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13"/>
      <c r="CL112" s="113"/>
      <c r="CM112" s="113"/>
      <c r="CN112" s="113"/>
      <c r="CO112" s="113"/>
      <c r="CP112" s="113"/>
      <c r="CQ112" s="113"/>
      <c r="CR112" s="113"/>
      <c r="CS112" s="113"/>
      <c r="CT112" s="113"/>
      <c r="CU112" s="113"/>
      <c r="CV112" s="113"/>
      <c r="CW112" s="113"/>
      <c r="CX112" s="113"/>
      <c r="CY112" s="113"/>
      <c r="CZ112" s="113"/>
      <c r="DA112" s="113"/>
      <c r="DB112" s="113"/>
      <c r="DC112" s="113"/>
      <c r="DD112" s="113"/>
      <c r="DE112" s="113"/>
      <c r="DF112" s="113"/>
      <c r="DG112" s="113"/>
      <c r="DH112" s="113"/>
      <c r="DI112" s="113"/>
      <c r="DJ112" s="113"/>
      <c r="DK112" s="113"/>
      <c r="DL112" s="114"/>
      <c r="DM112" s="47"/>
    </row>
    <row r="113" spans="5:117" x14ac:dyDescent="0.35">
      <c r="E113" s="36"/>
      <c r="F113" s="37"/>
      <c r="G113" s="37"/>
      <c r="H113" s="116"/>
      <c r="I113" s="116"/>
      <c r="J113" s="124" t="str">
        <f t="shared" si="121"/>
        <v>-</v>
      </c>
      <c r="K113" s="38">
        <f t="shared" si="122"/>
        <v>0</v>
      </c>
      <c r="L113" s="39">
        <f t="shared" si="120"/>
        <v>0</v>
      </c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  <c r="CN113" s="113"/>
      <c r="CO113" s="113"/>
      <c r="CP113" s="113"/>
      <c r="CQ113" s="113"/>
      <c r="CR113" s="113"/>
      <c r="CS113" s="113"/>
      <c r="CT113" s="113"/>
      <c r="CU113" s="113"/>
      <c r="CV113" s="113"/>
      <c r="CW113" s="113"/>
      <c r="CX113" s="113"/>
      <c r="CY113" s="113"/>
      <c r="CZ113" s="113"/>
      <c r="DA113" s="113"/>
      <c r="DB113" s="113"/>
      <c r="DC113" s="113"/>
      <c r="DD113" s="113"/>
      <c r="DE113" s="113"/>
      <c r="DF113" s="113"/>
      <c r="DG113" s="113"/>
      <c r="DH113" s="113"/>
      <c r="DI113" s="113"/>
      <c r="DJ113" s="113"/>
      <c r="DK113" s="113"/>
      <c r="DL113" s="114"/>
      <c r="DM113" s="47"/>
    </row>
    <row r="114" spans="5:117" x14ac:dyDescent="0.35">
      <c r="E114" s="36"/>
      <c r="F114" s="37"/>
      <c r="G114" s="37"/>
      <c r="H114" s="116"/>
      <c r="I114" s="116"/>
      <c r="J114" s="124" t="str">
        <f t="shared" si="121"/>
        <v>-</v>
      </c>
      <c r="K114" s="38">
        <f t="shared" si="122"/>
        <v>0</v>
      </c>
      <c r="L114" s="39">
        <f t="shared" si="120"/>
        <v>0</v>
      </c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13"/>
      <c r="DD114" s="113"/>
      <c r="DE114" s="113"/>
      <c r="DF114" s="113"/>
      <c r="DG114" s="113"/>
      <c r="DH114" s="113"/>
      <c r="DI114" s="113"/>
      <c r="DJ114" s="113"/>
      <c r="DK114" s="113"/>
      <c r="DL114" s="114"/>
      <c r="DM114" s="47"/>
    </row>
    <row r="115" spans="5:117" x14ac:dyDescent="0.35">
      <c r="E115" s="36"/>
      <c r="F115" s="37"/>
      <c r="G115" s="37"/>
      <c r="H115" s="116"/>
      <c r="I115" s="116"/>
      <c r="J115" s="124" t="str">
        <f t="shared" si="121"/>
        <v>-</v>
      </c>
      <c r="K115" s="38">
        <f t="shared" si="122"/>
        <v>0</v>
      </c>
      <c r="L115" s="39">
        <f t="shared" si="120"/>
        <v>0</v>
      </c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  <c r="CN115" s="113"/>
      <c r="CO115" s="113"/>
      <c r="CP115" s="113"/>
      <c r="CQ115" s="113"/>
      <c r="CR115" s="113"/>
      <c r="CS115" s="113"/>
      <c r="CT115" s="113"/>
      <c r="CU115" s="113"/>
      <c r="CV115" s="113"/>
      <c r="CW115" s="113"/>
      <c r="CX115" s="113"/>
      <c r="CY115" s="113"/>
      <c r="CZ115" s="113"/>
      <c r="DA115" s="113"/>
      <c r="DB115" s="113"/>
      <c r="DC115" s="113"/>
      <c r="DD115" s="113"/>
      <c r="DE115" s="113"/>
      <c r="DF115" s="113"/>
      <c r="DG115" s="113"/>
      <c r="DH115" s="113"/>
      <c r="DI115" s="113"/>
      <c r="DJ115" s="113"/>
      <c r="DK115" s="113"/>
      <c r="DL115" s="114"/>
      <c r="DM115" s="47"/>
    </row>
    <row r="116" spans="5:117" x14ac:dyDescent="0.35">
      <c r="E116" s="36"/>
      <c r="F116" s="37"/>
      <c r="G116" s="37"/>
      <c r="H116" s="116"/>
      <c r="I116" s="116"/>
      <c r="J116" s="124" t="str">
        <f t="shared" si="121"/>
        <v>-</v>
      </c>
      <c r="K116" s="38">
        <f t="shared" si="122"/>
        <v>0</v>
      </c>
      <c r="L116" s="39">
        <f t="shared" si="120"/>
        <v>0</v>
      </c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4"/>
      <c r="DM116" s="47"/>
    </row>
    <row r="117" spans="5:117" x14ac:dyDescent="0.35">
      <c r="E117" s="36"/>
      <c r="F117" s="37"/>
      <c r="G117" s="37"/>
      <c r="H117" s="116"/>
      <c r="I117" s="116"/>
      <c r="J117" s="124" t="str">
        <f t="shared" si="121"/>
        <v>-</v>
      </c>
      <c r="K117" s="38">
        <f t="shared" si="122"/>
        <v>0</v>
      </c>
      <c r="L117" s="39">
        <f t="shared" si="120"/>
        <v>0</v>
      </c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  <c r="BZ117" s="113"/>
      <c r="CA117" s="113"/>
      <c r="CB117" s="113"/>
      <c r="CC117" s="113"/>
      <c r="CD117" s="113"/>
      <c r="CE117" s="113"/>
      <c r="CF117" s="113"/>
      <c r="CG117" s="113"/>
      <c r="CH117" s="113"/>
      <c r="CI117" s="113"/>
      <c r="CJ117" s="113"/>
      <c r="CK117" s="113"/>
      <c r="CL117" s="113"/>
      <c r="CM117" s="113"/>
      <c r="CN117" s="113"/>
      <c r="CO117" s="113"/>
      <c r="CP117" s="113"/>
      <c r="CQ117" s="113"/>
      <c r="CR117" s="113"/>
      <c r="CS117" s="113"/>
      <c r="CT117" s="113"/>
      <c r="CU117" s="113"/>
      <c r="CV117" s="113"/>
      <c r="CW117" s="113"/>
      <c r="CX117" s="113"/>
      <c r="CY117" s="113"/>
      <c r="CZ117" s="113"/>
      <c r="DA117" s="113"/>
      <c r="DB117" s="113"/>
      <c r="DC117" s="113"/>
      <c r="DD117" s="113"/>
      <c r="DE117" s="113"/>
      <c r="DF117" s="113"/>
      <c r="DG117" s="113"/>
      <c r="DH117" s="113"/>
      <c r="DI117" s="113"/>
      <c r="DJ117" s="113"/>
      <c r="DK117" s="113"/>
      <c r="DL117" s="114"/>
      <c r="DM117" s="47"/>
    </row>
    <row r="118" spans="5:117" ht="15" thickBot="1" x14ac:dyDescent="0.4">
      <c r="E118" s="3" t="s">
        <v>275</v>
      </c>
      <c r="F118" s="41"/>
      <c r="G118" s="41"/>
      <c r="H118" s="41"/>
      <c r="I118" s="8" t="s">
        <v>150</v>
      </c>
      <c r="J118" s="125" t="str">
        <f>IFERROR(1-(K118/SUMPRODUCT(H88:H117,L88:L117)),"-")</f>
        <v>-</v>
      </c>
      <c r="K118" s="98">
        <f t="shared" ref="K118:AO118" si="123">SUM(K88:K117)</f>
        <v>0</v>
      </c>
      <c r="L118" s="99">
        <f t="shared" si="123"/>
        <v>0</v>
      </c>
      <c r="M118" s="4">
        <f t="shared" si="123"/>
        <v>0</v>
      </c>
      <c r="N118" s="4">
        <f t="shared" si="123"/>
        <v>0</v>
      </c>
      <c r="O118" s="4">
        <f t="shared" si="123"/>
        <v>0</v>
      </c>
      <c r="P118" s="4">
        <f t="shared" si="123"/>
        <v>0</v>
      </c>
      <c r="Q118" s="4">
        <f t="shared" si="123"/>
        <v>0</v>
      </c>
      <c r="R118" s="4">
        <f t="shared" si="123"/>
        <v>0</v>
      </c>
      <c r="S118" s="4">
        <f t="shared" si="123"/>
        <v>0</v>
      </c>
      <c r="T118" s="4">
        <f t="shared" si="123"/>
        <v>0</v>
      </c>
      <c r="U118" s="4">
        <f t="shared" si="123"/>
        <v>0</v>
      </c>
      <c r="V118" s="4">
        <f t="shared" si="123"/>
        <v>0</v>
      </c>
      <c r="W118" s="4">
        <f t="shared" si="123"/>
        <v>0</v>
      </c>
      <c r="X118" s="4">
        <f t="shared" si="123"/>
        <v>0</v>
      </c>
      <c r="Y118" s="4">
        <f t="shared" si="123"/>
        <v>0</v>
      </c>
      <c r="Z118" s="4">
        <f t="shared" si="123"/>
        <v>0</v>
      </c>
      <c r="AA118" s="4">
        <f t="shared" si="123"/>
        <v>0</v>
      </c>
      <c r="AB118" s="4">
        <f t="shared" si="123"/>
        <v>0</v>
      </c>
      <c r="AC118" s="4">
        <f t="shared" si="123"/>
        <v>0</v>
      </c>
      <c r="AD118" s="4">
        <f t="shared" si="123"/>
        <v>0</v>
      </c>
      <c r="AE118" s="4">
        <f t="shared" si="123"/>
        <v>0</v>
      </c>
      <c r="AF118" s="4">
        <f t="shared" si="123"/>
        <v>0</v>
      </c>
      <c r="AG118" s="4">
        <f t="shared" si="123"/>
        <v>0</v>
      </c>
      <c r="AH118" s="4">
        <f t="shared" si="123"/>
        <v>0</v>
      </c>
      <c r="AI118" s="4">
        <f t="shared" si="123"/>
        <v>0</v>
      </c>
      <c r="AJ118" s="4">
        <f t="shared" si="123"/>
        <v>0</v>
      </c>
      <c r="AK118" s="4">
        <f t="shared" si="123"/>
        <v>0</v>
      </c>
      <c r="AL118" s="4">
        <f t="shared" si="123"/>
        <v>0</v>
      </c>
      <c r="AM118" s="4">
        <f t="shared" si="123"/>
        <v>0</v>
      </c>
      <c r="AN118" s="4">
        <f t="shared" si="123"/>
        <v>0</v>
      </c>
      <c r="AO118" s="4">
        <f t="shared" si="123"/>
        <v>0</v>
      </c>
      <c r="AP118" s="4">
        <f t="shared" ref="AP118:BU118" si="124">SUM(AP88:AP117)</f>
        <v>0</v>
      </c>
      <c r="AQ118" s="4">
        <f t="shared" si="124"/>
        <v>0</v>
      </c>
      <c r="AR118" s="4">
        <f t="shared" si="124"/>
        <v>0</v>
      </c>
      <c r="AS118" s="4">
        <f t="shared" si="124"/>
        <v>0</v>
      </c>
      <c r="AT118" s="4">
        <f t="shared" si="124"/>
        <v>0</v>
      </c>
      <c r="AU118" s="4">
        <f t="shared" si="124"/>
        <v>0</v>
      </c>
      <c r="AV118" s="4">
        <f t="shared" si="124"/>
        <v>0</v>
      </c>
      <c r="AW118" s="4">
        <f t="shared" si="124"/>
        <v>0</v>
      </c>
      <c r="AX118" s="4">
        <f t="shared" si="124"/>
        <v>0</v>
      </c>
      <c r="AY118" s="4">
        <f t="shared" si="124"/>
        <v>0</v>
      </c>
      <c r="AZ118" s="4">
        <f t="shared" si="124"/>
        <v>0</v>
      </c>
      <c r="BA118" s="4">
        <f t="shared" si="124"/>
        <v>0</v>
      </c>
      <c r="BB118" s="4">
        <f t="shared" si="124"/>
        <v>0</v>
      </c>
      <c r="BC118" s="4">
        <f t="shared" si="124"/>
        <v>0</v>
      </c>
      <c r="BD118" s="4">
        <f t="shared" si="124"/>
        <v>0</v>
      </c>
      <c r="BE118" s="4">
        <f t="shared" si="124"/>
        <v>0</v>
      </c>
      <c r="BF118" s="4">
        <f t="shared" si="124"/>
        <v>0</v>
      </c>
      <c r="BG118" s="4">
        <f t="shared" si="124"/>
        <v>0</v>
      </c>
      <c r="BH118" s="4">
        <f t="shared" si="124"/>
        <v>0</v>
      </c>
      <c r="BI118" s="4">
        <f t="shared" si="124"/>
        <v>0</v>
      </c>
      <c r="BJ118" s="4">
        <f t="shared" si="124"/>
        <v>0</v>
      </c>
      <c r="BK118" s="4">
        <f t="shared" si="124"/>
        <v>0</v>
      </c>
      <c r="BL118" s="4">
        <f t="shared" si="124"/>
        <v>0</v>
      </c>
      <c r="BM118" s="4">
        <f t="shared" si="124"/>
        <v>0</v>
      </c>
      <c r="BN118" s="4">
        <f t="shared" si="124"/>
        <v>0</v>
      </c>
      <c r="BO118" s="4">
        <f t="shared" si="124"/>
        <v>0</v>
      </c>
      <c r="BP118" s="4">
        <f t="shared" si="124"/>
        <v>0</v>
      </c>
      <c r="BQ118" s="4">
        <f t="shared" si="124"/>
        <v>0</v>
      </c>
      <c r="BR118" s="4">
        <f t="shared" si="124"/>
        <v>0</v>
      </c>
      <c r="BS118" s="4">
        <f t="shared" si="124"/>
        <v>0</v>
      </c>
      <c r="BT118" s="4">
        <f t="shared" si="124"/>
        <v>0</v>
      </c>
      <c r="BU118" s="4">
        <f t="shared" si="124"/>
        <v>0</v>
      </c>
      <c r="BV118" s="4">
        <f t="shared" ref="BV118:DA118" si="125">SUM(BV88:BV117)</f>
        <v>0</v>
      </c>
      <c r="BW118" s="4">
        <f t="shared" si="125"/>
        <v>0</v>
      </c>
      <c r="BX118" s="4">
        <f t="shared" si="125"/>
        <v>0</v>
      </c>
      <c r="BY118" s="4">
        <f t="shared" si="125"/>
        <v>0</v>
      </c>
      <c r="BZ118" s="4">
        <f t="shared" si="125"/>
        <v>0</v>
      </c>
      <c r="CA118" s="4">
        <f t="shared" si="125"/>
        <v>0</v>
      </c>
      <c r="CB118" s="4">
        <f t="shared" si="125"/>
        <v>0</v>
      </c>
      <c r="CC118" s="4">
        <f t="shared" si="125"/>
        <v>0</v>
      </c>
      <c r="CD118" s="4">
        <f t="shared" si="125"/>
        <v>0</v>
      </c>
      <c r="CE118" s="4">
        <f t="shared" si="125"/>
        <v>0</v>
      </c>
      <c r="CF118" s="4">
        <f t="shared" si="125"/>
        <v>0</v>
      </c>
      <c r="CG118" s="4">
        <f t="shared" si="125"/>
        <v>0</v>
      </c>
      <c r="CH118" s="4">
        <f t="shared" si="125"/>
        <v>0</v>
      </c>
      <c r="CI118" s="4">
        <f t="shared" si="125"/>
        <v>0</v>
      </c>
      <c r="CJ118" s="4">
        <f t="shared" si="125"/>
        <v>0</v>
      </c>
      <c r="CK118" s="4">
        <f t="shared" si="125"/>
        <v>0</v>
      </c>
      <c r="CL118" s="4">
        <f t="shared" si="125"/>
        <v>0</v>
      </c>
      <c r="CM118" s="4">
        <f t="shared" si="125"/>
        <v>0</v>
      </c>
      <c r="CN118" s="4">
        <f t="shared" si="125"/>
        <v>0</v>
      </c>
      <c r="CO118" s="4">
        <f t="shared" si="125"/>
        <v>0</v>
      </c>
      <c r="CP118" s="4">
        <f t="shared" si="125"/>
        <v>0</v>
      </c>
      <c r="CQ118" s="4">
        <f t="shared" si="125"/>
        <v>0</v>
      </c>
      <c r="CR118" s="4">
        <f t="shared" si="125"/>
        <v>0</v>
      </c>
      <c r="CS118" s="4">
        <f t="shared" si="125"/>
        <v>0</v>
      </c>
      <c r="CT118" s="4">
        <f t="shared" si="125"/>
        <v>0</v>
      </c>
      <c r="CU118" s="4">
        <f t="shared" si="125"/>
        <v>0</v>
      </c>
      <c r="CV118" s="4">
        <f t="shared" si="125"/>
        <v>0</v>
      </c>
      <c r="CW118" s="4">
        <f t="shared" si="125"/>
        <v>0</v>
      </c>
      <c r="CX118" s="4">
        <f t="shared" si="125"/>
        <v>0</v>
      </c>
      <c r="CY118" s="4">
        <f t="shared" si="125"/>
        <v>0</v>
      </c>
      <c r="CZ118" s="4">
        <f t="shared" si="125"/>
        <v>0</v>
      </c>
      <c r="DA118" s="4">
        <f t="shared" si="125"/>
        <v>0</v>
      </c>
      <c r="DB118" s="4">
        <f t="shared" ref="DB118:DL118" si="126">SUM(DB88:DB117)</f>
        <v>0</v>
      </c>
      <c r="DC118" s="4">
        <f t="shared" si="126"/>
        <v>0</v>
      </c>
      <c r="DD118" s="4">
        <f t="shared" si="126"/>
        <v>0</v>
      </c>
      <c r="DE118" s="4">
        <f t="shared" si="126"/>
        <v>0</v>
      </c>
      <c r="DF118" s="4">
        <f t="shared" si="126"/>
        <v>0</v>
      </c>
      <c r="DG118" s="4">
        <f t="shared" si="126"/>
        <v>0</v>
      </c>
      <c r="DH118" s="4">
        <f t="shared" si="126"/>
        <v>0</v>
      </c>
      <c r="DI118" s="4">
        <f t="shared" si="126"/>
        <v>0</v>
      </c>
      <c r="DJ118" s="4">
        <f t="shared" si="126"/>
        <v>0</v>
      </c>
      <c r="DK118" s="4">
        <f t="shared" si="126"/>
        <v>0</v>
      </c>
      <c r="DL118" s="4">
        <f t="shared" si="126"/>
        <v>0</v>
      </c>
      <c r="DM118" s="47"/>
    </row>
    <row r="119" spans="5:117" ht="15" thickBot="1" x14ac:dyDescent="0.4"/>
    <row r="120" spans="5:117" ht="15" thickBot="1" x14ac:dyDescent="0.4">
      <c r="E120" s="43" t="s">
        <v>263</v>
      </c>
      <c r="M120" s="48"/>
    </row>
    <row r="121" spans="5:117" x14ac:dyDescent="0.35">
      <c r="E121" s="28" t="s">
        <v>29</v>
      </c>
      <c r="F121" s="32" t="s">
        <v>145</v>
      </c>
      <c r="G121" s="32" t="s">
        <v>265</v>
      </c>
      <c r="H121" s="32" t="s">
        <v>143</v>
      </c>
      <c r="I121" s="33" t="s">
        <v>264</v>
      </c>
      <c r="J121" s="33" t="s">
        <v>258</v>
      </c>
      <c r="K121" s="33" t="s">
        <v>142</v>
      </c>
      <c r="L121" s="33" t="s">
        <v>34</v>
      </c>
      <c r="M121" s="34" t="s">
        <v>35</v>
      </c>
      <c r="N121" s="33" t="s">
        <v>36</v>
      </c>
      <c r="O121" s="33" t="s">
        <v>37</v>
      </c>
      <c r="P121" s="33" t="s">
        <v>38</v>
      </c>
      <c r="Q121" s="33" t="s">
        <v>39</v>
      </c>
      <c r="R121" s="33" t="s">
        <v>40</v>
      </c>
      <c r="S121" s="33" t="s">
        <v>41</v>
      </c>
      <c r="T121" s="33" t="s">
        <v>42</v>
      </c>
      <c r="U121" s="33" t="s">
        <v>43</v>
      </c>
      <c r="V121" s="33" t="s">
        <v>44</v>
      </c>
      <c r="W121" s="33" t="s">
        <v>45</v>
      </c>
      <c r="X121" s="33" t="s">
        <v>46</v>
      </c>
      <c r="Y121" s="33" t="s">
        <v>47</v>
      </c>
      <c r="Z121" s="33" t="s">
        <v>48</v>
      </c>
      <c r="AA121" s="33" t="s">
        <v>49</v>
      </c>
      <c r="AB121" s="33" t="s">
        <v>50</v>
      </c>
      <c r="AC121" s="33" t="s">
        <v>51</v>
      </c>
      <c r="AD121" s="33" t="s">
        <v>52</v>
      </c>
      <c r="AE121" s="33" t="s">
        <v>53</v>
      </c>
      <c r="AF121" s="33" t="s">
        <v>54</v>
      </c>
      <c r="AG121" s="33" t="s">
        <v>55</v>
      </c>
      <c r="AH121" s="33" t="s">
        <v>56</v>
      </c>
      <c r="AI121" s="33" t="s">
        <v>57</v>
      </c>
      <c r="AJ121" s="33" t="s">
        <v>58</v>
      </c>
      <c r="AK121" s="33" t="s">
        <v>59</v>
      </c>
      <c r="AL121" s="33" t="s">
        <v>60</v>
      </c>
      <c r="AM121" s="33" t="s">
        <v>61</v>
      </c>
      <c r="AN121" s="33" t="s">
        <v>62</v>
      </c>
      <c r="AO121" s="33" t="s">
        <v>63</v>
      </c>
      <c r="AP121" s="33" t="s">
        <v>64</v>
      </c>
      <c r="AQ121" s="33" t="s">
        <v>65</v>
      </c>
      <c r="AR121" s="33" t="s">
        <v>66</v>
      </c>
      <c r="AS121" s="33" t="s">
        <v>67</v>
      </c>
      <c r="AT121" s="33" t="s">
        <v>68</v>
      </c>
      <c r="AU121" s="33" t="s">
        <v>69</v>
      </c>
      <c r="AV121" s="33" t="s">
        <v>70</v>
      </c>
      <c r="AW121" s="33" t="s">
        <v>71</v>
      </c>
      <c r="AX121" s="33" t="s">
        <v>72</v>
      </c>
      <c r="AY121" s="33" t="s">
        <v>73</v>
      </c>
      <c r="AZ121" s="33" t="s">
        <v>74</v>
      </c>
      <c r="BA121" s="33" t="s">
        <v>75</v>
      </c>
      <c r="BB121" s="33" t="s">
        <v>76</v>
      </c>
      <c r="BC121" s="33" t="s">
        <v>77</v>
      </c>
      <c r="BD121" s="33" t="s">
        <v>78</v>
      </c>
      <c r="BE121" s="33" t="s">
        <v>79</v>
      </c>
      <c r="BF121" s="33" t="s">
        <v>80</v>
      </c>
      <c r="BG121" s="33" t="s">
        <v>81</v>
      </c>
      <c r="BH121" s="33" t="s">
        <v>82</v>
      </c>
      <c r="BI121" s="33" t="s">
        <v>83</v>
      </c>
      <c r="BJ121" s="33" t="s">
        <v>84</v>
      </c>
      <c r="BK121" s="33" t="s">
        <v>85</v>
      </c>
      <c r="BL121" s="33" t="s">
        <v>86</v>
      </c>
      <c r="BM121" s="33" t="s">
        <v>87</v>
      </c>
      <c r="BN121" s="33" t="s">
        <v>88</v>
      </c>
      <c r="BO121" s="33" t="s">
        <v>89</v>
      </c>
      <c r="BP121" s="33" t="s">
        <v>90</v>
      </c>
      <c r="BQ121" s="33" t="s">
        <v>91</v>
      </c>
      <c r="BR121" s="33" t="s">
        <v>92</v>
      </c>
      <c r="BS121" s="33" t="s">
        <v>93</v>
      </c>
      <c r="BT121" s="33" t="s">
        <v>94</v>
      </c>
      <c r="BU121" s="33" t="s">
        <v>95</v>
      </c>
      <c r="BV121" s="33" t="s">
        <v>96</v>
      </c>
      <c r="BW121" s="33" t="s">
        <v>97</v>
      </c>
      <c r="BX121" s="33" t="s">
        <v>98</v>
      </c>
      <c r="BY121" s="33" t="s">
        <v>99</v>
      </c>
      <c r="BZ121" s="33" t="s">
        <v>100</v>
      </c>
      <c r="CA121" s="33" t="s">
        <v>101</v>
      </c>
      <c r="CB121" s="33" t="s">
        <v>102</v>
      </c>
      <c r="CC121" s="33" t="s">
        <v>103</v>
      </c>
      <c r="CD121" s="33" t="s">
        <v>104</v>
      </c>
      <c r="CE121" s="33" t="s">
        <v>105</v>
      </c>
      <c r="CF121" s="33" t="s">
        <v>106</v>
      </c>
      <c r="CG121" s="33" t="s">
        <v>107</v>
      </c>
      <c r="CH121" s="33" t="s">
        <v>108</v>
      </c>
      <c r="CI121" s="33" t="s">
        <v>109</v>
      </c>
      <c r="CJ121" s="33" t="s">
        <v>110</v>
      </c>
      <c r="CK121" s="33" t="s">
        <v>111</v>
      </c>
      <c r="CL121" s="33" t="s">
        <v>112</v>
      </c>
      <c r="CM121" s="33" t="s">
        <v>113</v>
      </c>
      <c r="CN121" s="33" t="s">
        <v>114</v>
      </c>
      <c r="CO121" s="33" t="s">
        <v>115</v>
      </c>
      <c r="CP121" s="33" t="s">
        <v>116</v>
      </c>
      <c r="CQ121" s="33" t="s">
        <v>117</v>
      </c>
      <c r="CR121" s="33" t="s">
        <v>118</v>
      </c>
      <c r="CS121" s="33" t="s">
        <v>119</v>
      </c>
      <c r="CT121" s="33" t="s">
        <v>120</v>
      </c>
      <c r="CU121" s="33" t="s">
        <v>121</v>
      </c>
      <c r="CV121" s="33" t="s">
        <v>122</v>
      </c>
      <c r="CW121" s="33" t="s">
        <v>123</v>
      </c>
      <c r="CX121" s="33" t="s">
        <v>124</v>
      </c>
      <c r="CY121" s="33" t="s">
        <v>125</v>
      </c>
      <c r="CZ121" s="33" t="s">
        <v>126</v>
      </c>
      <c r="DA121" s="33" t="s">
        <v>127</v>
      </c>
      <c r="DB121" s="33" t="s">
        <v>128</v>
      </c>
      <c r="DC121" s="33" t="s">
        <v>129</v>
      </c>
      <c r="DD121" s="33" t="s">
        <v>130</v>
      </c>
      <c r="DE121" s="33" t="s">
        <v>131</v>
      </c>
      <c r="DF121" s="33" t="s">
        <v>132</v>
      </c>
      <c r="DG121" s="33" t="s">
        <v>133</v>
      </c>
      <c r="DH121" s="33" t="s">
        <v>134</v>
      </c>
      <c r="DI121" s="33" t="s">
        <v>135</v>
      </c>
      <c r="DJ121" s="33" t="s">
        <v>136</v>
      </c>
      <c r="DK121" s="33" t="s">
        <v>137</v>
      </c>
      <c r="DL121" s="33" t="s">
        <v>138</v>
      </c>
      <c r="DM121" s="45"/>
    </row>
    <row r="122" spans="5:117" x14ac:dyDescent="0.35">
      <c r="E122" s="111"/>
      <c r="F122" s="112"/>
      <c r="G122" s="112"/>
      <c r="H122" s="116"/>
      <c r="I122" s="116"/>
      <c r="J122" s="38">
        <f>H122*M122</f>
        <v>0</v>
      </c>
      <c r="K122" s="38">
        <f>I122*L122</f>
        <v>0</v>
      </c>
      <c r="L122" s="39">
        <f t="shared" ref="L122:L151" si="127">SUM(M122:DL122)</f>
        <v>0</v>
      </c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  <c r="BZ122" s="113"/>
      <c r="CA122" s="113"/>
      <c r="CB122" s="113"/>
      <c r="CC122" s="113"/>
      <c r="CD122" s="113"/>
      <c r="CE122" s="113"/>
      <c r="CF122" s="113"/>
      <c r="CG122" s="113"/>
      <c r="CH122" s="113"/>
      <c r="CI122" s="113"/>
      <c r="CJ122" s="113"/>
      <c r="CK122" s="113"/>
      <c r="CL122" s="113"/>
      <c r="CM122" s="113"/>
      <c r="CN122" s="113"/>
      <c r="CO122" s="113"/>
      <c r="CP122" s="113"/>
      <c r="CQ122" s="113"/>
      <c r="CR122" s="113"/>
      <c r="CS122" s="113"/>
      <c r="CT122" s="113"/>
      <c r="CU122" s="113"/>
      <c r="CV122" s="113"/>
      <c r="CW122" s="113"/>
      <c r="CX122" s="113"/>
      <c r="CY122" s="113"/>
      <c r="CZ122" s="113"/>
      <c r="DA122" s="113"/>
      <c r="DB122" s="113"/>
      <c r="DC122" s="113"/>
      <c r="DD122" s="113"/>
      <c r="DE122" s="113"/>
      <c r="DF122" s="113"/>
      <c r="DG122" s="113"/>
      <c r="DH122" s="113"/>
      <c r="DI122" s="113"/>
      <c r="DJ122" s="113"/>
      <c r="DK122" s="113"/>
      <c r="DL122" s="114"/>
      <c r="DM122" s="47"/>
    </row>
    <row r="123" spans="5:117" x14ac:dyDescent="0.35">
      <c r="E123" s="111"/>
      <c r="F123" s="112"/>
      <c r="G123" s="112"/>
      <c r="H123" s="116"/>
      <c r="I123" s="116"/>
      <c r="J123" s="38">
        <f t="shared" ref="J123:J151" si="128">H123*M123</f>
        <v>0</v>
      </c>
      <c r="K123" s="38">
        <f t="shared" ref="K123:K151" si="129">I123*L123</f>
        <v>0</v>
      </c>
      <c r="L123" s="39">
        <f t="shared" si="127"/>
        <v>0</v>
      </c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  <c r="BZ123" s="113"/>
      <c r="CA123" s="113"/>
      <c r="CB123" s="113"/>
      <c r="CC123" s="113"/>
      <c r="CD123" s="113"/>
      <c r="CE123" s="113"/>
      <c r="CF123" s="113"/>
      <c r="CG123" s="113"/>
      <c r="CH123" s="113"/>
      <c r="CI123" s="113"/>
      <c r="CJ123" s="113"/>
      <c r="CK123" s="113"/>
      <c r="CL123" s="113"/>
      <c r="CM123" s="113"/>
      <c r="CN123" s="113"/>
      <c r="CO123" s="113"/>
      <c r="CP123" s="113"/>
      <c r="CQ123" s="113"/>
      <c r="CR123" s="113"/>
      <c r="CS123" s="113"/>
      <c r="CT123" s="113"/>
      <c r="CU123" s="113"/>
      <c r="CV123" s="113"/>
      <c r="CW123" s="113"/>
      <c r="CX123" s="113"/>
      <c r="CY123" s="113"/>
      <c r="CZ123" s="113"/>
      <c r="DA123" s="113"/>
      <c r="DB123" s="113"/>
      <c r="DC123" s="113"/>
      <c r="DD123" s="113"/>
      <c r="DE123" s="113"/>
      <c r="DF123" s="113"/>
      <c r="DG123" s="113"/>
      <c r="DH123" s="113"/>
      <c r="DI123" s="113"/>
      <c r="DJ123" s="113"/>
      <c r="DK123" s="113"/>
      <c r="DL123" s="114"/>
      <c r="DM123" s="47"/>
    </row>
    <row r="124" spans="5:117" x14ac:dyDescent="0.35">
      <c r="E124" s="111"/>
      <c r="F124" s="112"/>
      <c r="G124" s="112"/>
      <c r="H124" s="116"/>
      <c r="I124" s="116"/>
      <c r="J124" s="38">
        <f t="shared" si="128"/>
        <v>0</v>
      </c>
      <c r="K124" s="38">
        <f t="shared" si="129"/>
        <v>0</v>
      </c>
      <c r="L124" s="39">
        <f t="shared" si="127"/>
        <v>0</v>
      </c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4"/>
      <c r="DM124" s="47"/>
    </row>
    <row r="125" spans="5:117" x14ac:dyDescent="0.35">
      <c r="E125" s="111"/>
      <c r="F125" s="112"/>
      <c r="G125" s="112"/>
      <c r="H125" s="116"/>
      <c r="I125" s="116"/>
      <c r="J125" s="38">
        <f t="shared" si="128"/>
        <v>0</v>
      </c>
      <c r="K125" s="38">
        <f t="shared" si="129"/>
        <v>0</v>
      </c>
      <c r="L125" s="39">
        <f t="shared" si="127"/>
        <v>0</v>
      </c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4"/>
      <c r="DM125" s="47"/>
    </row>
    <row r="126" spans="5:117" x14ac:dyDescent="0.35">
      <c r="E126" s="111"/>
      <c r="F126" s="112"/>
      <c r="G126" s="112"/>
      <c r="H126" s="116"/>
      <c r="I126" s="116"/>
      <c r="J126" s="38">
        <f t="shared" si="128"/>
        <v>0</v>
      </c>
      <c r="K126" s="38">
        <f t="shared" si="129"/>
        <v>0</v>
      </c>
      <c r="L126" s="39">
        <f t="shared" si="127"/>
        <v>0</v>
      </c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4"/>
      <c r="DM126" s="47"/>
    </row>
    <row r="127" spans="5:117" x14ac:dyDescent="0.35">
      <c r="E127" s="111"/>
      <c r="F127" s="112"/>
      <c r="G127" s="112"/>
      <c r="H127" s="116"/>
      <c r="I127" s="116"/>
      <c r="J127" s="38">
        <f t="shared" si="128"/>
        <v>0</v>
      </c>
      <c r="K127" s="38">
        <f t="shared" si="129"/>
        <v>0</v>
      </c>
      <c r="L127" s="39">
        <f t="shared" si="127"/>
        <v>0</v>
      </c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4"/>
      <c r="DM127" s="47"/>
    </row>
    <row r="128" spans="5:117" x14ac:dyDescent="0.35">
      <c r="E128" s="111"/>
      <c r="F128" s="112"/>
      <c r="G128" s="112"/>
      <c r="H128" s="116"/>
      <c r="I128" s="116"/>
      <c r="J128" s="38">
        <f t="shared" si="128"/>
        <v>0</v>
      </c>
      <c r="K128" s="38">
        <f t="shared" si="129"/>
        <v>0</v>
      </c>
      <c r="L128" s="39">
        <f t="shared" si="127"/>
        <v>0</v>
      </c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4"/>
      <c r="DM128" s="47"/>
    </row>
    <row r="129" spans="5:117" x14ac:dyDescent="0.35">
      <c r="E129" s="111"/>
      <c r="F129" s="112"/>
      <c r="G129" s="112"/>
      <c r="H129" s="116"/>
      <c r="I129" s="116"/>
      <c r="J129" s="38">
        <f t="shared" si="128"/>
        <v>0</v>
      </c>
      <c r="K129" s="38">
        <f t="shared" si="129"/>
        <v>0</v>
      </c>
      <c r="L129" s="39">
        <f t="shared" si="127"/>
        <v>0</v>
      </c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4"/>
      <c r="DM129" s="47"/>
    </row>
    <row r="130" spans="5:117" x14ac:dyDescent="0.35">
      <c r="E130" s="111"/>
      <c r="F130" s="112"/>
      <c r="G130" s="112"/>
      <c r="H130" s="116"/>
      <c r="I130" s="116"/>
      <c r="J130" s="38">
        <f t="shared" si="128"/>
        <v>0</v>
      </c>
      <c r="K130" s="38">
        <f t="shared" si="129"/>
        <v>0</v>
      </c>
      <c r="L130" s="39">
        <f t="shared" si="127"/>
        <v>0</v>
      </c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4"/>
      <c r="DM130" s="47"/>
    </row>
    <row r="131" spans="5:117" x14ac:dyDescent="0.35">
      <c r="E131" s="111"/>
      <c r="F131" s="112"/>
      <c r="G131" s="112"/>
      <c r="H131" s="116"/>
      <c r="I131" s="116"/>
      <c r="J131" s="38">
        <f t="shared" si="128"/>
        <v>0</v>
      </c>
      <c r="K131" s="38">
        <f t="shared" si="129"/>
        <v>0</v>
      </c>
      <c r="L131" s="39">
        <f t="shared" si="127"/>
        <v>0</v>
      </c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4"/>
      <c r="DM131" s="47"/>
    </row>
    <row r="132" spans="5:117" x14ac:dyDescent="0.35">
      <c r="E132" s="111"/>
      <c r="F132" s="112"/>
      <c r="G132" s="112"/>
      <c r="H132" s="116"/>
      <c r="I132" s="116"/>
      <c r="J132" s="118">
        <f t="shared" si="128"/>
        <v>0</v>
      </c>
      <c r="K132" s="118">
        <f t="shared" si="129"/>
        <v>0</v>
      </c>
      <c r="L132" s="119">
        <f t="shared" si="127"/>
        <v>0</v>
      </c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4"/>
      <c r="DM132" s="47"/>
    </row>
    <row r="133" spans="5:117" hidden="1" x14ac:dyDescent="0.35">
      <c r="E133" s="36"/>
      <c r="F133" s="37"/>
      <c r="G133" s="37"/>
      <c r="H133" s="116"/>
      <c r="I133" s="116"/>
      <c r="J133" s="118">
        <f t="shared" si="128"/>
        <v>0</v>
      </c>
      <c r="K133" s="118">
        <f t="shared" si="129"/>
        <v>0</v>
      </c>
      <c r="L133" s="119">
        <f t="shared" si="127"/>
        <v>0</v>
      </c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4"/>
      <c r="DM133" s="47"/>
    </row>
    <row r="134" spans="5:117" hidden="1" x14ac:dyDescent="0.35">
      <c r="E134" s="36"/>
      <c r="F134" s="37"/>
      <c r="G134" s="37"/>
      <c r="H134" s="116"/>
      <c r="I134" s="116"/>
      <c r="J134" s="118">
        <f t="shared" si="128"/>
        <v>0</v>
      </c>
      <c r="K134" s="118">
        <f t="shared" si="129"/>
        <v>0</v>
      </c>
      <c r="L134" s="119">
        <f t="shared" si="127"/>
        <v>0</v>
      </c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4"/>
      <c r="DM134" s="47"/>
    </row>
    <row r="135" spans="5:117" hidden="1" x14ac:dyDescent="0.35">
      <c r="E135" s="36"/>
      <c r="F135" s="37"/>
      <c r="G135" s="37"/>
      <c r="H135" s="116"/>
      <c r="I135" s="116"/>
      <c r="J135" s="118">
        <f t="shared" si="128"/>
        <v>0</v>
      </c>
      <c r="K135" s="118">
        <f t="shared" si="129"/>
        <v>0</v>
      </c>
      <c r="L135" s="119">
        <f t="shared" si="127"/>
        <v>0</v>
      </c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4"/>
      <c r="DM135" s="47"/>
    </row>
    <row r="136" spans="5:117" hidden="1" x14ac:dyDescent="0.35">
      <c r="E136" s="36"/>
      <c r="F136" s="37"/>
      <c r="G136" s="37"/>
      <c r="H136" s="116"/>
      <c r="I136" s="116"/>
      <c r="J136" s="118">
        <f t="shared" si="128"/>
        <v>0</v>
      </c>
      <c r="K136" s="118">
        <f t="shared" si="129"/>
        <v>0</v>
      </c>
      <c r="L136" s="119">
        <f t="shared" si="127"/>
        <v>0</v>
      </c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4"/>
      <c r="DM136" s="47"/>
    </row>
    <row r="137" spans="5:117" hidden="1" x14ac:dyDescent="0.35">
      <c r="E137" s="36"/>
      <c r="F137" s="37"/>
      <c r="G137" s="37"/>
      <c r="H137" s="116"/>
      <c r="I137" s="116"/>
      <c r="J137" s="118">
        <f t="shared" si="128"/>
        <v>0</v>
      </c>
      <c r="K137" s="118">
        <f t="shared" si="129"/>
        <v>0</v>
      </c>
      <c r="L137" s="119">
        <f t="shared" si="127"/>
        <v>0</v>
      </c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4"/>
      <c r="DM137" s="47"/>
    </row>
    <row r="138" spans="5:117" hidden="1" x14ac:dyDescent="0.35">
      <c r="E138" s="36"/>
      <c r="F138" s="37"/>
      <c r="G138" s="37"/>
      <c r="H138" s="116"/>
      <c r="I138" s="116"/>
      <c r="J138" s="118">
        <f t="shared" si="128"/>
        <v>0</v>
      </c>
      <c r="K138" s="118">
        <f t="shared" si="129"/>
        <v>0</v>
      </c>
      <c r="L138" s="119">
        <f t="shared" si="127"/>
        <v>0</v>
      </c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4"/>
      <c r="DM138" s="47"/>
    </row>
    <row r="139" spans="5:117" hidden="1" x14ac:dyDescent="0.35">
      <c r="E139" s="36"/>
      <c r="F139" s="37"/>
      <c r="G139" s="37"/>
      <c r="H139" s="116"/>
      <c r="I139" s="116"/>
      <c r="J139" s="118">
        <f t="shared" si="128"/>
        <v>0</v>
      </c>
      <c r="K139" s="118">
        <f t="shared" si="129"/>
        <v>0</v>
      </c>
      <c r="L139" s="119">
        <f t="shared" si="127"/>
        <v>0</v>
      </c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4"/>
      <c r="DM139" s="47"/>
    </row>
    <row r="140" spans="5:117" hidden="1" x14ac:dyDescent="0.35">
      <c r="E140" s="36"/>
      <c r="F140" s="37"/>
      <c r="G140" s="37"/>
      <c r="H140" s="116"/>
      <c r="I140" s="116"/>
      <c r="J140" s="118">
        <f t="shared" si="128"/>
        <v>0</v>
      </c>
      <c r="K140" s="118">
        <f t="shared" si="129"/>
        <v>0</v>
      </c>
      <c r="L140" s="119">
        <f t="shared" si="127"/>
        <v>0</v>
      </c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4"/>
      <c r="DM140" s="47"/>
    </row>
    <row r="141" spans="5:117" hidden="1" x14ac:dyDescent="0.35">
      <c r="E141" s="36"/>
      <c r="F141" s="37"/>
      <c r="G141" s="37"/>
      <c r="H141" s="116"/>
      <c r="I141" s="116"/>
      <c r="J141" s="118">
        <f t="shared" si="128"/>
        <v>0</v>
      </c>
      <c r="K141" s="118">
        <f t="shared" si="129"/>
        <v>0</v>
      </c>
      <c r="L141" s="119">
        <f t="shared" si="127"/>
        <v>0</v>
      </c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4"/>
      <c r="DM141" s="47"/>
    </row>
    <row r="142" spans="5:117" hidden="1" x14ac:dyDescent="0.35">
      <c r="E142" s="36"/>
      <c r="F142" s="37"/>
      <c r="G142" s="37"/>
      <c r="H142" s="116"/>
      <c r="I142" s="116"/>
      <c r="J142" s="118">
        <f t="shared" si="128"/>
        <v>0</v>
      </c>
      <c r="K142" s="118">
        <f t="shared" si="129"/>
        <v>0</v>
      </c>
      <c r="L142" s="119">
        <f t="shared" si="127"/>
        <v>0</v>
      </c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4"/>
      <c r="DM142" s="47"/>
    </row>
    <row r="143" spans="5:117" hidden="1" x14ac:dyDescent="0.35">
      <c r="E143" s="36"/>
      <c r="F143" s="37"/>
      <c r="G143" s="37"/>
      <c r="H143" s="116"/>
      <c r="I143" s="116"/>
      <c r="J143" s="118">
        <f t="shared" si="128"/>
        <v>0</v>
      </c>
      <c r="K143" s="118">
        <f t="shared" si="129"/>
        <v>0</v>
      </c>
      <c r="L143" s="119">
        <f t="shared" si="127"/>
        <v>0</v>
      </c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4"/>
      <c r="DM143" s="47"/>
    </row>
    <row r="144" spans="5:117" hidden="1" x14ac:dyDescent="0.35">
      <c r="E144" s="36"/>
      <c r="F144" s="37"/>
      <c r="G144" s="37"/>
      <c r="H144" s="116"/>
      <c r="I144" s="116"/>
      <c r="J144" s="118">
        <f t="shared" si="128"/>
        <v>0</v>
      </c>
      <c r="K144" s="118">
        <f t="shared" si="129"/>
        <v>0</v>
      </c>
      <c r="L144" s="119">
        <f t="shared" si="127"/>
        <v>0</v>
      </c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4"/>
      <c r="DM144" s="47"/>
    </row>
    <row r="145" spans="5:117" hidden="1" x14ac:dyDescent="0.35">
      <c r="E145" s="36"/>
      <c r="F145" s="37"/>
      <c r="G145" s="37"/>
      <c r="H145" s="116"/>
      <c r="I145" s="116"/>
      <c r="J145" s="118">
        <f t="shared" si="128"/>
        <v>0</v>
      </c>
      <c r="K145" s="118">
        <f t="shared" si="129"/>
        <v>0</v>
      </c>
      <c r="L145" s="119">
        <f t="shared" si="127"/>
        <v>0</v>
      </c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4"/>
      <c r="DM145" s="47"/>
    </row>
    <row r="146" spans="5:117" hidden="1" x14ac:dyDescent="0.35">
      <c r="E146" s="36"/>
      <c r="F146" s="37"/>
      <c r="G146" s="37"/>
      <c r="H146" s="116"/>
      <c r="I146" s="116"/>
      <c r="J146" s="118">
        <f t="shared" si="128"/>
        <v>0</v>
      </c>
      <c r="K146" s="118">
        <f t="shared" si="129"/>
        <v>0</v>
      </c>
      <c r="L146" s="119">
        <f t="shared" si="127"/>
        <v>0</v>
      </c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4"/>
      <c r="DM146" s="47"/>
    </row>
    <row r="147" spans="5:117" hidden="1" x14ac:dyDescent="0.35">
      <c r="E147" s="36"/>
      <c r="F147" s="37"/>
      <c r="G147" s="37"/>
      <c r="H147" s="116"/>
      <c r="I147" s="116"/>
      <c r="J147" s="118">
        <f t="shared" si="128"/>
        <v>0</v>
      </c>
      <c r="K147" s="118">
        <f t="shared" si="129"/>
        <v>0</v>
      </c>
      <c r="L147" s="119">
        <f t="shared" si="127"/>
        <v>0</v>
      </c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4"/>
      <c r="DM147" s="47"/>
    </row>
    <row r="148" spans="5:117" hidden="1" x14ac:dyDescent="0.35">
      <c r="E148" s="36"/>
      <c r="F148" s="37"/>
      <c r="G148" s="37"/>
      <c r="H148" s="116"/>
      <c r="I148" s="116"/>
      <c r="J148" s="118">
        <f t="shared" si="128"/>
        <v>0</v>
      </c>
      <c r="K148" s="118">
        <f t="shared" si="129"/>
        <v>0</v>
      </c>
      <c r="L148" s="119">
        <f t="shared" si="127"/>
        <v>0</v>
      </c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4"/>
      <c r="DM148" s="47"/>
    </row>
    <row r="149" spans="5:117" hidden="1" x14ac:dyDescent="0.35">
      <c r="E149" s="36"/>
      <c r="F149" s="37"/>
      <c r="G149" s="37"/>
      <c r="H149" s="116"/>
      <c r="I149" s="116"/>
      <c r="J149" s="118">
        <f t="shared" si="128"/>
        <v>0</v>
      </c>
      <c r="K149" s="118">
        <f t="shared" si="129"/>
        <v>0</v>
      </c>
      <c r="L149" s="119">
        <f t="shared" si="127"/>
        <v>0</v>
      </c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4"/>
      <c r="DM149" s="47"/>
    </row>
    <row r="150" spans="5:117" hidden="1" x14ac:dyDescent="0.35">
      <c r="E150" s="36"/>
      <c r="F150" s="37"/>
      <c r="G150" s="37"/>
      <c r="H150" s="116"/>
      <c r="I150" s="116"/>
      <c r="J150" s="118">
        <f t="shared" si="128"/>
        <v>0</v>
      </c>
      <c r="K150" s="118">
        <f t="shared" si="129"/>
        <v>0</v>
      </c>
      <c r="L150" s="119">
        <f t="shared" si="127"/>
        <v>0</v>
      </c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4"/>
      <c r="DM150" s="47"/>
    </row>
    <row r="151" spans="5:117" x14ac:dyDescent="0.35">
      <c r="E151" s="36"/>
      <c r="F151" s="37"/>
      <c r="G151" s="37"/>
      <c r="H151" s="116"/>
      <c r="I151" s="116"/>
      <c r="J151" s="118">
        <f t="shared" si="128"/>
        <v>0</v>
      </c>
      <c r="K151" s="118">
        <f t="shared" si="129"/>
        <v>0</v>
      </c>
      <c r="L151" s="119">
        <f t="shared" si="127"/>
        <v>0</v>
      </c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4"/>
      <c r="DM151" s="47"/>
    </row>
    <row r="152" spans="5:117" ht="15" thickBot="1" x14ac:dyDescent="0.4">
      <c r="E152" s="3" t="s">
        <v>276</v>
      </c>
      <c r="F152" s="41"/>
      <c r="G152" s="41"/>
      <c r="H152" s="41"/>
      <c r="I152" s="8" t="s">
        <v>150</v>
      </c>
      <c r="J152" s="98">
        <f t="shared" ref="J152:AO152" si="130">SUM(J122:J151)</f>
        <v>0</v>
      </c>
      <c r="K152" s="98">
        <f t="shared" si="130"/>
        <v>0</v>
      </c>
      <c r="L152" s="99">
        <f t="shared" si="130"/>
        <v>0</v>
      </c>
      <c r="M152" s="4">
        <f t="shared" si="130"/>
        <v>0</v>
      </c>
      <c r="N152" s="4">
        <f t="shared" si="130"/>
        <v>0</v>
      </c>
      <c r="O152" s="4">
        <f t="shared" si="130"/>
        <v>0</v>
      </c>
      <c r="P152" s="4">
        <f t="shared" si="130"/>
        <v>0</v>
      </c>
      <c r="Q152" s="4">
        <f t="shared" si="130"/>
        <v>0</v>
      </c>
      <c r="R152" s="4">
        <f t="shared" si="130"/>
        <v>0</v>
      </c>
      <c r="S152" s="4">
        <f t="shared" si="130"/>
        <v>0</v>
      </c>
      <c r="T152" s="4">
        <f t="shared" si="130"/>
        <v>0</v>
      </c>
      <c r="U152" s="4">
        <f t="shared" si="130"/>
        <v>0</v>
      </c>
      <c r="V152" s="4">
        <f t="shared" si="130"/>
        <v>0</v>
      </c>
      <c r="W152" s="4">
        <f t="shared" si="130"/>
        <v>0</v>
      </c>
      <c r="X152" s="4">
        <f t="shared" si="130"/>
        <v>0</v>
      </c>
      <c r="Y152" s="4">
        <f t="shared" si="130"/>
        <v>0</v>
      </c>
      <c r="Z152" s="4">
        <f t="shared" si="130"/>
        <v>0</v>
      </c>
      <c r="AA152" s="4">
        <f t="shared" si="130"/>
        <v>0</v>
      </c>
      <c r="AB152" s="4">
        <f t="shared" si="130"/>
        <v>0</v>
      </c>
      <c r="AC152" s="4">
        <f t="shared" si="130"/>
        <v>0</v>
      </c>
      <c r="AD152" s="4">
        <f t="shared" si="130"/>
        <v>0</v>
      </c>
      <c r="AE152" s="4">
        <f t="shared" si="130"/>
        <v>0</v>
      </c>
      <c r="AF152" s="4">
        <f t="shared" si="130"/>
        <v>0</v>
      </c>
      <c r="AG152" s="4">
        <f t="shared" si="130"/>
        <v>0</v>
      </c>
      <c r="AH152" s="4">
        <f t="shared" si="130"/>
        <v>0</v>
      </c>
      <c r="AI152" s="4">
        <f t="shared" si="130"/>
        <v>0</v>
      </c>
      <c r="AJ152" s="4">
        <f t="shared" si="130"/>
        <v>0</v>
      </c>
      <c r="AK152" s="4">
        <f t="shared" si="130"/>
        <v>0</v>
      </c>
      <c r="AL152" s="4">
        <f t="shared" si="130"/>
        <v>0</v>
      </c>
      <c r="AM152" s="4">
        <f t="shared" si="130"/>
        <v>0</v>
      </c>
      <c r="AN152" s="4">
        <f t="shared" si="130"/>
        <v>0</v>
      </c>
      <c r="AO152" s="4">
        <f t="shared" si="130"/>
        <v>0</v>
      </c>
      <c r="AP152" s="4">
        <f t="shared" ref="AP152:BU152" si="131">SUM(AP122:AP151)</f>
        <v>0</v>
      </c>
      <c r="AQ152" s="4">
        <f t="shared" si="131"/>
        <v>0</v>
      </c>
      <c r="AR152" s="4">
        <f t="shared" si="131"/>
        <v>0</v>
      </c>
      <c r="AS152" s="4">
        <f t="shared" si="131"/>
        <v>0</v>
      </c>
      <c r="AT152" s="4">
        <f t="shared" si="131"/>
        <v>0</v>
      </c>
      <c r="AU152" s="4">
        <f t="shared" si="131"/>
        <v>0</v>
      </c>
      <c r="AV152" s="4">
        <f t="shared" si="131"/>
        <v>0</v>
      </c>
      <c r="AW152" s="4">
        <f t="shared" si="131"/>
        <v>0</v>
      </c>
      <c r="AX152" s="4">
        <f t="shared" si="131"/>
        <v>0</v>
      </c>
      <c r="AY152" s="4">
        <f t="shared" si="131"/>
        <v>0</v>
      </c>
      <c r="AZ152" s="4">
        <f t="shared" si="131"/>
        <v>0</v>
      </c>
      <c r="BA152" s="4">
        <f t="shared" si="131"/>
        <v>0</v>
      </c>
      <c r="BB152" s="4">
        <f t="shared" si="131"/>
        <v>0</v>
      </c>
      <c r="BC152" s="4">
        <f t="shared" si="131"/>
        <v>0</v>
      </c>
      <c r="BD152" s="4">
        <f t="shared" si="131"/>
        <v>0</v>
      </c>
      <c r="BE152" s="4">
        <f t="shared" si="131"/>
        <v>0</v>
      </c>
      <c r="BF152" s="4">
        <f t="shared" si="131"/>
        <v>0</v>
      </c>
      <c r="BG152" s="4">
        <f t="shared" si="131"/>
        <v>0</v>
      </c>
      <c r="BH152" s="4">
        <f t="shared" si="131"/>
        <v>0</v>
      </c>
      <c r="BI152" s="4">
        <f t="shared" si="131"/>
        <v>0</v>
      </c>
      <c r="BJ152" s="4">
        <f t="shared" si="131"/>
        <v>0</v>
      </c>
      <c r="BK152" s="4">
        <f t="shared" si="131"/>
        <v>0</v>
      </c>
      <c r="BL152" s="4">
        <f t="shared" si="131"/>
        <v>0</v>
      </c>
      <c r="BM152" s="4">
        <f t="shared" si="131"/>
        <v>0</v>
      </c>
      <c r="BN152" s="4">
        <f t="shared" si="131"/>
        <v>0</v>
      </c>
      <c r="BO152" s="4">
        <f t="shared" si="131"/>
        <v>0</v>
      </c>
      <c r="BP152" s="4">
        <f t="shared" si="131"/>
        <v>0</v>
      </c>
      <c r="BQ152" s="4">
        <f t="shared" si="131"/>
        <v>0</v>
      </c>
      <c r="BR152" s="4">
        <f t="shared" si="131"/>
        <v>0</v>
      </c>
      <c r="BS152" s="4">
        <f t="shared" si="131"/>
        <v>0</v>
      </c>
      <c r="BT152" s="4">
        <f t="shared" si="131"/>
        <v>0</v>
      </c>
      <c r="BU152" s="4">
        <f t="shared" si="131"/>
        <v>0</v>
      </c>
      <c r="BV152" s="4">
        <f t="shared" ref="BV152:DA152" si="132">SUM(BV122:BV151)</f>
        <v>0</v>
      </c>
      <c r="BW152" s="4">
        <f t="shared" si="132"/>
        <v>0</v>
      </c>
      <c r="BX152" s="4">
        <f t="shared" si="132"/>
        <v>0</v>
      </c>
      <c r="BY152" s="4">
        <f t="shared" si="132"/>
        <v>0</v>
      </c>
      <c r="BZ152" s="4">
        <f t="shared" si="132"/>
        <v>0</v>
      </c>
      <c r="CA152" s="4">
        <f t="shared" si="132"/>
        <v>0</v>
      </c>
      <c r="CB152" s="4">
        <f t="shared" si="132"/>
        <v>0</v>
      </c>
      <c r="CC152" s="4">
        <f t="shared" si="132"/>
        <v>0</v>
      </c>
      <c r="CD152" s="4">
        <f t="shared" si="132"/>
        <v>0</v>
      </c>
      <c r="CE152" s="4">
        <f t="shared" si="132"/>
        <v>0</v>
      </c>
      <c r="CF152" s="4">
        <f t="shared" si="132"/>
        <v>0</v>
      </c>
      <c r="CG152" s="4">
        <f t="shared" si="132"/>
        <v>0</v>
      </c>
      <c r="CH152" s="4">
        <f t="shared" si="132"/>
        <v>0</v>
      </c>
      <c r="CI152" s="4">
        <f t="shared" si="132"/>
        <v>0</v>
      </c>
      <c r="CJ152" s="4">
        <f t="shared" si="132"/>
        <v>0</v>
      </c>
      <c r="CK152" s="4">
        <f t="shared" si="132"/>
        <v>0</v>
      </c>
      <c r="CL152" s="4">
        <f t="shared" si="132"/>
        <v>0</v>
      </c>
      <c r="CM152" s="4">
        <f t="shared" si="132"/>
        <v>0</v>
      </c>
      <c r="CN152" s="4">
        <f t="shared" si="132"/>
        <v>0</v>
      </c>
      <c r="CO152" s="4">
        <f t="shared" si="132"/>
        <v>0</v>
      </c>
      <c r="CP152" s="4">
        <f t="shared" si="132"/>
        <v>0</v>
      </c>
      <c r="CQ152" s="4">
        <f t="shared" si="132"/>
        <v>0</v>
      </c>
      <c r="CR152" s="4">
        <f t="shared" si="132"/>
        <v>0</v>
      </c>
      <c r="CS152" s="4">
        <f t="shared" si="132"/>
        <v>0</v>
      </c>
      <c r="CT152" s="4">
        <f t="shared" si="132"/>
        <v>0</v>
      </c>
      <c r="CU152" s="4">
        <f t="shared" si="132"/>
        <v>0</v>
      </c>
      <c r="CV152" s="4">
        <f t="shared" si="132"/>
        <v>0</v>
      </c>
      <c r="CW152" s="4">
        <f t="shared" si="132"/>
        <v>0</v>
      </c>
      <c r="CX152" s="4">
        <f t="shared" si="132"/>
        <v>0</v>
      </c>
      <c r="CY152" s="4">
        <f t="shared" si="132"/>
        <v>0</v>
      </c>
      <c r="CZ152" s="4">
        <f t="shared" si="132"/>
        <v>0</v>
      </c>
      <c r="DA152" s="4">
        <f t="shared" si="132"/>
        <v>0</v>
      </c>
      <c r="DB152" s="4">
        <f t="shared" ref="DB152:DL152" si="133">SUM(DB122:DB151)</f>
        <v>0</v>
      </c>
      <c r="DC152" s="4">
        <f t="shared" si="133"/>
        <v>0</v>
      </c>
      <c r="DD152" s="4">
        <f t="shared" si="133"/>
        <v>0</v>
      </c>
      <c r="DE152" s="4">
        <f t="shared" si="133"/>
        <v>0</v>
      </c>
      <c r="DF152" s="4">
        <f t="shared" si="133"/>
        <v>0</v>
      </c>
      <c r="DG152" s="4">
        <f t="shared" si="133"/>
        <v>0</v>
      </c>
      <c r="DH152" s="4">
        <f t="shared" si="133"/>
        <v>0</v>
      </c>
      <c r="DI152" s="4">
        <f t="shared" si="133"/>
        <v>0</v>
      </c>
      <c r="DJ152" s="4">
        <f t="shared" si="133"/>
        <v>0</v>
      </c>
      <c r="DK152" s="4">
        <f t="shared" si="133"/>
        <v>0</v>
      </c>
      <c r="DL152" s="4">
        <f t="shared" si="133"/>
        <v>0</v>
      </c>
      <c r="DM152" s="47"/>
    </row>
    <row r="153" spans="5:117" ht="15" thickBot="1" x14ac:dyDescent="0.4"/>
    <row r="154" spans="5:117" ht="15" thickBot="1" x14ac:dyDescent="0.4">
      <c r="E154" s="43" t="s">
        <v>266</v>
      </c>
      <c r="M154" s="48"/>
    </row>
    <row r="155" spans="5:117" x14ac:dyDescent="0.35">
      <c r="E155" s="28" t="s">
        <v>29</v>
      </c>
      <c r="F155" s="32" t="s">
        <v>145</v>
      </c>
      <c r="G155" s="32" t="s">
        <v>267</v>
      </c>
      <c r="H155" s="32" t="s">
        <v>268</v>
      </c>
      <c r="I155" s="33" t="s">
        <v>264</v>
      </c>
      <c r="J155" s="33" t="s">
        <v>258</v>
      </c>
      <c r="K155" s="33" t="s">
        <v>142</v>
      </c>
      <c r="L155" s="33" t="s">
        <v>34</v>
      </c>
      <c r="M155" s="34" t="s">
        <v>35</v>
      </c>
      <c r="N155" s="33" t="s">
        <v>36</v>
      </c>
      <c r="O155" s="33" t="s">
        <v>37</v>
      </c>
      <c r="P155" s="33" t="s">
        <v>38</v>
      </c>
      <c r="Q155" s="33" t="s">
        <v>39</v>
      </c>
      <c r="R155" s="33" t="s">
        <v>40</v>
      </c>
      <c r="S155" s="33" t="s">
        <v>41</v>
      </c>
      <c r="T155" s="33" t="s">
        <v>42</v>
      </c>
      <c r="U155" s="33" t="s">
        <v>43</v>
      </c>
      <c r="V155" s="33" t="s">
        <v>44</v>
      </c>
      <c r="W155" s="33" t="s">
        <v>45</v>
      </c>
      <c r="X155" s="33" t="s">
        <v>46</v>
      </c>
      <c r="Y155" s="33" t="s">
        <v>47</v>
      </c>
      <c r="Z155" s="33" t="s">
        <v>48</v>
      </c>
      <c r="AA155" s="33" t="s">
        <v>49</v>
      </c>
      <c r="AB155" s="33" t="s">
        <v>50</v>
      </c>
      <c r="AC155" s="33" t="s">
        <v>51</v>
      </c>
      <c r="AD155" s="33" t="s">
        <v>52</v>
      </c>
      <c r="AE155" s="33" t="s">
        <v>53</v>
      </c>
      <c r="AF155" s="33" t="s">
        <v>54</v>
      </c>
      <c r="AG155" s="33" t="s">
        <v>55</v>
      </c>
      <c r="AH155" s="33" t="s">
        <v>56</v>
      </c>
      <c r="AI155" s="33" t="s">
        <v>57</v>
      </c>
      <c r="AJ155" s="33" t="s">
        <v>58</v>
      </c>
      <c r="AK155" s="33" t="s">
        <v>59</v>
      </c>
      <c r="AL155" s="33" t="s">
        <v>60</v>
      </c>
      <c r="AM155" s="33" t="s">
        <v>61</v>
      </c>
      <c r="AN155" s="33" t="s">
        <v>62</v>
      </c>
      <c r="AO155" s="33" t="s">
        <v>63</v>
      </c>
      <c r="AP155" s="33" t="s">
        <v>64</v>
      </c>
      <c r="AQ155" s="33" t="s">
        <v>65</v>
      </c>
      <c r="AR155" s="33" t="s">
        <v>66</v>
      </c>
      <c r="AS155" s="33" t="s">
        <v>67</v>
      </c>
      <c r="AT155" s="33" t="s">
        <v>68</v>
      </c>
      <c r="AU155" s="33" t="s">
        <v>69</v>
      </c>
      <c r="AV155" s="33" t="s">
        <v>70</v>
      </c>
      <c r="AW155" s="33" t="s">
        <v>71</v>
      </c>
      <c r="AX155" s="33" t="s">
        <v>72</v>
      </c>
      <c r="AY155" s="33" t="s">
        <v>73</v>
      </c>
      <c r="AZ155" s="33" t="s">
        <v>74</v>
      </c>
      <c r="BA155" s="33" t="s">
        <v>75</v>
      </c>
      <c r="BB155" s="33" t="s">
        <v>76</v>
      </c>
      <c r="BC155" s="33" t="s">
        <v>77</v>
      </c>
      <c r="BD155" s="33" t="s">
        <v>78</v>
      </c>
      <c r="BE155" s="33" t="s">
        <v>79</v>
      </c>
      <c r="BF155" s="33" t="s">
        <v>80</v>
      </c>
      <c r="BG155" s="33" t="s">
        <v>81</v>
      </c>
      <c r="BH155" s="33" t="s">
        <v>82</v>
      </c>
      <c r="BI155" s="33" t="s">
        <v>83</v>
      </c>
      <c r="BJ155" s="33" t="s">
        <v>84</v>
      </c>
      <c r="BK155" s="33" t="s">
        <v>85</v>
      </c>
      <c r="BL155" s="33" t="s">
        <v>86</v>
      </c>
      <c r="BM155" s="33" t="s">
        <v>87</v>
      </c>
      <c r="BN155" s="33" t="s">
        <v>88</v>
      </c>
      <c r="BO155" s="33" t="s">
        <v>89</v>
      </c>
      <c r="BP155" s="33" t="s">
        <v>90</v>
      </c>
      <c r="BQ155" s="33" t="s">
        <v>91</v>
      </c>
      <c r="BR155" s="33" t="s">
        <v>92</v>
      </c>
      <c r="BS155" s="33" t="s">
        <v>93</v>
      </c>
      <c r="BT155" s="33" t="s">
        <v>94</v>
      </c>
      <c r="BU155" s="33" t="s">
        <v>95</v>
      </c>
      <c r="BV155" s="33" t="s">
        <v>96</v>
      </c>
      <c r="BW155" s="33" t="s">
        <v>97</v>
      </c>
      <c r="BX155" s="33" t="s">
        <v>98</v>
      </c>
      <c r="BY155" s="33" t="s">
        <v>99</v>
      </c>
      <c r="BZ155" s="33" t="s">
        <v>100</v>
      </c>
      <c r="CA155" s="33" t="s">
        <v>101</v>
      </c>
      <c r="CB155" s="33" t="s">
        <v>102</v>
      </c>
      <c r="CC155" s="33" t="s">
        <v>103</v>
      </c>
      <c r="CD155" s="33" t="s">
        <v>104</v>
      </c>
      <c r="CE155" s="33" t="s">
        <v>105</v>
      </c>
      <c r="CF155" s="33" t="s">
        <v>106</v>
      </c>
      <c r="CG155" s="33" t="s">
        <v>107</v>
      </c>
      <c r="CH155" s="33" t="s">
        <v>108</v>
      </c>
      <c r="CI155" s="33" t="s">
        <v>109</v>
      </c>
      <c r="CJ155" s="33" t="s">
        <v>110</v>
      </c>
      <c r="CK155" s="33" t="s">
        <v>111</v>
      </c>
      <c r="CL155" s="33" t="s">
        <v>112</v>
      </c>
      <c r="CM155" s="33" t="s">
        <v>113</v>
      </c>
      <c r="CN155" s="33" t="s">
        <v>114</v>
      </c>
      <c r="CO155" s="33" t="s">
        <v>115</v>
      </c>
      <c r="CP155" s="33" t="s">
        <v>116</v>
      </c>
      <c r="CQ155" s="33" t="s">
        <v>117</v>
      </c>
      <c r="CR155" s="33" t="s">
        <v>118</v>
      </c>
      <c r="CS155" s="33" t="s">
        <v>119</v>
      </c>
      <c r="CT155" s="33" t="s">
        <v>120</v>
      </c>
      <c r="CU155" s="33" t="s">
        <v>121</v>
      </c>
      <c r="CV155" s="33" t="s">
        <v>122</v>
      </c>
      <c r="CW155" s="33" t="s">
        <v>123</v>
      </c>
      <c r="CX155" s="33" t="s">
        <v>124</v>
      </c>
      <c r="CY155" s="33" t="s">
        <v>125</v>
      </c>
      <c r="CZ155" s="33" t="s">
        <v>126</v>
      </c>
      <c r="DA155" s="33" t="s">
        <v>127</v>
      </c>
      <c r="DB155" s="33" t="s">
        <v>128</v>
      </c>
      <c r="DC155" s="33" t="s">
        <v>129</v>
      </c>
      <c r="DD155" s="33" t="s">
        <v>130</v>
      </c>
      <c r="DE155" s="33" t="s">
        <v>131</v>
      </c>
      <c r="DF155" s="33" t="s">
        <v>132</v>
      </c>
      <c r="DG155" s="33" t="s">
        <v>133</v>
      </c>
      <c r="DH155" s="33" t="s">
        <v>134</v>
      </c>
      <c r="DI155" s="33" t="s">
        <v>135</v>
      </c>
      <c r="DJ155" s="33" t="s">
        <v>136</v>
      </c>
      <c r="DK155" s="33" t="s">
        <v>137</v>
      </c>
      <c r="DL155" s="33" t="s">
        <v>138</v>
      </c>
      <c r="DM155" s="45"/>
    </row>
    <row r="156" spans="5:117" x14ac:dyDescent="0.35">
      <c r="E156" s="111"/>
      <c r="F156" s="112"/>
      <c r="G156" s="112"/>
      <c r="H156" s="116"/>
      <c r="I156" s="116"/>
      <c r="J156" s="38">
        <f>H156*M156</f>
        <v>0</v>
      </c>
      <c r="K156" s="38">
        <f>I156*L156</f>
        <v>0</v>
      </c>
      <c r="L156" s="39">
        <f t="shared" ref="L156:L185" si="134">SUM(M156:DL156)</f>
        <v>0</v>
      </c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  <c r="BU156" s="113"/>
      <c r="BV156" s="113"/>
      <c r="BW156" s="113"/>
      <c r="BX156" s="113"/>
      <c r="BY156" s="113"/>
      <c r="BZ156" s="113"/>
      <c r="CA156" s="113"/>
      <c r="CB156" s="113"/>
      <c r="CC156" s="113"/>
      <c r="CD156" s="113"/>
      <c r="CE156" s="113"/>
      <c r="CF156" s="113"/>
      <c r="CG156" s="113"/>
      <c r="CH156" s="113"/>
      <c r="CI156" s="113"/>
      <c r="CJ156" s="113"/>
      <c r="CK156" s="113"/>
      <c r="CL156" s="113"/>
      <c r="CM156" s="113"/>
      <c r="CN156" s="113"/>
      <c r="CO156" s="113"/>
      <c r="CP156" s="113"/>
      <c r="CQ156" s="113"/>
      <c r="CR156" s="113"/>
      <c r="CS156" s="113"/>
      <c r="CT156" s="113"/>
      <c r="CU156" s="113"/>
      <c r="CV156" s="113"/>
      <c r="CW156" s="113"/>
      <c r="CX156" s="113"/>
      <c r="CY156" s="113"/>
      <c r="CZ156" s="113"/>
      <c r="DA156" s="113"/>
      <c r="DB156" s="113"/>
      <c r="DC156" s="113"/>
      <c r="DD156" s="113"/>
      <c r="DE156" s="113"/>
      <c r="DF156" s="113"/>
      <c r="DG156" s="113"/>
      <c r="DH156" s="113"/>
      <c r="DI156" s="113"/>
      <c r="DJ156" s="113"/>
      <c r="DK156" s="113"/>
      <c r="DL156" s="114"/>
      <c r="DM156" s="47"/>
    </row>
    <row r="157" spans="5:117" x14ac:dyDescent="0.35">
      <c r="E157" s="111"/>
      <c r="F157" s="112"/>
      <c r="G157" s="112"/>
      <c r="H157" s="116"/>
      <c r="I157" s="116"/>
      <c r="J157" s="38">
        <f t="shared" ref="J157:J185" si="135">H157*M157</f>
        <v>0</v>
      </c>
      <c r="K157" s="38">
        <f t="shared" ref="K157:K185" si="136">I157*L157</f>
        <v>0</v>
      </c>
      <c r="L157" s="39">
        <f t="shared" si="134"/>
        <v>0</v>
      </c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  <c r="BU157" s="113"/>
      <c r="BV157" s="113"/>
      <c r="BW157" s="113"/>
      <c r="BX157" s="113"/>
      <c r="BY157" s="113"/>
      <c r="BZ157" s="113"/>
      <c r="CA157" s="113"/>
      <c r="CB157" s="113"/>
      <c r="CC157" s="113"/>
      <c r="CD157" s="113"/>
      <c r="CE157" s="113"/>
      <c r="CF157" s="113"/>
      <c r="CG157" s="113"/>
      <c r="CH157" s="113"/>
      <c r="CI157" s="113"/>
      <c r="CJ157" s="113"/>
      <c r="CK157" s="113"/>
      <c r="CL157" s="113"/>
      <c r="CM157" s="113"/>
      <c r="CN157" s="113"/>
      <c r="CO157" s="113"/>
      <c r="CP157" s="113"/>
      <c r="CQ157" s="113"/>
      <c r="CR157" s="113"/>
      <c r="CS157" s="113"/>
      <c r="CT157" s="113"/>
      <c r="CU157" s="113"/>
      <c r="CV157" s="113"/>
      <c r="CW157" s="113"/>
      <c r="CX157" s="113"/>
      <c r="CY157" s="113"/>
      <c r="CZ157" s="113"/>
      <c r="DA157" s="113"/>
      <c r="DB157" s="113"/>
      <c r="DC157" s="113"/>
      <c r="DD157" s="113"/>
      <c r="DE157" s="113"/>
      <c r="DF157" s="113"/>
      <c r="DG157" s="113"/>
      <c r="DH157" s="113"/>
      <c r="DI157" s="113"/>
      <c r="DJ157" s="113"/>
      <c r="DK157" s="113"/>
      <c r="DL157" s="114"/>
      <c r="DM157" s="47"/>
    </row>
    <row r="158" spans="5:117" x14ac:dyDescent="0.35">
      <c r="E158" s="111"/>
      <c r="F158" s="112"/>
      <c r="G158" s="112"/>
      <c r="H158" s="116"/>
      <c r="I158" s="116"/>
      <c r="J158" s="38">
        <f t="shared" si="135"/>
        <v>0</v>
      </c>
      <c r="K158" s="38">
        <f t="shared" si="136"/>
        <v>0</v>
      </c>
      <c r="L158" s="39">
        <f t="shared" si="134"/>
        <v>0</v>
      </c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4"/>
      <c r="DM158" s="47"/>
    </row>
    <row r="159" spans="5:117" x14ac:dyDescent="0.35">
      <c r="E159" s="111"/>
      <c r="F159" s="112"/>
      <c r="G159" s="112"/>
      <c r="H159" s="116"/>
      <c r="I159" s="116"/>
      <c r="J159" s="38">
        <f t="shared" si="135"/>
        <v>0</v>
      </c>
      <c r="K159" s="38">
        <f t="shared" si="136"/>
        <v>0</v>
      </c>
      <c r="L159" s="39">
        <f t="shared" si="134"/>
        <v>0</v>
      </c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4"/>
      <c r="DM159" s="47"/>
    </row>
    <row r="160" spans="5:117" x14ac:dyDescent="0.35">
      <c r="E160" s="111"/>
      <c r="F160" s="112"/>
      <c r="G160" s="112"/>
      <c r="H160" s="116"/>
      <c r="I160" s="116"/>
      <c r="J160" s="38">
        <f t="shared" si="135"/>
        <v>0</v>
      </c>
      <c r="K160" s="38">
        <f t="shared" si="136"/>
        <v>0</v>
      </c>
      <c r="L160" s="39">
        <f t="shared" si="134"/>
        <v>0</v>
      </c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4"/>
      <c r="DM160" s="47"/>
    </row>
    <row r="161" spans="5:117" x14ac:dyDescent="0.35">
      <c r="E161" s="111"/>
      <c r="F161" s="112"/>
      <c r="G161" s="112"/>
      <c r="H161" s="116"/>
      <c r="I161" s="116"/>
      <c r="J161" s="38">
        <f t="shared" si="135"/>
        <v>0</v>
      </c>
      <c r="K161" s="38">
        <f t="shared" si="136"/>
        <v>0</v>
      </c>
      <c r="L161" s="39">
        <f t="shared" si="134"/>
        <v>0</v>
      </c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4"/>
      <c r="DM161" s="47"/>
    </row>
    <row r="162" spans="5:117" x14ac:dyDescent="0.35">
      <c r="E162" s="111"/>
      <c r="F162" s="112"/>
      <c r="G162" s="112"/>
      <c r="H162" s="116"/>
      <c r="I162" s="116"/>
      <c r="J162" s="38">
        <f t="shared" si="135"/>
        <v>0</v>
      </c>
      <c r="K162" s="38">
        <f t="shared" si="136"/>
        <v>0</v>
      </c>
      <c r="L162" s="39">
        <f t="shared" si="134"/>
        <v>0</v>
      </c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4"/>
      <c r="DM162" s="47"/>
    </row>
    <row r="163" spans="5:117" x14ac:dyDescent="0.35">
      <c r="E163" s="111"/>
      <c r="F163" s="112"/>
      <c r="G163" s="112"/>
      <c r="H163" s="116"/>
      <c r="I163" s="116"/>
      <c r="J163" s="38">
        <f t="shared" si="135"/>
        <v>0</v>
      </c>
      <c r="K163" s="38">
        <f t="shared" si="136"/>
        <v>0</v>
      </c>
      <c r="L163" s="39">
        <f t="shared" si="134"/>
        <v>0</v>
      </c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4"/>
      <c r="DM163" s="47"/>
    </row>
    <row r="164" spans="5:117" x14ac:dyDescent="0.35">
      <c r="E164" s="111"/>
      <c r="F164" s="112"/>
      <c r="G164" s="112"/>
      <c r="H164" s="116"/>
      <c r="I164" s="116"/>
      <c r="J164" s="38">
        <f t="shared" si="135"/>
        <v>0</v>
      </c>
      <c r="K164" s="38">
        <f t="shared" si="136"/>
        <v>0</v>
      </c>
      <c r="L164" s="39">
        <f t="shared" si="134"/>
        <v>0</v>
      </c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4"/>
      <c r="DM164" s="47"/>
    </row>
    <row r="165" spans="5:117" x14ac:dyDescent="0.35">
      <c r="E165" s="111"/>
      <c r="F165" s="112"/>
      <c r="G165" s="112"/>
      <c r="H165" s="116"/>
      <c r="I165" s="116"/>
      <c r="J165" s="38">
        <f t="shared" si="135"/>
        <v>0</v>
      </c>
      <c r="K165" s="38">
        <f t="shared" si="136"/>
        <v>0</v>
      </c>
      <c r="L165" s="39">
        <f t="shared" si="134"/>
        <v>0</v>
      </c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4"/>
      <c r="DM165" s="47"/>
    </row>
    <row r="166" spans="5:117" x14ac:dyDescent="0.35">
      <c r="E166" s="111"/>
      <c r="F166" s="112"/>
      <c r="G166" s="112"/>
      <c r="H166" s="116"/>
      <c r="I166" s="116"/>
      <c r="J166" s="38">
        <f t="shared" si="135"/>
        <v>0</v>
      </c>
      <c r="K166" s="38">
        <f t="shared" si="136"/>
        <v>0</v>
      </c>
      <c r="L166" s="39">
        <f t="shared" si="134"/>
        <v>0</v>
      </c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4"/>
      <c r="DM166" s="47"/>
    </row>
    <row r="167" spans="5:117" hidden="1" x14ac:dyDescent="0.35">
      <c r="E167" s="111"/>
      <c r="F167" s="112"/>
      <c r="G167" s="112"/>
      <c r="H167" s="116"/>
      <c r="I167" s="116"/>
      <c r="J167" s="38">
        <f t="shared" si="135"/>
        <v>0</v>
      </c>
      <c r="K167" s="38">
        <f t="shared" si="136"/>
        <v>0</v>
      </c>
      <c r="L167" s="39">
        <f t="shared" si="134"/>
        <v>0</v>
      </c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4"/>
      <c r="DM167" s="47"/>
    </row>
    <row r="168" spans="5:117" hidden="1" x14ac:dyDescent="0.35">
      <c r="E168" s="111"/>
      <c r="F168" s="112"/>
      <c r="G168" s="112"/>
      <c r="H168" s="116"/>
      <c r="I168" s="116"/>
      <c r="J168" s="38">
        <f t="shared" si="135"/>
        <v>0</v>
      </c>
      <c r="K168" s="38">
        <f t="shared" si="136"/>
        <v>0</v>
      </c>
      <c r="L168" s="39">
        <f t="shared" si="134"/>
        <v>0</v>
      </c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4"/>
      <c r="DM168" s="47"/>
    </row>
    <row r="169" spans="5:117" hidden="1" x14ac:dyDescent="0.35">
      <c r="E169" s="111"/>
      <c r="F169" s="112"/>
      <c r="G169" s="112"/>
      <c r="H169" s="116"/>
      <c r="I169" s="116"/>
      <c r="J169" s="38">
        <f t="shared" si="135"/>
        <v>0</v>
      </c>
      <c r="K169" s="38">
        <f t="shared" si="136"/>
        <v>0</v>
      </c>
      <c r="L169" s="39">
        <f t="shared" si="134"/>
        <v>0</v>
      </c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4"/>
      <c r="DM169" s="47"/>
    </row>
    <row r="170" spans="5:117" hidden="1" x14ac:dyDescent="0.35">
      <c r="E170" s="111"/>
      <c r="F170" s="112"/>
      <c r="G170" s="112"/>
      <c r="H170" s="116"/>
      <c r="I170" s="116"/>
      <c r="J170" s="38">
        <f t="shared" si="135"/>
        <v>0</v>
      </c>
      <c r="K170" s="38">
        <f t="shared" si="136"/>
        <v>0</v>
      </c>
      <c r="L170" s="39">
        <f t="shared" si="134"/>
        <v>0</v>
      </c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4"/>
      <c r="DM170" s="47"/>
    </row>
    <row r="171" spans="5:117" hidden="1" x14ac:dyDescent="0.35">
      <c r="E171" s="111"/>
      <c r="F171" s="112"/>
      <c r="G171" s="112"/>
      <c r="H171" s="116"/>
      <c r="I171" s="116"/>
      <c r="J171" s="38">
        <f t="shared" si="135"/>
        <v>0</v>
      </c>
      <c r="K171" s="38">
        <f t="shared" si="136"/>
        <v>0</v>
      </c>
      <c r="L171" s="39">
        <f t="shared" si="134"/>
        <v>0</v>
      </c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4"/>
      <c r="DM171" s="47"/>
    </row>
    <row r="172" spans="5:117" hidden="1" x14ac:dyDescent="0.35">
      <c r="E172" s="111"/>
      <c r="F172" s="112"/>
      <c r="G172" s="112"/>
      <c r="H172" s="116"/>
      <c r="I172" s="116"/>
      <c r="J172" s="38">
        <f t="shared" si="135"/>
        <v>0</v>
      </c>
      <c r="K172" s="38">
        <f t="shared" si="136"/>
        <v>0</v>
      </c>
      <c r="L172" s="39">
        <f t="shared" si="134"/>
        <v>0</v>
      </c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4"/>
      <c r="DM172" s="47"/>
    </row>
    <row r="173" spans="5:117" hidden="1" x14ac:dyDescent="0.35">
      <c r="E173" s="111"/>
      <c r="F173" s="112"/>
      <c r="G173" s="112"/>
      <c r="H173" s="116"/>
      <c r="I173" s="116"/>
      <c r="J173" s="38">
        <f t="shared" si="135"/>
        <v>0</v>
      </c>
      <c r="K173" s="38">
        <f t="shared" si="136"/>
        <v>0</v>
      </c>
      <c r="L173" s="39">
        <f t="shared" si="134"/>
        <v>0</v>
      </c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4"/>
      <c r="DM173" s="47"/>
    </row>
    <row r="174" spans="5:117" hidden="1" x14ac:dyDescent="0.35">
      <c r="E174" s="111"/>
      <c r="F174" s="112"/>
      <c r="G174" s="112"/>
      <c r="H174" s="116"/>
      <c r="I174" s="116"/>
      <c r="J174" s="38">
        <f t="shared" si="135"/>
        <v>0</v>
      </c>
      <c r="K174" s="38">
        <f t="shared" si="136"/>
        <v>0</v>
      </c>
      <c r="L174" s="39">
        <f t="shared" si="134"/>
        <v>0</v>
      </c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4"/>
      <c r="DM174" s="47"/>
    </row>
    <row r="175" spans="5:117" hidden="1" x14ac:dyDescent="0.35">
      <c r="E175" s="111"/>
      <c r="F175" s="112"/>
      <c r="G175" s="112"/>
      <c r="H175" s="116"/>
      <c r="I175" s="116"/>
      <c r="J175" s="38">
        <f t="shared" si="135"/>
        <v>0</v>
      </c>
      <c r="K175" s="38">
        <f t="shared" si="136"/>
        <v>0</v>
      </c>
      <c r="L175" s="39">
        <f t="shared" si="134"/>
        <v>0</v>
      </c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4"/>
      <c r="DM175" s="47"/>
    </row>
    <row r="176" spans="5:117" hidden="1" x14ac:dyDescent="0.35">
      <c r="E176" s="111"/>
      <c r="F176" s="112"/>
      <c r="G176" s="112"/>
      <c r="H176" s="116"/>
      <c r="I176" s="116"/>
      <c r="J176" s="38">
        <f t="shared" si="135"/>
        <v>0</v>
      </c>
      <c r="K176" s="38">
        <f t="shared" si="136"/>
        <v>0</v>
      </c>
      <c r="L176" s="39">
        <f t="shared" si="134"/>
        <v>0</v>
      </c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4"/>
      <c r="DM176" s="47"/>
    </row>
    <row r="177" spans="5:117" hidden="1" x14ac:dyDescent="0.35">
      <c r="E177" s="111"/>
      <c r="F177" s="112"/>
      <c r="G177" s="112"/>
      <c r="H177" s="116"/>
      <c r="I177" s="116"/>
      <c r="J177" s="38">
        <f t="shared" si="135"/>
        <v>0</v>
      </c>
      <c r="K177" s="38">
        <f t="shared" si="136"/>
        <v>0</v>
      </c>
      <c r="L177" s="39">
        <f t="shared" si="134"/>
        <v>0</v>
      </c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4"/>
      <c r="DM177" s="47"/>
    </row>
    <row r="178" spans="5:117" hidden="1" x14ac:dyDescent="0.35">
      <c r="E178" s="111"/>
      <c r="F178" s="112"/>
      <c r="G178" s="112"/>
      <c r="H178" s="116"/>
      <c r="I178" s="116"/>
      <c r="J178" s="38">
        <f t="shared" si="135"/>
        <v>0</v>
      </c>
      <c r="K178" s="38">
        <f t="shared" si="136"/>
        <v>0</v>
      </c>
      <c r="L178" s="39">
        <f t="shared" si="134"/>
        <v>0</v>
      </c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4"/>
      <c r="DM178" s="47"/>
    </row>
    <row r="179" spans="5:117" hidden="1" x14ac:dyDescent="0.35">
      <c r="E179" s="111"/>
      <c r="F179" s="112"/>
      <c r="G179" s="112"/>
      <c r="H179" s="116"/>
      <c r="I179" s="116"/>
      <c r="J179" s="38">
        <f t="shared" si="135"/>
        <v>0</v>
      </c>
      <c r="K179" s="38">
        <f t="shared" si="136"/>
        <v>0</v>
      </c>
      <c r="L179" s="39">
        <f t="shared" si="134"/>
        <v>0</v>
      </c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4"/>
      <c r="DM179" s="47"/>
    </row>
    <row r="180" spans="5:117" hidden="1" x14ac:dyDescent="0.35">
      <c r="E180" s="111"/>
      <c r="F180" s="112"/>
      <c r="G180" s="112"/>
      <c r="H180" s="116"/>
      <c r="I180" s="116"/>
      <c r="J180" s="38">
        <f t="shared" si="135"/>
        <v>0</v>
      </c>
      <c r="K180" s="38">
        <f t="shared" si="136"/>
        <v>0</v>
      </c>
      <c r="L180" s="39">
        <f t="shared" si="134"/>
        <v>0</v>
      </c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4"/>
      <c r="DM180" s="47"/>
    </row>
    <row r="181" spans="5:117" hidden="1" x14ac:dyDescent="0.35">
      <c r="E181" s="111"/>
      <c r="F181" s="112"/>
      <c r="G181" s="112"/>
      <c r="H181" s="116"/>
      <c r="I181" s="116"/>
      <c r="J181" s="38">
        <f t="shared" si="135"/>
        <v>0</v>
      </c>
      <c r="K181" s="38">
        <f t="shared" si="136"/>
        <v>0</v>
      </c>
      <c r="L181" s="39">
        <f t="shared" si="134"/>
        <v>0</v>
      </c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4"/>
      <c r="DM181" s="47"/>
    </row>
    <row r="182" spans="5:117" hidden="1" x14ac:dyDescent="0.35">
      <c r="E182" s="111"/>
      <c r="F182" s="112"/>
      <c r="G182" s="112"/>
      <c r="H182" s="116"/>
      <c r="I182" s="116"/>
      <c r="J182" s="38">
        <f t="shared" si="135"/>
        <v>0</v>
      </c>
      <c r="K182" s="38">
        <f t="shared" si="136"/>
        <v>0</v>
      </c>
      <c r="L182" s="39">
        <f t="shared" si="134"/>
        <v>0</v>
      </c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4"/>
      <c r="DM182" s="47"/>
    </row>
    <row r="183" spans="5:117" hidden="1" x14ac:dyDescent="0.35">
      <c r="E183" s="111"/>
      <c r="F183" s="112"/>
      <c r="G183" s="112"/>
      <c r="H183" s="116"/>
      <c r="I183" s="116"/>
      <c r="J183" s="38">
        <f t="shared" si="135"/>
        <v>0</v>
      </c>
      <c r="K183" s="38">
        <f t="shared" si="136"/>
        <v>0</v>
      </c>
      <c r="L183" s="39">
        <f t="shared" si="134"/>
        <v>0</v>
      </c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4"/>
      <c r="DM183" s="47"/>
    </row>
    <row r="184" spans="5:117" hidden="1" x14ac:dyDescent="0.35">
      <c r="E184" s="111"/>
      <c r="F184" s="112"/>
      <c r="G184" s="112"/>
      <c r="H184" s="116"/>
      <c r="I184" s="116"/>
      <c r="J184" s="38">
        <f t="shared" si="135"/>
        <v>0</v>
      </c>
      <c r="K184" s="38">
        <f t="shared" si="136"/>
        <v>0</v>
      </c>
      <c r="L184" s="39">
        <f t="shared" si="134"/>
        <v>0</v>
      </c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4"/>
      <c r="DM184" s="47"/>
    </row>
    <row r="185" spans="5:117" x14ac:dyDescent="0.35">
      <c r="E185" s="111"/>
      <c r="F185" s="112"/>
      <c r="G185" s="112"/>
      <c r="H185" s="116"/>
      <c r="I185" s="116"/>
      <c r="J185" s="38">
        <f t="shared" si="135"/>
        <v>0</v>
      </c>
      <c r="K185" s="38">
        <f t="shared" si="136"/>
        <v>0</v>
      </c>
      <c r="L185" s="39">
        <f t="shared" si="134"/>
        <v>0</v>
      </c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4"/>
      <c r="DM185" s="47"/>
    </row>
    <row r="186" spans="5:117" ht="15" thickBot="1" x14ac:dyDescent="0.4">
      <c r="E186" s="3" t="s">
        <v>277</v>
      </c>
      <c r="F186" s="41"/>
      <c r="G186" s="41"/>
      <c r="H186" s="41"/>
      <c r="I186" s="8" t="s">
        <v>150</v>
      </c>
      <c r="J186" s="98">
        <f>SUM(J156:J185)</f>
        <v>0</v>
      </c>
      <c r="K186" s="98">
        <f>SUM(K156:K185)</f>
        <v>0</v>
      </c>
      <c r="L186" s="99">
        <f>SUM(L156:L185)</f>
        <v>0</v>
      </c>
      <c r="M186" s="4">
        <f>SUM(M156:M185)</f>
        <v>0</v>
      </c>
      <c r="N186" s="4">
        <f t="shared" ref="N186:BY186" si="137">SUM(N156:N185)</f>
        <v>0</v>
      </c>
      <c r="O186" s="4">
        <f t="shared" si="137"/>
        <v>0</v>
      </c>
      <c r="P186" s="4">
        <f t="shared" si="137"/>
        <v>0</v>
      </c>
      <c r="Q186" s="4">
        <f t="shared" si="137"/>
        <v>0</v>
      </c>
      <c r="R186" s="4">
        <f t="shared" si="137"/>
        <v>0</v>
      </c>
      <c r="S186" s="4">
        <f t="shared" si="137"/>
        <v>0</v>
      </c>
      <c r="T186" s="4">
        <f t="shared" si="137"/>
        <v>0</v>
      </c>
      <c r="U186" s="4">
        <f t="shared" si="137"/>
        <v>0</v>
      </c>
      <c r="V186" s="4">
        <f t="shared" si="137"/>
        <v>0</v>
      </c>
      <c r="W186" s="4">
        <f t="shared" si="137"/>
        <v>0</v>
      </c>
      <c r="X186" s="4">
        <f t="shared" si="137"/>
        <v>0</v>
      </c>
      <c r="Y186" s="4">
        <f t="shared" si="137"/>
        <v>0</v>
      </c>
      <c r="Z186" s="4">
        <f t="shared" si="137"/>
        <v>0</v>
      </c>
      <c r="AA186" s="4">
        <f t="shared" si="137"/>
        <v>0</v>
      </c>
      <c r="AB186" s="4">
        <f t="shared" si="137"/>
        <v>0</v>
      </c>
      <c r="AC186" s="4">
        <f t="shared" si="137"/>
        <v>0</v>
      </c>
      <c r="AD186" s="4">
        <f t="shared" si="137"/>
        <v>0</v>
      </c>
      <c r="AE186" s="4">
        <f t="shared" si="137"/>
        <v>0</v>
      </c>
      <c r="AF186" s="4">
        <f t="shared" si="137"/>
        <v>0</v>
      </c>
      <c r="AG186" s="4">
        <f t="shared" si="137"/>
        <v>0</v>
      </c>
      <c r="AH186" s="4">
        <f t="shared" si="137"/>
        <v>0</v>
      </c>
      <c r="AI186" s="4">
        <f t="shared" si="137"/>
        <v>0</v>
      </c>
      <c r="AJ186" s="4">
        <f t="shared" si="137"/>
        <v>0</v>
      </c>
      <c r="AK186" s="4">
        <f t="shared" si="137"/>
        <v>0</v>
      </c>
      <c r="AL186" s="4">
        <f t="shared" si="137"/>
        <v>0</v>
      </c>
      <c r="AM186" s="4">
        <f t="shared" si="137"/>
        <v>0</v>
      </c>
      <c r="AN186" s="4">
        <f t="shared" si="137"/>
        <v>0</v>
      </c>
      <c r="AO186" s="4">
        <f t="shared" si="137"/>
        <v>0</v>
      </c>
      <c r="AP186" s="4">
        <f t="shared" si="137"/>
        <v>0</v>
      </c>
      <c r="AQ186" s="4">
        <f t="shared" si="137"/>
        <v>0</v>
      </c>
      <c r="AR186" s="4">
        <f t="shared" si="137"/>
        <v>0</v>
      </c>
      <c r="AS186" s="4">
        <f t="shared" si="137"/>
        <v>0</v>
      </c>
      <c r="AT186" s="4">
        <f t="shared" si="137"/>
        <v>0</v>
      </c>
      <c r="AU186" s="4">
        <f t="shared" si="137"/>
        <v>0</v>
      </c>
      <c r="AV186" s="4">
        <f t="shared" si="137"/>
        <v>0</v>
      </c>
      <c r="AW186" s="4">
        <f t="shared" si="137"/>
        <v>0</v>
      </c>
      <c r="AX186" s="4">
        <f t="shared" si="137"/>
        <v>0</v>
      </c>
      <c r="AY186" s="4">
        <f t="shared" si="137"/>
        <v>0</v>
      </c>
      <c r="AZ186" s="4">
        <f t="shared" si="137"/>
        <v>0</v>
      </c>
      <c r="BA186" s="4">
        <f t="shared" si="137"/>
        <v>0</v>
      </c>
      <c r="BB186" s="4">
        <f t="shared" si="137"/>
        <v>0</v>
      </c>
      <c r="BC186" s="4">
        <f t="shared" si="137"/>
        <v>0</v>
      </c>
      <c r="BD186" s="4">
        <f t="shared" si="137"/>
        <v>0</v>
      </c>
      <c r="BE186" s="4">
        <f t="shared" si="137"/>
        <v>0</v>
      </c>
      <c r="BF186" s="4">
        <f t="shared" si="137"/>
        <v>0</v>
      </c>
      <c r="BG186" s="4">
        <f t="shared" si="137"/>
        <v>0</v>
      </c>
      <c r="BH186" s="4">
        <f t="shared" si="137"/>
        <v>0</v>
      </c>
      <c r="BI186" s="4">
        <f t="shared" si="137"/>
        <v>0</v>
      </c>
      <c r="BJ186" s="4">
        <f t="shared" si="137"/>
        <v>0</v>
      </c>
      <c r="BK186" s="4">
        <f t="shared" si="137"/>
        <v>0</v>
      </c>
      <c r="BL186" s="4">
        <f t="shared" si="137"/>
        <v>0</v>
      </c>
      <c r="BM186" s="4">
        <f t="shared" si="137"/>
        <v>0</v>
      </c>
      <c r="BN186" s="4">
        <f t="shared" si="137"/>
        <v>0</v>
      </c>
      <c r="BO186" s="4">
        <f t="shared" si="137"/>
        <v>0</v>
      </c>
      <c r="BP186" s="4">
        <f t="shared" si="137"/>
        <v>0</v>
      </c>
      <c r="BQ186" s="4">
        <f t="shared" si="137"/>
        <v>0</v>
      </c>
      <c r="BR186" s="4">
        <f t="shared" si="137"/>
        <v>0</v>
      </c>
      <c r="BS186" s="4">
        <f t="shared" si="137"/>
        <v>0</v>
      </c>
      <c r="BT186" s="4">
        <f t="shared" si="137"/>
        <v>0</v>
      </c>
      <c r="BU186" s="4">
        <f t="shared" si="137"/>
        <v>0</v>
      </c>
      <c r="BV186" s="4">
        <f t="shared" si="137"/>
        <v>0</v>
      </c>
      <c r="BW186" s="4">
        <f t="shared" si="137"/>
        <v>0</v>
      </c>
      <c r="BX186" s="4">
        <f t="shared" si="137"/>
        <v>0</v>
      </c>
      <c r="BY186" s="4">
        <f t="shared" si="137"/>
        <v>0</v>
      </c>
      <c r="BZ186" s="4">
        <f t="shared" ref="BZ186:DL186" si="138">SUM(BZ156:BZ185)</f>
        <v>0</v>
      </c>
      <c r="CA186" s="4">
        <f t="shared" si="138"/>
        <v>0</v>
      </c>
      <c r="CB186" s="4">
        <f t="shared" si="138"/>
        <v>0</v>
      </c>
      <c r="CC186" s="4">
        <f t="shared" si="138"/>
        <v>0</v>
      </c>
      <c r="CD186" s="4">
        <f t="shared" si="138"/>
        <v>0</v>
      </c>
      <c r="CE186" s="4">
        <f t="shared" si="138"/>
        <v>0</v>
      </c>
      <c r="CF186" s="4">
        <f t="shared" si="138"/>
        <v>0</v>
      </c>
      <c r="CG186" s="4">
        <f t="shared" si="138"/>
        <v>0</v>
      </c>
      <c r="CH186" s="4">
        <f t="shared" si="138"/>
        <v>0</v>
      </c>
      <c r="CI186" s="4">
        <f t="shared" si="138"/>
        <v>0</v>
      </c>
      <c r="CJ186" s="4">
        <f t="shared" si="138"/>
        <v>0</v>
      </c>
      <c r="CK186" s="4">
        <f t="shared" si="138"/>
        <v>0</v>
      </c>
      <c r="CL186" s="4">
        <f t="shared" si="138"/>
        <v>0</v>
      </c>
      <c r="CM186" s="4">
        <f t="shared" si="138"/>
        <v>0</v>
      </c>
      <c r="CN186" s="4">
        <f t="shared" si="138"/>
        <v>0</v>
      </c>
      <c r="CO186" s="4">
        <f t="shared" si="138"/>
        <v>0</v>
      </c>
      <c r="CP186" s="4">
        <f t="shared" si="138"/>
        <v>0</v>
      </c>
      <c r="CQ186" s="4">
        <f t="shared" si="138"/>
        <v>0</v>
      </c>
      <c r="CR186" s="4">
        <f t="shared" si="138"/>
        <v>0</v>
      </c>
      <c r="CS186" s="4">
        <f t="shared" si="138"/>
        <v>0</v>
      </c>
      <c r="CT186" s="4">
        <f t="shared" si="138"/>
        <v>0</v>
      </c>
      <c r="CU186" s="4">
        <f t="shared" si="138"/>
        <v>0</v>
      </c>
      <c r="CV186" s="4">
        <f t="shared" si="138"/>
        <v>0</v>
      </c>
      <c r="CW186" s="4">
        <f t="shared" si="138"/>
        <v>0</v>
      </c>
      <c r="CX186" s="4">
        <f t="shared" si="138"/>
        <v>0</v>
      </c>
      <c r="CY186" s="4">
        <f t="shared" si="138"/>
        <v>0</v>
      </c>
      <c r="CZ186" s="4">
        <f t="shared" si="138"/>
        <v>0</v>
      </c>
      <c r="DA186" s="4">
        <f t="shared" si="138"/>
        <v>0</v>
      </c>
      <c r="DB186" s="4">
        <f t="shared" si="138"/>
        <v>0</v>
      </c>
      <c r="DC186" s="4">
        <f t="shared" si="138"/>
        <v>0</v>
      </c>
      <c r="DD186" s="4">
        <f t="shared" si="138"/>
        <v>0</v>
      </c>
      <c r="DE186" s="4">
        <f t="shared" si="138"/>
        <v>0</v>
      </c>
      <c r="DF186" s="4">
        <f t="shared" si="138"/>
        <v>0</v>
      </c>
      <c r="DG186" s="4">
        <f t="shared" si="138"/>
        <v>0</v>
      </c>
      <c r="DH186" s="4">
        <f t="shared" si="138"/>
        <v>0</v>
      </c>
      <c r="DI186" s="4">
        <f t="shared" si="138"/>
        <v>0</v>
      </c>
      <c r="DJ186" s="4">
        <f t="shared" si="138"/>
        <v>0</v>
      </c>
      <c r="DK186" s="4">
        <f t="shared" si="138"/>
        <v>0</v>
      </c>
      <c r="DL186" s="4">
        <f t="shared" si="138"/>
        <v>0</v>
      </c>
      <c r="DM186" s="47"/>
    </row>
    <row r="187" spans="5:117" ht="15" thickBot="1" x14ac:dyDescent="0.4"/>
    <row r="188" spans="5:117" ht="15" thickBot="1" x14ac:dyDescent="0.4">
      <c r="J188" s="48"/>
      <c r="K188" s="49" t="s">
        <v>272</v>
      </c>
      <c r="L188" s="50" t="s">
        <v>34</v>
      </c>
      <c r="M188" s="51" t="s">
        <v>35</v>
      </c>
      <c r="N188" s="51" t="s">
        <v>36</v>
      </c>
      <c r="O188" s="51" t="s">
        <v>37</v>
      </c>
      <c r="P188" s="51" t="s">
        <v>38</v>
      </c>
      <c r="Q188" s="51" t="s">
        <v>39</v>
      </c>
      <c r="R188" s="51" t="s">
        <v>40</v>
      </c>
      <c r="S188" s="51" t="s">
        <v>41</v>
      </c>
      <c r="T188" s="51" t="s">
        <v>42</v>
      </c>
      <c r="U188" s="51" t="s">
        <v>43</v>
      </c>
      <c r="V188" s="51" t="s">
        <v>44</v>
      </c>
      <c r="W188" s="51" t="s">
        <v>45</v>
      </c>
      <c r="X188" s="51" t="s">
        <v>46</v>
      </c>
      <c r="Y188" s="51" t="s">
        <v>47</v>
      </c>
      <c r="Z188" s="51" t="s">
        <v>48</v>
      </c>
      <c r="AA188" s="51" t="s">
        <v>49</v>
      </c>
      <c r="AB188" s="51" t="s">
        <v>50</v>
      </c>
      <c r="AC188" s="51" t="s">
        <v>51</v>
      </c>
      <c r="AD188" s="51" t="s">
        <v>52</v>
      </c>
      <c r="AE188" s="51" t="s">
        <v>53</v>
      </c>
      <c r="AF188" s="51" t="s">
        <v>54</v>
      </c>
      <c r="AG188" s="51" t="s">
        <v>55</v>
      </c>
      <c r="AH188" s="51" t="s">
        <v>56</v>
      </c>
      <c r="AI188" s="51" t="s">
        <v>57</v>
      </c>
      <c r="AJ188" s="51" t="s">
        <v>58</v>
      </c>
      <c r="AK188" s="51" t="s">
        <v>59</v>
      </c>
      <c r="AL188" s="51" t="s">
        <v>60</v>
      </c>
      <c r="AM188" s="51" t="s">
        <v>61</v>
      </c>
      <c r="AN188" s="51" t="s">
        <v>62</v>
      </c>
      <c r="AO188" s="51" t="s">
        <v>63</v>
      </c>
      <c r="AP188" s="51" t="s">
        <v>64</v>
      </c>
      <c r="AQ188" s="51" t="s">
        <v>65</v>
      </c>
      <c r="AR188" s="51" t="s">
        <v>66</v>
      </c>
      <c r="AS188" s="51" t="s">
        <v>67</v>
      </c>
      <c r="AT188" s="51" t="s">
        <v>68</v>
      </c>
      <c r="AU188" s="51" t="s">
        <v>69</v>
      </c>
      <c r="AV188" s="51" t="s">
        <v>70</v>
      </c>
      <c r="AW188" s="51" t="s">
        <v>71</v>
      </c>
      <c r="AX188" s="51" t="s">
        <v>72</v>
      </c>
      <c r="AY188" s="51" t="s">
        <v>73</v>
      </c>
      <c r="AZ188" s="51" t="s">
        <v>74</v>
      </c>
      <c r="BA188" s="51" t="s">
        <v>75</v>
      </c>
      <c r="BB188" s="51" t="s">
        <v>76</v>
      </c>
      <c r="BC188" s="51" t="s">
        <v>77</v>
      </c>
      <c r="BD188" s="51" t="s">
        <v>78</v>
      </c>
      <c r="BE188" s="51" t="s">
        <v>79</v>
      </c>
      <c r="BF188" s="51" t="s">
        <v>80</v>
      </c>
      <c r="BG188" s="51" t="s">
        <v>81</v>
      </c>
      <c r="BH188" s="51" t="s">
        <v>82</v>
      </c>
      <c r="BI188" s="51" t="s">
        <v>83</v>
      </c>
      <c r="BJ188" s="51" t="s">
        <v>84</v>
      </c>
      <c r="BK188" s="51" t="s">
        <v>85</v>
      </c>
      <c r="BL188" s="51" t="s">
        <v>86</v>
      </c>
      <c r="BM188" s="51" t="s">
        <v>87</v>
      </c>
      <c r="BN188" s="51" t="s">
        <v>88</v>
      </c>
      <c r="BO188" s="51" t="s">
        <v>89</v>
      </c>
      <c r="BP188" s="51" t="s">
        <v>90</v>
      </c>
      <c r="BQ188" s="51" t="s">
        <v>91</v>
      </c>
      <c r="BR188" s="51" t="s">
        <v>92</v>
      </c>
      <c r="BS188" s="51" t="s">
        <v>93</v>
      </c>
      <c r="BT188" s="51" t="s">
        <v>94</v>
      </c>
      <c r="BU188" s="51" t="s">
        <v>95</v>
      </c>
      <c r="BV188" s="51" t="s">
        <v>96</v>
      </c>
      <c r="BW188" s="51" t="s">
        <v>97</v>
      </c>
      <c r="BX188" s="51" t="s">
        <v>98</v>
      </c>
      <c r="BY188" s="51" t="s">
        <v>99</v>
      </c>
      <c r="BZ188" s="51" t="s">
        <v>100</v>
      </c>
      <c r="CA188" s="51" t="s">
        <v>101</v>
      </c>
      <c r="CB188" s="51" t="s">
        <v>102</v>
      </c>
      <c r="CC188" s="51" t="s">
        <v>103</v>
      </c>
      <c r="CD188" s="51" t="s">
        <v>104</v>
      </c>
      <c r="CE188" s="51" t="s">
        <v>105</v>
      </c>
      <c r="CF188" s="51" t="s">
        <v>106</v>
      </c>
      <c r="CG188" s="51" t="s">
        <v>107</v>
      </c>
      <c r="CH188" s="51" t="s">
        <v>108</v>
      </c>
      <c r="CI188" s="51" t="s">
        <v>109</v>
      </c>
      <c r="CJ188" s="51" t="s">
        <v>110</v>
      </c>
      <c r="CK188" s="51" t="s">
        <v>111</v>
      </c>
      <c r="CL188" s="51" t="s">
        <v>112</v>
      </c>
      <c r="CM188" s="51" t="s">
        <v>113</v>
      </c>
      <c r="CN188" s="51" t="s">
        <v>114</v>
      </c>
      <c r="CO188" s="51" t="s">
        <v>115</v>
      </c>
      <c r="CP188" s="51" t="s">
        <v>116</v>
      </c>
      <c r="CQ188" s="51" t="s">
        <v>117</v>
      </c>
      <c r="CR188" s="51" t="s">
        <v>118</v>
      </c>
      <c r="CS188" s="51" t="s">
        <v>119</v>
      </c>
      <c r="CT188" s="51" t="s">
        <v>120</v>
      </c>
      <c r="CU188" s="51" t="s">
        <v>121</v>
      </c>
      <c r="CV188" s="51" t="s">
        <v>122</v>
      </c>
      <c r="CW188" s="51" t="s">
        <v>123</v>
      </c>
      <c r="CX188" s="51" t="s">
        <v>124</v>
      </c>
      <c r="CY188" s="51" t="s">
        <v>125</v>
      </c>
      <c r="CZ188" s="51" t="s">
        <v>126</v>
      </c>
      <c r="DA188" s="51" t="s">
        <v>127</v>
      </c>
      <c r="DB188" s="51" t="s">
        <v>128</v>
      </c>
      <c r="DC188" s="51" t="s">
        <v>129</v>
      </c>
      <c r="DD188" s="51" t="s">
        <v>130</v>
      </c>
      <c r="DE188" s="51" t="s">
        <v>131</v>
      </c>
      <c r="DF188" s="51" t="s">
        <v>132</v>
      </c>
      <c r="DG188" s="51" t="s">
        <v>133</v>
      </c>
      <c r="DH188" s="51" t="s">
        <v>134</v>
      </c>
      <c r="DI188" s="51" t="s">
        <v>135</v>
      </c>
      <c r="DJ188" s="51" t="s">
        <v>136</v>
      </c>
      <c r="DK188" s="51" t="s">
        <v>137</v>
      </c>
      <c r="DL188" s="52" t="s">
        <v>138</v>
      </c>
    </row>
    <row r="189" spans="5:117" x14ac:dyDescent="0.35">
      <c r="J189" s="7" t="s">
        <v>144</v>
      </c>
      <c r="K189" s="53">
        <f>SUM(K186,K152,K70)</f>
        <v>0</v>
      </c>
      <c r="L189" s="39">
        <f>SUM(L186,L152,L70)</f>
        <v>168</v>
      </c>
      <c r="M189" s="5">
        <f>SUM(M186,M152,M70)</f>
        <v>32</v>
      </c>
      <c r="N189" s="5">
        <f t="shared" ref="N189:BY189" si="139">SUM(N186,N152,N70)</f>
        <v>40</v>
      </c>
      <c r="O189" s="5">
        <f t="shared" si="139"/>
        <v>40</v>
      </c>
      <c r="P189" s="5">
        <f t="shared" si="139"/>
        <v>40</v>
      </c>
      <c r="Q189" s="5">
        <f t="shared" si="139"/>
        <v>16</v>
      </c>
      <c r="R189" s="5">
        <f t="shared" si="139"/>
        <v>0</v>
      </c>
      <c r="S189" s="5">
        <f t="shared" si="139"/>
        <v>0</v>
      </c>
      <c r="T189" s="5">
        <f t="shared" si="139"/>
        <v>0</v>
      </c>
      <c r="U189" s="5">
        <f t="shared" si="139"/>
        <v>0</v>
      </c>
      <c r="V189" s="5">
        <f t="shared" si="139"/>
        <v>0</v>
      </c>
      <c r="W189" s="5">
        <f t="shared" si="139"/>
        <v>0</v>
      </c>
      <c r="X189" s="5">
        <f t="shared" si="139"/>
        <v>0</v>
      </c>
      <c r="Y189" s="5">
        <f t="shared" si="139"/>
        <v>0</v>
      </c>
      <c r="Z189" s="5">
        <f t="shared" si="139"/>
        <v>0</v>
      </c>
      <c r="AA189" s="5">
        <f t="shared" si="139"/>
        <v>0</v>
      </c>
      <c r="AB189" s="5">
        <f t="shared" si="139"/>
        <v>0</v>
      </c>
      <c r="AC189" s="5">
        <f t="shared" si="139"/>
        <v>0</v>
      </c>
      <c r="AD189" s="5">
        <f t="shared" si="139"/>
        <v>0</v>
      </c>
      <c r="AE189" s="5">
        <f t="shared" si="139"/>
        <v>0</v>
      </c>
      <c r="AF189" s="5">
        <f t="shared" si="139"/>
        <v>0</v>
      </c>
      <c r="AG189" s="5">
        <f t="shared" si="139"/>
        <v>0</v>
      </c>
      <c r="AH189" s="5">
        <f t="shared" si="139"/>
        <v>0</v>
      </c>
      <c r="AI189" s="5">
        <f t="shared" si="139"/>
        <v>0</v>
      </c>
      <c r="AJ189" s="5">
        <f t="shared" si="139"/>
        <v>0</v>
      </c>
      <c r="AK189" s="5">
        <f t="shared" si="139"/>
        <v>0</v>
      </c>
      <c r="AL189" s="5">
        <f t="shared" si="139"/>
        <v>0</v>
      </c>
      <c r="AM189" s="5">
        <f t="shared" si="139"/>
        <v>0</v>
      </c>
      <c r="AN189" s="5">
        <f t="shared" si="139"/>
        <v>0</v>
      </c>
      <c r="AO189" s="5">
        <f t="shared" si="139"/>
        <v>0</v>
      </c>
      <c r="AP189" s="5">
        <f t="shared" si="139"/>
        <v>0</v>
      </c>
      <c r="AQ189" s="5">
        <f t="shared" si="139"/>
        <v>0</v>
      </c>
      <c r="AR189" s="5">
        <f t="shared" si="139"/>
        <v>0</v>
      </c>
      <c r="AS189" s="5">
        <f t="shared" si="139"/>
        <v>0</v>
      </c>
      <c r="AT189" s="5">
        <f t="shared" si="139"/>
        <v>0</v>
      </c>
      <c r="AU189" s="5">
        <f t="shared" si="139"/>
        <v>0</v>
      </c>
      <c r="AV189" s="5">
        <f t="shared" si="139"/>
        <v>0</v>
      </c>
      <c r="AW189" s="5">
        <f t="shared" si="139"/>
        <v>0</v>
      </c>
      <c r="AX189" s="5">
        <f t="shared" si="139"/>
        <v>0</v>
      </c>
      <c r="AY189" s="5">
        <f t="shared" si="139"/>
        <v>0</v>
      </c>
      <c r="AZ189" s="5">
        <f t="shared" si="139"/>
        <v>0</v>
      </c>
      <c r="BA189" s="5">
        <f t="shared" si="139"/>
        <v>0</v>
      </c>
      <c r="BB189" s="5">
        <f t="shared" si="139"/>
        <v>0</v>
      </c>
      <c r="BC189" s="5">
        <f t="shared" si="139"/>
        <v>0</v>
      </c>
      <c r="BD189" s="5">
        <f t="shared" si="139"/>
        <v>0</v>
      </c>
      <c r="BE189" s="5">
        <f t="shared" si="139"/>
        <v>0</v>
      </c>
      <c r="BF189" s="5">
        <f t="shared" si="139"/>
        <v>0</v>
      </c>
      <c r="BG189" s="5">
        <f t="shared" si="139"/>
        <v>0</v>
      </c>
      <c r="BH189" s="5">
        <f t="shared" si="139"/>
        <v>0</v>
      </c>
      <c r="BI189" s="5">
        <f t="shared" si="139"/>
        <v>0</v>
      </c>
      <c r="BJ189" s="5">
        <f t="shared" si="139"/>
        <v>0</v>
      </c>
      <c r="BK189" s="5">
        <f t="shared" si="139"/>
        <v>0</v>
      </c>
      <c r="BL189" s="5">
        <f t="shared" si="139"/>
        <v>0</v>
      </c>
      <c r="BM189" s="5">
        <f t="shared" si="139"/>
        <v>0</v>
      </c>
      <c r="BN189" s="5">
        <f t="shared" si="139"/>
        <v>0</v>
      </c>
      <c r="BO189" s="5">
        <f t="shared" si="139"/>
        <v>0</v>
      </c>
      <c r="BP189" s="5">
        <f t="shared" si="139"/>
        <v>0</v>
      </c>
      <c r="BQ189" s="5">
        <f t="shared" si="139"/>
        <v>0</v>
      </c>
      <c r="BR189" s="5">
        <f t="shared" si="139"/>
        <v>0</v>
      </c>
      <c r="BS189" s="5">
        <f t="shared" si="139"/>
        <v>0</v>
      </c>
      <c r="BT189" s="5">
        <f t="shared" si="139"/>
        <v>0</v>
      </c>
      <c r="BU189" s="5">
        <f t="shared" si="139"/>
        <v>0</v>
      </c>
      <c r="BV189" s="5">
        <f t="shared" si="139"/>
        <v>0</v>
      </c>
      <c r="BW189" s="5">
        <f t="shared" si="139"/>
        <v>0</v>
      </c>
      <c r="BX189" s="5">
        <f t="shared" si="139"/>
        <v>0</v>
      </c>
      <c r="BY189" s="5">
        <f t="shared" si="139"/>
        <v>0</v>
      </c>
      <c r="BZ189" s="5">
        <f t="shared" ref="BZ189:DL189" si="140">SUM(BZ186,BZ152,BZ70)</f>
        <v>0</v>
      </c>
      <c r="CA189" s="5">
        <f t="shared" si="140"/>
        <v>0</v>
      </c>
      <c r="CB189" s="5">
        <f t="shared" si="140"/>
        <v>0</v>
      </c>
      <c r="CC189" s="5">
        <f t="shared" si="140"/>
        <v>0</v>
      </c>
      <c r="CD189" s="5">
        <f t="shared" si="140"/>
        <v>0</v>
      </c>
      <c r="CE189" s="5">
        <f t="shared" si="140"/>
        <v>0</v>
      </c>
      <c r="CF189" s="5">
        <f t="shared" si="140"/>
        <v>0</v>
      </c>
      <c r="CG189" s="5">
        <f t="shared" si="140"/>
        <v>0</v>
      </c>
      <c r="CH189" s="5">
        <f t="shared" si="140"/>
        <v>0</v>
      </c>
      <c r="CI189" s="5">
        <f t="shared" si="140"/>
        <v>0</v>
      </c>
      <c r="CJ189" s="5">
        <f t="shared" si="140"/>
        <v>0</v>
      </c>
      <c r="CK189" s="5">
        <f t="shared" si="140"/>
        <v>0</v>
      </c>
      <c r="CL189" s="5">
        <f t="shared" si="140"/>
        <v>0</v>
      </c>
      <c r="CM189" s="5">
        <f t="shared" si="140"/>
        <v>0</v>
      </c>
      <c r="CN189" s="5">
        <f t="shared" si="140"/>
        <v>0</v>
      </c>
      <c r="CO189" s="5">
        <f t="shared" si="140"/>
        <v>0</v>
      </c>
      <c r="CP189" s="5">
        <f t="shared" si="140"/>
        <v>0</v>
      </c>
      <c r="CQ189" s="5">
        <f t="shared" si="140"/>
        <v>0</v>
      </c>
      <c r="CR189" s="5">
        <f t="shared" si="140"/>
        <v>0</v>
      </c>
      <c r="CS189" s="5">
        <f t="shared" si="140"/>
        <v>0</v>
      </c>
      <c r="CT189" s="5">
        <f t="shared" si="140"/>
        <v>0</v>
      </c>
      <c r="CU189" s="5">
        <f t="shared" si="140"/>
        <v>0</v>
      </c>
      <c r="CV189" s="5">
        <f t="shared" si="140"/>
        <v>0</v>
      </c>
      <c r="CW189" s="5">
        <f t="shared" si="140"/>
        <v>0</v>
      </c>
      <c r="CX189" s="5">
        <f t="shared" si="140"/>
        <v>0</v>
      </c>
      <c r="CY189" s="5">
        <f t="shared" si="140"/>
        <v>0</v>
      </c>
      <c r="CZ189" s="5">
        <f t="shared" si="140"/>
        <v>0</v>
      </c>
      <c r="DA189" s="5">
        <f t="shared" si="140"/>
        <v>0</v>
      </c>
      <c r="DB189" s="5">
        <f t="shared" si="140"/>
        <v>0</v>
      </c>
      <c r="DC189" s="5">
        <f t="shared" si="140"/>
        <v>0</v>
      </c>
      <c r="DD189" s="5">
        <f t="shared" si="140"/>
        <v>0</v>
      </c>
      <c r="DE189" s="5">
        <f t="shared" si="140"/>
        <v>0</v>
      </c>
      <c r="DF189" s="5">
        <f t="shared" si="140"/>
        <v>0</v>
      </c>
      <c r="DG189" s="5">
        <f t="shared" si="140"/>
        <v>0</v>
      </c>
      <c r="DH189" s="5">
        <f t="shared" si="140"/>
        <v>0</v>
      </c>
      <c r="DI189" s="5">
        <f t="shared" si="140"/>
        <v>0</v>
      </c>
      <c r="DJ189" s="5">
        <f t="shared" si="140"/>
        <v>0</v>
      </c>
      <c r="DK189" s="5">
        <f t="shared" si="140"/>
        <v>0</v>
      </c>
      <c r="DL189" s="6">
        <f t="shared" si="140"/>
        <v>0</v>
      </c>
    </row>
    <row r="190" spans="5:117" ht="15" thickBot="1" x14ac:dyDescent="0.4">
      <c r="J190" s="225" t="s">
        <v>273</v>
      </c>
      <c r="K190" s="226"/>
      <c r="L190" s="227"/>
      <c r="M190" s="54">
        <f>SUMPRODUCT(M156:M185,$I$156:$I$185)+SUMPRODUCT(M122:M151,$I$122:$I$151)+SUMPRODUCT(M20:M69,$I$20:$I$69)</f>
        <v>0</v>
      </c>
      <c r="N190" s="54">
        <f t="shared" ref="N190:BY190" si="141">SUMPRODUCT(N156:N185,$I$156:$I$185)+SUMPRODUCT(N122:N151,$I$122:$I$151)+SUMPRODUCT(N20:N69,$I$20:$I$69)</f>
        <v>0</v>
      </c>
      <c r="O190" s="54">
        <f t="shared" si="141"/>
        <v>0</v>
      </c>
      <c r="P190" s="54">
        <f t="shared" si="141"/>
        <v>0</v>
      </c>
      <c r="Q190" s="54">
        <f t="shared" si="141"/>
        <v>0</v>
      </c>
      <c r="R190" s="54">
        <f t="shared" si="141"/>
        <v>0</v>
      </c>
      <c r="S190" s="54">
        <f t="shared" si="141"/>
        <v>0</v>
      </c>
      <c r="T190" s="54">
        <f t="shared" si="141"/>
        <v>0</v>
      </c>
      <c r="U190" s="54">
        <f t="shared" si="141"/>
        <v>0</v>
      </c>
      <c r="V190" s="54">
        <f t="shared" si="141"/>
        <v>0</v>
      </c>
      <c r="W190" s="54">
        <f t="shared" si="141"/>
        <v>0</v>
      </c>
      <c r="X190" s="54">
        <f t="shared" si="141"/>
        <v>0</v>
      </c>
      <c r="Y190" s="54">
        <f t="shared" si="141"/>
        <v>0</v>
      </c>
      <c r="Z190" s="54">
        <f t="shared" si="141"/>
        <v>0</v>
      </c>
      <c r="AA190" s="54">
        <f t="shared" si="141"/>
        <v>0</v>
      </c>
      <c r="AB190" s="54">
        <f t="shared" si="141"/>
        <v>0</v>
      </c>
      <c r="AC190" s="54">
        <f t="shared" si="141"/>
        <v>0</v>
      </c>
      <c r="AD190" s="54">
        <f t="shared" si="141"/>
        <v>0</v>
      </c>
      <c r="AE190" s="54">
        <f t="shared" si="141"/>
        <v>0</v>
      </c>
      <c r="AF190" s="54">
        <f t="shared" si="141"/>
        <v>0</v>
      </c>
      <c r="AG190" s="54">
        <f t="shared" si="141"/>
        <v>0</v>
      </c>
      <c r="AH190" s="54">
        <f t="shared" si="141"/>
        <v>0</v>
      </c>
      <c r="AI190" s="54">
        <f t="shared" si="141"/>
        <v>0</v>
      </c>
      <c r="AJ190" s="54">
        <f t="shared" si="141"/>
        <v>0</v>
      </c>
      <c r="AK190" s="54">
        <f t="shared" si="141"/>
        <v>0</v>
      </c>
      <c r="AL190" s="54">
        <f t="shared" si="141"/>
        <v>0</v>
      </c>
      <c r="AM190" s="54">
        <f t="shared" si="141"/>
        <v>0</v>
      </c>
      <c r="AN190" s="54">
        <f t="shared" si="141"/>
        <v>0</v>
      </c>
      <c r="AO190" s="54">
        <f t="shared" si="141"/>
        <v>0</v>
      </c>
      <c r="AP190" s="54">
        <f t="shared" si="141"/>
        <v>0</v>
      </c>
      <c r="AQ190" s="54">
        <f t="shared" si="141"/>
        <v>0</v>
      </c>
      <c r="AR190" s="54">
        <f t="shared" si="141"/>
        <v>0</v>
      </c>
      <c r="AS190" s="54">
        <f t="shared" si="141"/>
        <v>0</v>
      </c>
      <c r="AT190" s="54">
        <f t="shared" si="141"/>
        <v>0</v>
      </c>
      <c r="AU190" s="54">
        <f t="shared" si="141"/>
        <v>0</v>
      </c>
      <c r="AV190" s="54">
        <f t="shared" si="141"/>
        <v>0</v>
      </c>
      <c r="AW190" s="54">
        <f t="shared" si="141"/>
        <v>0</v>
      </c>
      <c r="AX190" s="54">
        <f t="shared" si="141"/>
        <v>0</v>
      </c>
      <c r="AY190" s="54">
        <f t="shared" si="141"/>
        <v>0</v>
      </c>
      <c r="AZ190" s="54">
        <f t="shared" si="141"/>
        <v>0</v>
      </c>
      <c r="BA190" s="54">
        <f t="shared" si="141"/>
        <v>0</v>
      </c>
      <c r="BB190" s="54">
        <f t="shared" si="141"/>
        <v>0</v>
      </c>
      <c r="BC190" s="54">
        <f t="shared" si="141"/>
        <v>0</v>
      </c>
      <c r="BD190" s="54">
        <f t="shared" si="141"/>
        <v>0</v>
      </c>
      <c r="BE190" s="54">
        <f t="shared" si="141"/>
        <v>0</v>
      </c>
      <c r="BF190" s="54">
        <f t="shared" si="141"/>
        <v>0</v>
      </c>
      <c r="BG190" s="54">
        <f t="shared" si="141"/>
        <v>0</v>
      </c>
      <c r="BH190" s="54">
        <f t="shared" si="141"/>
        <v>0</v>
      </c>
      <c r="BI190" s="54">
        <f t="shared" si="141"/>
        <v>0</v>
      </c>
      <c r="BJ190" s="54">
        <f t="shared" si="141"/>
        <v>0</v>
      </c>
      <c r="BK190" s="54">
        <f t="shared" si="141"/>
        <v>0</v>
      </c>
      <c r="BL190" s="54">
        <f t="shared" si="141"/>
        <v>0</v>
      </c>
      <c r="BM190" s="54">
        <f t="shared" si="141"/>
        <v>0</v>
      </c>
      <c r="BN190" s="54">
        <f t="shared" si="141"/>
        <v>0</v>
      </c>
      <c r="BO190" s="54">
        <f t="shared" si="141"/>
        <v>0</v>
      </c>
      <c r="BP190" s="54">
        <f t="shared" si="141"/>
        <v>0</v>
      </c>
      <c r="BQ190" s="54">
        <f t="shared" si="141"/>
        <v>0</v>
      </c>
      <c r="BR190" s="54">
        <f t="shared" si="141"/>
        <v>0</v>
      </c>
      <c r="BS190" s="54">
        <f t="shared" si="141"/>
        <v>0</v>
      </c>
      <c r="BT190" s="54">
        <f t="shared" si="141"/>
        <v>0</v>
      </c>
      <c r="BU190" s="54">
        <f t="shared" si="141"/>
        <v>0</v>
      </c>
      <c r="BV190" s="54">
        <f t="shared" si="141"/>
        <v>0</v>
      </c>
      <c r="BW190" s="54">
        <f t="shared" si="141"/>
        <v>0</v>
      </c>
      <c r="BX190" s="54">
        <f t="shared" si="141"/>
        <v>0</v>
      </c>
      <c r="BY190" s="54">
        <f t="shared" si="141"/>
        <v>0</v>
      </c>
      <c r="BZ190" s="54">
        <f t="shared" ref="BZ190:DL190" si="142">SUMPRODUCT(BZ156:BZ185,$I$156:$I$185)+SUMPRODUCT(BZ122:BZ151,$I$122:$I$151)+SUMPRODUCT(BZ20:BZ69,$I$20:$I$69)</f>
        <v>0</v>
      </c>
      <c r="CA190" s="54">
        <f t="shared" si="142"/>
        <v>0</v>
      </c>
      <c r="CB190" s="54">
        <f t="shared" si="142"/>
        <v>0</v>
      </c>
      <c r="CC190" s="54">
        <f t="shared" si="142"/>
        <v>0</v>
      </c>
      <c r="CD190" s="54">
        <f t="shared" si="142"/>
        <v>0</v>
      </c>
      <c r="CE190" s="54">
        <f t="shared" si="142"/>
        <v>0</v>
      </c>
      <c r="CF190" s="54">
        <f t="shared" si="142"/>
        <v>0</v>
      </c>
      <c r="CG190" s="54">
        <f t="shared" si="142"/>
        <v>0</v>
      </c>
      <c r="CH190" s="54">
        <f t="shared" si="142"/>
        <v>0</v>
      </c>
      <c r="CI190" s="54">
        <f t="shared" si="142"/>
        <v>0</v>
      </c>
      <c r="CJ190" s="54">
        <f t="shared" si="142"/>
        <v>0</v>
      </c>
      <c r="CK190" s="54">
        <f t="shared" si="142"/>
        <v>0</v>
      </c>
      <c r="CL190" s="54">
        <f t="shared" si="142"/>
        <v>0</v>
      </c>
      <c r="CM190" s="54">
        <f t="shared" si="142"/>
        <v>0</v>
      </c>
      <c r="CN190" s="54">
        <f t="shared" si="142"/>
        <v>0</v>
      </c>
      <c r="CO190" s="54">
        <f t="shared" si="142"/>
        <v>0</v>
      </c>
      <c r="CP190" s="54">
        <f t="shared" si="142"/>
        <v>0</v>
      </c>
      <c r="CQ190" s="54">
        <f t="shared" si="142"/>
        <v>0</v>
      </c>
      <c r="CR190" s="54">
        <f t="shared" si="142"/>
        <v>0</v>
      </c>
      <c r="CS190" s="54">
        <f t="shared" si="142"/>
        <v>0</v>
      </c>
      <c r="CT190" s="54">
        <f t="shared" si="142"/>
        <v>0</v>
      </c>
      <c r="CU190" s="54">
        <f t="shared" si="142"/>
        <v>0</v>
      </c>
      <c r="CV190" s="54">
        <f t="shared" si="142"/>
        <v>0</v>
      </c>
      <c r="CW190" s="54">
        <f t="shared" si="142"/>
        <v>0</v>
      </c>
      <c r="CX190" s="54">
        <f t="shared" si="142"/>
        <v>0</v>
      </c>
      <c r="CY190" s="54">
        <f t="shared" si="142"/>
        <v>0</v>
      </c>
      <c r="CZ190" s="54">
        <f t="shared" si="142"/>
        <v>0</v>
      </c>
      <c r="DA190" s="54">
        <f t="shared" si="142"/>
        <v>0</v>
      </c>
      <c r="DB190" s="54">
        <f t="shared" si="142"/>
        <v>0</v>
      </c>
      <c r="DC190" s="54">
        <f t="shared" si="142"/>
        <v>0</v>
      </c>
      <c r="DD190" s="54">
        <f t="shared" si="142"/>
        <v>0</v>
      </c>
      <c r="DE190" s="54">
        <f t="shared" si="142"/>
        <v>0</v>
      </c>
      <c r="DF190" s="54">
        <f t="shared" si="142"/>
        <v>0</v>
      </c>
      <c r="DG190" s="54">
        <f t="shared" si="142"/>
        <v>0</v>
      </c>
      <c r="DH190" s="54">
        <f t="shared" si="142"/>
        <v>0</v>
      </c>
      <c r="DI190" s="54">
        <f t="shared" si="142"/>
        <v>0</v>
      </c>
      <c r="DJ190" s="54">
        <f t="shared" si="142"/>
        <v>0</v>
      </c>
      <c r="DK190" s="54">
        <f t="shared" si="142"/>
        <v>0</v>
      </c>
      <c r="DL190" s="21">
        <f t="shared" si="142"/>
        <v>0</v>
      </c>
    </row>
  </sheetData>
  <sheetProtection formatRows="0" sort="0" autoFilter="0" pivotTables="0"/>
  <mergeCells count="2">
    <mergeCell ref="J190:L190"/>
    <mergeCell ref="K8:N8"/>
  </mergeCells>
  <phoneticPr fontId="25" type="noConversion"/>
  <conditionalFormatting sqref="A3:B3">
    <cfRule type="cellIs" dxfId="9" priority="1" operator="lessThan">
      <formula>0.4</formula>
    </cfRule>
    <cfRule type="cellIs" dxfId="8" priority="2" operator="between">
      <formula>0.4</formula>
      <formula>0.45</formula>
    </cfRule>
    <cfRule type="cellIs" dxfId="7" priority="3" operator="between">
      <formula>0.451</formula>
      <formula>0.52</formula>
    </cfRule>
    <cfRule type="cellIs" dxfId="6" priority="4" operator="between">
      <formula>0.521</formula>
      <formula>0.6</formula>
    </cfRule>
    <cfRule type="cellIs" dxfId="5" priority="5" operator="greaterThan">
      <formula>0.6</formula>
    </cfRule>
  </conditionalFormatting>
  <dataValidations count="3">
    <dataValidation type="whole" allowBlank="1" showErrorMessage="1" error="Please enter a value between 0 and 40 hours." sqref="M20:DL69" xr:uid="{999D0149-1401-4512-A052-A82D7E2B7DAE}">
      <formula1>0</formula1>
      <formula2>40</formula2>
    </dataValidation>
    <dataValidation allowBlank="1" error="Please enter a value between 0 and 40 hours." sqref="M88:DL117 M122:DL151 M156:DL185" xr:uid="{568F1B74-085C-4975-9963-83FCD4C97058}"/>
    <dataValidation type="decimal" operator="greaterThan" allowBlank="1" showErrorMessage="1" error="Please enter a value greater than 0." sqref="M74:DL83" xr:uid="{35ECE0F6-EFE9-4DCF-9DEF-2878BEC56ADA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B0D057-3737-4964-99B8-403F7D3972DB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78D9-C430-4910-8A5C-F543F01AD6BD}">
  <sheetPr codeName="Sheet3"/>
  <dimension ref="A1:DN192"/>
  <sheetViews>
    <sheetView showGridLines="0" zoomScale="80" zoomScaleNormal="80" workbookViewId="0">
      <pane ySplit="16" topLeftCell="A17" activePane="bottomLeft" state="frozen"/>
      <selection pane="bottomLeft" activeCell="G8" sqref="G8"/>
    </sheetView>
  </sheetViews>
  <sheetFormatPr defaultRowHeight="14.5" x14ac:dyDescent="0.35"/>
  <cols>
    <col min="1" max="1" width="14.453125" hidden="1" customWidth="1"/>
    <col min="2" max="2" width="11.6328125" hidden="1" customWidth="1"/>
    <col min="3" max="3" width="7.453125" hidden="1" customWidth="1"/>
    <col min="4" max="4" width="55.54296875" hidden="1" customWidth="1"/>
    <col min="5" max="5" width="35.6328125" bestFit="1" customWidth="1"/>
    <col min="6" max="6" width="19.90625" bestFit="1" customWidth="1"/>
    <col min="7" max="7" width="21.36328125" bestFit="1" customWidth="1"/>
    <col min="8" max="8" width="19.08984375" bestFit="1" customWidth="1"/>
    <col min="9" max="9" width="17.08984375" bestFit="1" customWidth="1"/>
    <col min="10" max="10" width="17.08984375" customWidth="1"/>
    <col min="11" max="11" width="20.36328125" customWidth="1"/>
    <col min="12" max="12" width="20.6328125" bestFit="1" customWidth="1"/>
    <col min="13" max="13" width="14.54296875" bestFit="1" customWidth="1"/>
    <col min="14" max="117" width="14.36328125" customWidth="1"/>
    <col min="118" max="118" width="19.54296875" customWidth="1"/>
  </cols>
  <sheetData>
    <row r="1" spans="1:14" hidden="1" x14ac:dyDescent="0.35"/>
    <row r="2" spans="1:14" hidden="1" x14ac:dyDescent="0.35">
      <c r="A2" s="11" t="s">
        <v>302</v>
      </c>
      <c r="B2" s="55" t="s">
        <v>281</v>
      </c>
      <c r="C2" s="13" t="s">
        <v>18</v>
      </c>
      <c r="D2" s="14" t="s">
        <v>19</v>
      </c>
      <c r="G2" s="128"/>
    </row>
    <row r="3" spans="1:14" ht="15" hidden="1" thickBot="1" x14ac:dyDescent="0.4">
      <c r="A3" s="59">
        <f>IFERROR((L70-DN70)/L70,"-")</f>
        <v>0.48888320981344235</v>
      </c>
      <c r="B3" s="60" t="str">
        <f>IFERROR((F9-DN70-K120-K154-K188-F10-F11)/(F9-F10-F11),"-")</f>
        <v>-</v>
      </c>
      <c r="C3" s="17" t="s">
        <v>20</v>
      </c>
      <c r="D3" s="14" t="s">
        <v>21</v>
      </c>
    </row>
    <row r="4" spans="1:14" hidden="1" x14ac:dyDescent="0.35">
      <c r="C4" s="18" t="s">
        <v>22</v>
      </c>
      <c r="D4" s="19" t="s">
        <v>23</v>
      </c>
    </row>
    <row r="5" spans="1:14" hidden="1" x14ac:dyDescent="0.35">
      <c r="C5" s="22" t="s">
        <v>24</v>
      </c>
      <c r="D5" s="14" t="s">
        <v>25</v>
      </c>
    </row>
    <row r="6" spans="1:14" hidden="1" x14ac:dyDescent="0.35">
      <c r="C6" s="24" t="s">
        <v>27</v>
      </c>
      <c r="D6" s="19" t="s">
        <v>28</v>
      </c>
      <c r="G6" s="128"/>
    </row>
    <row r="7" spans="1:14" x14ac:dyDescent="0.35">
      <c r="G7" s="128" t="s">
        <v>324</v>
      </c>
    </row>
    <row r="8" spans="1:14" ht="15" thickBot="1" x14ac:dyDescent="0.4">
      <c r="E8" s="128"/>
      <c r="H8" s="62"/>
      <c r="I8" s="62"/>
      <c r="J8" s="48"/>
      <c r="K8" s="228" t="s">
        <v>141</v>
      </c>
      <c r="L8" s="228"/>
      <c r="M8" s="228"/>
      <c r="N8" s="228"/>
    </row>
    <row r="9" spans="1:14" x14ac:dyDescent="0.35">
      <c r="E9" s="9" t="s">
        <v>17</v>
      </c>
      <c r="F9" s="10">
        <f>SUM(L70,F11,F12,F13)</f>
        <v>581532</v>
      </c>
      <c r="H9" s="65" t="s">
        <v>278</v>
      </c>
      <c r="I9" s="34" t="s">
        <v>269</v>
      </c>
      <c r="J9" s="34" t="s">
        <v>309</v>
      </c>
      <c r="K9" s="11" t="s">
        <v>279</v>
      </c>
      <c r="L9" s="55" t="s">
        <v>280</v>
      </c>
      <c r="M9" s="132" t="s">
        <v>319</v>
      </c>
      <c r="N9" s="132" t="s">
        <v>318</v>
      </c>
    </row>
    <row r="10" spans="1:14" ht="15" thickBot="1" x14ac:dyDescent="0.4">
      <c r="E10" s="12" t="s">
        <v>287</v>
      </c>
      <c r="F10" s="100">
        <f>L84</f>
        <v>0</v>
      </c>
      <c r="H10" s="56">
        <f>IFERROR(L70/K70,"-")</f>
        <v>1.3416666666666666</v>
      </c>
      <c r="I10" s="57">
        <f>IFERROR(L191/M191,"-")</f>
        <v>3461.5</v>
      </c>
      <c r="J10" s="58" t="str">
        <f>K120</f>
        <v>-</v>
      </c>
      <c r="K10" s="58" t="str">
        <f>IFERROR((L154-K154)/L154,"-")</f>
        <v>-</v>
      </c>
      <c r="L10" s="87" t="str">
        <f>IFERROR((L188-K188)/L188,"-")</f>
        <v>-</v>
      </c>
      <c r="M10" s="87">
        <f>A3</f>
        <v>0.48888320981344235</v>
      </c>
      <c r="N10" s="87" t="str">
        <f>B3</f>
        <v>-</v>
      </c>
    </row>
    <row r="11" spans="1:14" x14ac:dyDescent="0.35">
      <c r="E11" s="15" t="s">
        <v>284</v>
      </c>
      <c r="F11" s="16">
        <f>L120</f>
        <v>0</v>
      </c>
    </row>
    <row r="12" spans="1:14" x14ac:dyDescent="0.35">
      <c r="E12" s="15" t="s">
        <v>285</v>
      </c>
      <c r="F12" s="16">
        <f>L154</f>
        <v>0</v>
      </c>
    </row>
    <row r="13" spans="1:14" ht="15" thickBot="1" x14ac:dyDescent="0.4">
      <c r="E13" s="20" t="s">
        <v>286</v>
      </c>
      <c r="F13" s="21">
        <f>L188</f>
        <v>0</v>
      </c>
    </row>
    <row r="14" spans="1:14" ht="15" thickBot="1" x14ac:dyDescent="0.4">
      <c r="E14" s="19"/>
      <c r="F14" s="23"/>
    </row>
    <row r="15" spans="1:14" x14ac:dyDescent="0.35">
      <c r="E15" s="9" t="s">
        <v>306</v>
      </c>
      <c r="F15" s="10">
        <f>F9-F10</f>
        <v>581532</v>
      </c>
    </row>
    <row r="16" spans="1:14" ht="15" thickBot="1" x14ac:dyDescent="0.4">
      <c r="E16" s="25" t="s">
        <v>311</v>
      </c>
      <c r="F16" s="64">
        <f>F15*'Data Validation'!D3</f>
        <v>7559.9159999999993</v>
      </c>
    </row>
    <row r="17" spans="5:118" ht="16" thickBot="1" x14ac:dyDescent="0.4">
      <c r="E17" s="26"/>
      <c r="F17" s="27"/>
    </row>
    <row r="18" spans="5:118" ht="15" thickBot="1" x14ac:dyDescent="0.4">
      <c r="E18" s="28" t="s">
        <v>151</v>
      </c>
      <c r="N18" s="29">
        <f>FrontPage!B9</f>
        <v>46174.229166666664</v>
      </c>
      <c r="O18" s="30">
        <f>N18+7</f>
        <v>46181.229166666664</v>
      </c>
      <c r="P18" s="30">
        <f t="shared" ref="P18:CA18" si="0">O18+7</f>
        <v>46188.229166666664</v>
      </c>
      <c r="Q18" s="30">
        <f t="shared" si="0"/>
        <v>46195.229166666664</v>
      </c>
      <c r="R18" s="30">
        <f t="shared" si="0"/>
        <v>46202.229166666664</v>
      </c>
      <c r="S18" s="30">
        <f t="shared" si="0"/>
        <v>46209.229166666664</v>
      </c>
      <c r="T18" s="30">
        <f t="shared" si="0"/>
        <v>46216.229166666664</v>
      </c>
      <c r="U18" s="30">
        <f t="shared" si="0"/>
        <v>46223.229166666664</v>
      </c>
      <c r="V18" s="30">
        <f t="shared" si="0"/>
        <v>46230.229166666664</v>
      </c>
      <c r="W18" s="30">
        <f t="shared" si="0"/>
        <v>46237.229166666664</v>
      </c>
      <c r="X18" s="30">
        <f t="shared" si="0"/>
        <v>46244.229166666664</v>
      </c>
      <c r="Y18" s="30">
        <f t="shared" si="0"/>
        <v>46251.229166666664</v>
      </c>
      <c r="Z18" s="30">
        <f t="shared" si="0"/>
        <v>46258.229166666664</v>
      </c>
      <c r="AA18" s="30">
        <f t="shared" si="0"/>
        <v>46265.229166666664</v>
      </c>
      <c r="AB18" s="30">
        <f t="shared" si="0"/>
        <v>46272.229166666664</v>
      </c>
      <c r="AC18" s="30">
        <f t="shared" si="0"/>
        <v>46279.229166666664</v>
      </c>
      <c r="AD18" s="30">
        <f t="shared" si="0"/>
        <v>46286.229166666664</v>
      </c>
      <c r="AE18" s="30">
        <f t="shared" si="0"/>
        <v>46293.229166666664</v>
      </c>
      <c r="AF18" s="30">
        <f t="shared" si="0"/>
        <v>46300.229166666664</v>
      </c>
      <c r="AG18" s="30">
        <f t="shared" si="0"/>
        <v>46307.229166666664</v>
      </c>
      <c r="AH18" s="30">
        <f t="shared" si="0"/>
        <v>46314.229166666664</v>
      </c>
      <c r="AI18" s="30">
        <f t="shared" si="0"/>
        <v>46321.229166666664</v>
      </c>
      <c r="AJ18" s="30">
        <f t="shared" si="0"/>
        <v>46328.229166666664</v>
      </c>
      <c r="AK18" s="30">
        <f t="shared" si="0"/>
        <v>46335.229166666664</v>
      </c>
      <c r="AL18" s="30">
        <f t="shared" si="0"/>
        <v>46342.229166666664</v>
      </c>
      <c r="AM18" s="30">
        <f t="shared" si="0"/>
        <v>46349.229166666664</v>
      </c>
      <c r="AN18" s="30">
        <f t="shared" si="0"/>
        <v>46356.229166666664</v>
      </c>
      <c r="AO18" s="30">
        <f t="shared" si="0"/>
        <v>46363.229166666664</v>
      </c>
      <c r="AP18" s="30">
        <f t="shared" si="0"/>
        <v>46370.229166666664</v>
      </c>
      <c r="AQ18" s="30">
        <f t="shared" si="0"/>
        <v>46377.229166666664</v>
      </c>
      <c r="AR18" s="30">
        <f t="shared" si="0"/>
        <v>46384.229166666664</v>
      </c>
      <c r="AS18" s="30">
        <f t="shared" si="0"/>
        <v>46391.229166666664</v>
      </c>
      <c r="AT18" s="30">
        <f t="shared" si="0"/>
        <v>46398.229166666664</v>
      </c>
      <c r="AU18" s="30">
        <f t="shared" si="0"/>
        <v>46405.229166666664</v>
      </c>
      <c r="AV18" s="30">
        <f t="shared" si="0"/>
        <v>46412.229166666664</v>
      </c>
      <c r="AW18" s="30">
        <f t="shared" si="0"/>
        <v>46419.229166666664</v>
      </c>
      <c r="AX18" s="30">
        <f t="shared" si="0"/>
        <v>46426.229166666664</v>
      </c>
      <c r="AY18" s="30">
        <f t="shared" si="0"/>
        <v>46433.229166666664</v>
      </c>
      <c r="AZ18" s="30">
        <f t="shared" si="0"/>
        <v>46440.229166666664</v>
      </c>
      <c r="BA18" s="30">
        <f t="shared" si="0"/>
        <v>46447.229166666664</v>
      </c>
      <c r="BB18" s="30">
        <f t="shared" si="0"/>
        <v>46454.229166666664</v>
      </c>
      <c r="BC18" s="30">
        <f t="shared" si="0"/>
        <v>46461.229166666664</v>
      </c>
      <c r="BD18" s="30">
        <f t="shared" si="0"/>
        <v>46468.229166666664</v>
      </c>
      <c r="BE18" s="30">
        <f t="shared" si="0"/>
        <v>46475.229166666664</v>
      </c>
      <c r="BF18" s="30">
        <f t="shared" si="0"/>
        <v>46482.229166666664</v>
      </c>
      <c r="BG18" s="30">
        <f t="shared" si="0"/>
        <v>46489.229166666664</v>
      </c>
      <c r="BH18" s="30">
        <f t="shared" si="0"/>
        <v>46496.229166666664</v>
      </c>
      <c r="BI18" s="30">
        <f t="shared" si="0"/>
        <v>46503.229166666664</v>
      </c>
      <c r="BJ18" s="30">
        <f t="shared" si="0"/>
        <v>46510.229166666664</v>
      </c>
      <c r="BK18" s="30">
        <f t="shared" si="0"/>
        <v>46517.229166666664</v>
      </c>
      <c r="BL18" s="30">
        <f t="shared" si="0"/>
        <v>46524.229166666664</v>
      </c>
      <c r="BM18" s="30">
        <f t="shared" si="0"/>
        <v>46531.229166666664</v>
      </c>
      <c r="BN18" s="30">
        <f t="shared" si="0"/>
        <v>46538.229166666664</v>
      </c>
      <c r="BO18" s="30">
        <f t="shared" si="0"/>
        <v>46545.229166666664</v>
      </c>
      <c r="BP18" s="30">
        <f t="shared" si="0"/>
        <v>46552.229166666664</v>
      </c>
      <c r="BQ18" s="30">
        <f t="shared" si="0"/>
        <v>46559.229166666664</v>
      </c>
      <c r="BR18" s="30">
        <f t="shared" si="0"/>
        <v>46566.229166666664</v>
      </c>
      <c r="BS18" s="30">
        <f t="shared" si="0"/>
        <v>46573.229166666664</v>
      </c>
      <c r="BT18" s="30">
        <f t="shared" si="0"/>
        <v>46580.229166666664</v>
      </c>
      <c r="BU18" s="30">
        <f t="shared" si="0"/>
        <v>46587.229166666664</v>
      </c>
      <c r="BV18" s="30">
        <f t="shared" si="0"/>
        <v>46594.229166666664</v>
      </c>
      <c r="BW18" s="30">
        <f t="shared" si="0"/>
        <v>46601.229166666664</v>
      </c>
      <c r="BX18" s="30">
        <f t="shared" si="0"/>
        <v>46608.229166666664</v>
      </c>
      <c r="BY18" s="30">
        <f t="shared" si="0"/>
        <v>46615.229166666664</v>
      </c>
      <c r="BZ18" s="30">
        <f t="shared" si="0"/>
        <v>46622.229166666664</v>
      </c>
      <c r="CA18" s="30">
        <f t="shared" si="0"/>
        <v>46629.229166666664</v>
      </c>
      <c r="CB18" s="30">
        <f t="shared" ref="CB18:DM18" si="1">CA18+7</f>
        <v>46636.229166666664</v>
      </c>
      <c r="CC18" s="30">
        <f t="shared" si="1"/>
        <v>46643.229166666664</v>
      </c>
      <c r="CD18" s="30">
        <f t="shared" si="1"/>
        <v>46650.229166666664</v>
      </c>
      <c r="CE18" s="30">
        <f t="shared" si="1"/>
        <v>46657.229166666664</v>
      </c>
      <c r="CF18" s="30">
        <f t="shared" si="1"/>
        <v>46664.229166666664</v>
      </c>
      <c r="CG18" s="30">
        <f t="shared" si="1"/>
        <v>46671.229166666664</v>
      </c>
      <c r="CH18" s="30">
        <f t="shared" si="1"/>
        <v>46678.229166666664</v>
      </c>
      <c r="CI18" s="30">
        <f t="shared" si="1"/>
        <v>46685.229166666664</v>
      </c>
      <c r="CJ18" s="30">
        <f t="shared" si="1"/>
        <v>46692.229166666664</v>
      </c>
      <c r="CK18" s="30">
        <f t="shared" si="1"/>
        <v>46699.229166666664</v>
      </c>
      <c r="CL18" s="30">
        <f t="shared" si="1"/>
        <v>46706.229166666664</v>
      </c>
      <c r="CM18" s="30">
        <f t="shared" si="1"/>
        <v>46713.229166666664</v>
      </c>
      <c r="CN18" s="30">
        <f t="shared" si="1"/>
        <v>46720.229166666664</v>
      </c>
      <c r="CO18" s="30">
        <f t="shared" si="1"/>
        <v>46727.229166666664</v>
      </c>
      <c r="CP18" s="30">
        <f t="shared" si="1"/>
        <v>46734.229166666664</v>
      </c>
      <c r="CQ18" s="30">
        <f t="shared" si="1"/>
        <v>46741.229166666664</v>
      </c>
      <c r="CR18" s="30">
        <f t="shared" si="1"/>
        <v>46748.229166666664</v>
      </c>
      <c r="CS18" s="30">
        <f t="shared" si="1"/>
        <v>46755.229166666664</v>
      </c>
      <c r="CT18" s="30">
        <f t="shared" si="1"/>
        <v>46762.229166666664</v>
      </c>
      <c r="CU18" s="30">
        <f t="shared" si="1"/>
        <v>46769.229166666664</v>
      </c>
      <c r="CV18" s="30">
        <f t="shared" si="1"/>
        <v>46776.229166666664</v>
      </c>
      <c r="CW18" s="30">
        <f t="shared" si="1"/>
        <v>46783.229166666664</v>
      </c>
      <c r="CX18" s="30">
        <f t="shared" si="1"/>
        <v>46790.229166666664</v>
      </c>
      <c r="CY18" s="30">
        <f t="shared" si="1"/>
        <v>46797.229166666664</v>
      </c>
      <c r="CZ18" s="30">
        <f t="shared" si="1"/>
        <v>46804.229166666664</v>
      </c>
      <c r="DA18" s="30">
        <f t="shared" si="1"/>
        <v>46811.229166666664</v>
      </c>
      <c r="DB18" s="30">
        <f t="shared" si="1"/>
        <v>46818.229166666664</v>
      </c>
      <c r="DC18" s="30">
        <f t="shared" si="1"/>
        <v>46825.229166666664</v>
      </c>
      <c r="DD18" s="30">
        <f t="shared" si="1"/>
        <v>46832.229166666664</v>
      </c>
      <c r="DE18" s="30">
        <f t="shared" si="1"/>
        <v>46839.229166666664</v>
      </c>
      <c r="DF18" s="30">
        <f t="shared" si="1"/>
        <v>46846.229166666664</v>
      </c>
      <c r="DG18" s="30">
        <f t="shared" si="1"/>
        <v>46853.229166666664</v>
      </c>
      <c r="DH18" s="30">
        <f t="shared" si="1"/>
        <v>46860.229166666664</v>
      </c>
      <c r="DI18" s="30">
        <f t="shared" si="1"/>
        <v>46867.229166666664</v>
      </c>
      <c r="DJ18" s="30">
        <f t="shared" si="1"/>
        <v>46874.229166666664</v>
      </c>
      <c r="DK18" s="30">
        <f t="shared" si="1"/>
        <v>46881.229166666664</v>
      </c>
      <c r="DL18" s="30">
        <f t="shared" si="1"/>
        <v>46888.229166666664</v>
      </c>
      <c r="DM18" s="30">
        <f t="shared" si="1"/>
        <v>46895.229166666664</v>
      </c>
      <c r="DN18" s="31"/>
    </row>
    <row r="19" spans="5:118" s="19" customFormat="1" ht="30" customHeight="1" x14ac:dyDescent="0.3">
      <c r="E19" s="28" t="s">
        <v>29</v>
      </c>
      <c r="F19" s="32" t="s">
        <v>145</v>
      </c>
      <c r="G19" s="32" t="s">
        <v>146</v>
      </c>
      <c r="H19" s="33" t="s">
        <v>30</v>
      </c>
      <c r="I19" s="33" t="s">
        <v>264</v>
      </c>
      <c r="J19" s="33" t="s">
        <v>140</v>
      </c>
      <c r="K19" s="33" t="s">
        <v>32</v>
      </c>
      <c r="L19" s="33" t="s">
        <v>283</v>
      </c>
      <c r="M19" s="33" t="s">
        <v>34</v>
      </c>
      <c r="N19" s="34" t="s">
        <v>35</v>
      </c>
      <c r="O19" s="33" t="s">
        <v>36</v>
      </c>
      <c r="P19" s="33" t="s">
        <v>37</v>
      </c>
      <c r="Q19" s="33" t="s">
        <v>38</v>
      </c>
      <c r="R19" s="33" t="s">
        <v>39</v>
      </c>
      <c r="S19" s="33" t="s">
        <v>40</v>
      </c>
      <c r="T19" s="33" t="s">
        <v>41</v>
      </c>
      <c r="U19" s="33" t="s">
        <v>42</v>
      </c>
      <c r="V19" s="33" t="s">
        <v>43</v>
      </c>
      <c r="W19" s="33" t="s">
        <v>44</v>
      </c>
      <c r="X19" s="33" t="s">
        <v>45</v>
      </c>
      <c r="Y19" s="33" t="s">
        <v>46</v>
      </c>
      <c r="Z19" s="33" t="s">
        <v>47</v>
      </c>
      <c r="AA19" s="33" t="s">
        <v>48</v>
      </c>
      <c r="AB19" s="33" t="s">
        <v>49</v>
      </c>
      <c r="AC19" s="33" t="s">
        <v>50</v>
      </c>
      <c r="AD19" s="33" t="s">
        <v>51</v>
      </c>
      <c r="AE19" s="33" t="s">
        <v>52</v>
      </c>
      <c r="AF19" s="33" t="s">
        <v>53</v>
      </c>
      <c r="AG19" s="33" t="s">
        <v>54</v>
      </c>
      <c r="AH19" s="33" t="s">
        <v>55</v>
      </c>
      <c r="AI19" s="33" t="s">
        <v>56</v>
      </c>
      <c r="AJ19" s="33" t="s">
        <v>57</v>
      </c>
      <c r="AK19" s="33" t="s">
        <v>58</v>
      </c>
      <c r="AL19" s="33" t="s">
        <v>59</v>
      </c>
      <c r="AM19" s="33" t="s">
        <v>60</v>
      </c>
      <c r="AN19" s="33" t="s">
        <v>61</v>
      </c>
      <c r="AO19" s="33" t="s">
        <v>62</v>
      </c>
      <c r="AP19" s="33" t="s">
        <v>63</v>
      </c>
      <c r="AQ19" s="33" t="s">
        <v>64</v>
      </c>
      <c r="AR19" s="33" t="s">
        <v>65</v>
      </c>
      <c r="AS19" s="33" t="s">
        <v>66</v>
      </c>
      <c r="AT19" s="33" t="s">
        <v>67</v>
      </c>
      <c r="AU19" s="33" t="s">
        <v>68</v>
      </c>
      <c r="AV19" s="33" t="s">
        <v>69</v>
      </c>
      <c r="AW19" s="33" t="s">
        <v>70</v>
      </c>
      <c r="AX19" s="33" t="s">
        <v>71</v>
      </c>
      <c r="AY19" s="33" t="s">
        <v>72</v>
      </c>
      <c r="AZ19" s="33" t="s">
        <v>73</v>
      </c>
      <c r="BA19" s="33" t="s">
        <v>74</v>
      </c>
      <c r="BB19" s="33" t="s">
        <v>75</v>
      </c>
      <c r="BC19" s="33" t="s">
        <v>76</v>
      </c>
      <c r="BD19" s="33" t="s">
        <v>77</v>
      </c>
      <c r="BE19" s="33" t="s">
        <v>78</v>
      </c>
      <c r="BF19" s="33" t="s">
        <v>79</v>
      </c>
      <c r="BG19" s="33" t="s">
        <v>80</v>
      </c>
      <c r="BH19" s="33" t="s">
        <v>81</v>
      </c>
      <c r="BI19" s="33" t="s">
        <v>82</v>
      </c>
      <c r="BJ19" s="33" t="s">
        <v>83</v>
      </c>
      <c r="BK19" s="33" t="s">
        <v>84</v>
      </c>
      <c r="BL19" s="33" t="s">
        <v>85</v>
      </c>
      <c r="BM19" s="33" t="s">
        <v>86</v>
      </c>
      <c r="BN19" s="33" t="s">
        <v>87</v>
      </c>
      <c r="BO19" s="33" t="s">
        <v>88</v>
      </c>
      <c r="BP19" s="33" t="s">
        <v>89</v>
      </c>
      <c r="BQ19" s="33" t="s">
        <v>90</v>
      </c>
      <c r="BR19" s="33" t="s">
        <v>91</v>
      </c>
      <c r="BS19" s="33" t="s">
        <v>92</v>
      </c>
      <c r="BT19" s="33" t="s">
        <v>93</v>
      </c>
      <c r="BU19" s="33" t="s">
        <v>94</v>
      </c>
      <c r="BV19" s="33" t="s">
        <v>95</v>
      </c>
      <c r="BW19" s="33" t="s">
        <v>96</v>
      </c>
      <c r="BX19" s="33" t="s">
        <v>97</v>
      </c>
      <c r="BY19" s="33" t="s">
        <v>98</v>
      </c>
      <c r="BZ19" s="33" t="s">
        <v>99</v>
      </c>
      <c r="CA19" s="33" t="s">
        <v>100</v>
      </c>
      <c r="CB19" s="33" t="s">
        <v>101</v>
      </c>
      <c r="CC19" s="33" t="s">
        <v>102</v>
      </c>
      <c r="CD19" s="33" t="s">
        <v>103</v>
      </c>
      <c r="CE19" s="33" t="s">
        <v>104</v>
      </c>
      <c r="CF19" s="33" t="s">
        <v>105</v>
      </c>
      <c r="CG19" s="33" t="s">
        <v>106</v>
      </c>
      <c r="CH19" s="33" t="s">
        <v>107</v>
      </c>
      <c r="CI19" s="33" t="s">
        <v>108</v>
      </c>
      <c r="CJ19" s="33" t="s">
        <v>109</v>
      </c>
      <c r="CK19" s="33" t="s">
        <v>110</v>
      </c>
      <c r="CL19" s="33" t="s">
        <v>111</v>
      </c>
      <c r="CM19" s="33" t="s">
        <v>112</v>
      </c>
      <c r="CN19" s="33" t="s">
        <v>113</v>
      </c>
      <c r="CO19" s="33" t="s">
        <v>114</v>
      </c>
      <c r="CP19" s="33" t="s">
        <v>115</v>
      </c>
      <c r="CQ19" s="33" t="s">
        <v>116</v>
      </c>
      <c r="CR19" s="33" t="s">
        <v>117</v>
      </c>
      <c r="CS19" s="33" t="s">
        <v>118</v>
      </c>
      <c r="CT19" s="33" t="s">
        <v>119</v>
      </c>
      <c r="CU19" s="33" t="s">
        <v>120</v>
      </c>
      <c r="CV19" s="33" t="s">
        <v>121</v>
      </c>
      <c r="CW19" s="33" t="s">
        <v>122</v>
      </c>
      <c r="CX19" s="33" t="s">
        <v>123</v>
      </c>
      <c r="CY19" s="33" t="s">
        <v>124</v>
      </c>
      <c r="CZ19" s="33" t="s">
        <v>125</v>
      </c>
      <c r="DA19" s="33" t="s">
        <v>126</v>
      </c>
      <c r="DB19" s="33" t="s">
        <v>127</v>
      </c>
      <c r="DC19" s="33" t="s">
        <v>128</v>
      </c>
      <c r="DD19" s="33" t="s">
        <v>129</v>
      </c>
      <c r="DE19" s="33" t="s">
        <v>130</v>
      </c>
      <c r="DF19" s="33" t="s">
        <v>131</v>
      </c>
      <c r="DG19" s="33" t="s">
        <v>132</v>
      </c>
      <c r="DH19" s="33" t="s">
        <v>133</v>
      </c>
      <c r="DI19" s="33" t="s">
        <v>134</v>
      </c>
      <c r="DJ19" s="33" t="s">
        <v>135</v>
      </c>
      <c r="DK19" s="33" t="s">
        <v>136</v>
      </c>
      <c r="DL19" s="33" t="s">
        <v>137</v>
      </c>
      <c r="DM19" s="33" t="s">
        <v>138</v>
      </c>
      <c r="DN19" s="35" t="s">
        <v>139</v>
      </c>
    </row>
    <row r="20" spans="5:118" x14ac:dyDescent="0.35">
      <c r="E20" s="111"/>
      <c r="F20" s="112" t="s">
        <v>331</v>
      </c>
      <c r="G20" s="112" t="s">
        <v>321</v>
      </c>
      <c r="H20" s="38">
        <f t="shared" ref="H20:H51" si="2">IFERROR(VLOOKUP(G20,Resource_List,2,FALSE),0)</f>
        <v>2580</v>
      </c>
      <c r="I20" s="116">
        <f>27692/8</f>
        <v>3461.5</v>
      </c>
      <c r="J20" s="38">
        <f>IF(I20="",H20,I20)</f>
        <v>3461.5</v>
      </c>
      <c r="K20" s="38">
        <f t="shared" ref="K20:K51" si="3">H20*M20</f>
        <v>433440</v>
      </c>
      <c r="L20" s="38">
        <f>J20*M20</f>
        <v>581532</v>
      </c>
      <c r="M20" s="39">
        <f>SUM(N20:DM20)</f>
        <v>168</v>
      </c>
      <c r="N20" s="113">
        <v>32</v>
      </c>
      <c r="O20" s="113">
        <v>40</v>
      </c>
      <c r="P20" s="113">
        <v>40</v>
      </c>
      <c r="Q20" s="113">
        <v>40</v>
      </c>
      <c r="R20" s="113">
        <v>16</v>
      </c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6">
        <f t="shared" ref="DN20:DN51" si="4">IFERROR((M20*VLOOKUP(G20,Resource_List,3,FALSE)),0)</f>
        <v>297230.76923076925</v>
      </c>
    </row>
    <row r="21" spans="5:118" x14ac:dyDescent="0.35">
      <c r="E21" s="111"/>
      <c r="F21" s="112"/>
      <c r="G21" s="112"/>
      <c r="H21" s="38">
        <f t="shared" si="2"/>
        <v>0</v>
      </c>
      <c r="I21" s="116"/>
      <c r="J21" s="38">
        <f t="shared" ref="J21:J69" si="5">IF(I21="",H21,I21)</f>
        <v>0</v>
      </c>
      <c r="K21" s="38">
        <f t="shared" si="3"/>
        <v>0</v>
      </c>
      <c r="L21" s="38">
        <f t="shared" ref="L21:L69" si="6">J21*M21</f>
        <v>0</v>
      </c>
      <c r="M21" s="39">
        <f t="shared" ref="M21:M69" si="7">SUM(N21:DM21)</f>
        <v>0</v>
      </c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6">
        <f t="shared" si="4"/>
        <v>0</v>
      </c>
    </row>
    <row r="22" spans="5:118" x14ac:dyDescent="0.35">
      <c r="E22" s="111"/>
      <c r="F22" s="112"/>
      <c r="G22" s="112"/>
      <c r="H22" s="38">
        <f t="shared" si="2"/>
        <v>0</v>
      </c>
      <c r="I22" s="116"/>
      <c r="J22" s="38">
        <f t="shared" si="5"/>
        <v>0</v>
      </c>
      <c r="K22" s="38">
        <f t="shared" si="3"/>
        <v>0</v>
      </c>
      <c r="L22" s="38">
        <f t="shared" si="6"/>
        <v>0</v>
      </c>
      <c r="M22" s="39">
        <f t="shared" si="7"/>
        <v>0</v>
      </c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6">
        <f t="shared" si="4"/>
        <v>0</v>
      </c>
    </row>
    <row r="23" spans="5:118" x14ac:dyDescent="0.35">
      <c r="E23" s="111"/>
      <c r="F23" s="112"/>
      <c r="G23" s="112"/>
      <c r="H23" s="38">
        <f t="shared" si="2"/>
        <v>0</v>
      </c>
      <c r="I23" s="116"/>
      <c r="J23" s="38">
        <f t="shared" si="5"/>
        <v>0</v>
      </c>
      <c r="K23" s="38">
        <f t="shared" si="3"/>
        <v>0</v>
      </c>
      <c r="L23" s="38">
        <f t="shared" si="6"/>
        <v>0</v>
      </c>
      <c r="M23" s="39">
        <f t="shared" si="7"/>
        <v>0</v>
      </c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13"/>
      <c r="DN23" s="16">
        <f t="shared" si="4"/>
        <v>0</v>
      </c>
    </row>
    <row r="24" spans="5:118" x14ac:dyDescent="0.35">
      <c r="E24" s="111"/>
      <c r="F24" s="112"/>
      <c r="G24" s="112"/>
      <c r="H24" s="38">
        <f t="shared" si="2"/>
        <v>0</v>
      </c>
      <c r="I24" s="116"/>
      <c r="J24" s="38">
        <f t="shared" si="5"/>
        <v>0</v>
      </c>
      <c r="K24" s="38">
        <f t="shared" si="3"/>
        <v>0</v>
      </c>
      <c r="L24" s="38">
        <f t="shared" si="6"/>
        <v>0</v>
      </c>
      <c r="M24" s="39">
        <f t="shared" si="7"/>
        <v>0</v>
      </c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6">
        <f t="shared" si="4"/>
        <v>0</v>
      </c>
    </row>
    <row r="25" spans="5:118" x14ac:dyDescent="0.35">
      <c r="E25" s="111"/>
      <c r="F25" s="112"/>
      <c r="G25" s="112"/>
      <c r="H25" s="38">
        <f t="shared" si="2"/>
        <v>0</v>
      </c>
      <c r="I25" s="116"/>
      <c r="J25" s="38">
        <f t="shared" si="5"/>
        <v>0</v>
      </c>
      <c r="K25" s="38">
        <f t="shared" si="3"/>
        <v>0</v>
      </c>
      <c r="L25" s="38">
        <f t="shared" si="6"/>
        <v>0</v>
      </c>
      <c r="M25" s="39">
        <f t="shared" si="7"/>
        <v>0</v>
      </c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13"/>
      <c r="DN25" s="16">
        <f t="shared" si="4"/>
        <v>0</v>
      </c>
    </row>
    <row r="26" spans="5:118" x14ac:dyDescent="0.35">
      <c r="E26" s="111"/>
      <c r="F26" s="112"/>
      <c r="G26" s="112"/>
      <c r="H26" s="38">
        <f t="shared" si="2"/>
        <v>0</v>
      </c>
      <c r="I26" s="116"/>
      <c r="J26" s="38">
        <f t="shared" si="5"/>
        <v>0</v>
      </c>
      <c r="K26" s="38">
        <f t="shared" si="3"/>
        <v>0</v>
      </c>
      <c r="L26" s="38">
        <f t="shared" si="6"/>
        <v>0</v>
      </c>
      <c r="M26" s="39">
        <f t="shared" si="7"/>
        <v>0</v>
      </c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6">
        <f t="shared" si="4"/>
        <v>0</v>
      </c>
    </row>
    <row r="27" spans="5:118" x14ac:dyDescent="0.35">
      <c r="E27" s="111"/>
      <c r="F27" s="112"/>
      <c r="G27" s="112"/>
      <c r="H27" s="38">
        <f t="shared" si="2"/>
        <v>0</v>
      </c>
      <c r="I27" s="116"/>
      <c r="J27" s="38">
        <f t="shared" si="5"/>
        <v>0</v>
      </c>
      <c r="K27" s="38">
        <f t="shared" si="3"/>
        <v>0</v>
      </c>
      <c r="L27" s="38">
        <f t="shared" si="6"/>
        <v>0</v>
      </c>
      <c r="M27" s="39">
        <f t="shared" si="7"/>
        <v>0</v>
      </c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13"/>
      <c r="DN27" s="16">
        <f t="shared" si="4"/>
        <v>0</v>
      </c>
    </row>
    <row r="28" spans="5:118" x14ac:dyDescent="0.35">
      <c r="E28" s="111"/>
      <c r="F28" s="112"/>
      <c r="G28" s="112"/>
      <c r="H28" s="38">
        <f t="shared" si="2"/>
        <v>0</v>
      </c>
      <c r="I28" s="116"/>
      <c r="J28" s="38">
        <f t="shared" si="5"/>
        <v>0</v>
      </c>
      <c r="K28" s="38">
        <f t="shared" si="3"/>
        <v>0</v>
      </c>
      <c r="L28" s="38">
        <f t="shared" si="6"/>
        <v>0</v>
      </c>
      <c r="M28" s="39">
        <f t="shared" si="7"/>
        <v>0</v>
      </c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6">
        <f t="shared" si="4"/>
        <v>0</v>
      </c>
    </row>
    <row r="29" spans="5:118" x14ac:dyDescent="0.35">
      <c r="E29" s="111"/>
      <c r="F29" s="112"/>
      <c r="G29" s="112"/>
      <c r="H29" s="38">
        <f t="shared" si="2"/>
        <v>0</v>
      </c>
      <c r="I29" s="116"/>
      <c r="J29" s="38">
        <f t="shared" si="5"/>
        <v>0</v>
      </c>
      <c r="K29" s="38">
        <f t="shared" si="3"/>
        <v>0</v>
      </c>
      <c r="L29" s="38">
        <f t="shared" si="6"/>
        <v>0</v>
      </c>
      <c r="M29" s="39">
        <f t="shared" si="7"/>
        <v>0</v>
      </c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6">
        <f t="shared" si="4"/>
        <v>0</v>
      </c>
    </row>
    <row r="30" spans="5:118" x14ac:dyDescent="0.35">
      <c r="E30" s="111"/>
      <c r="F30" s="112"/>
      <c r="G30" s="112"/>
      <c r="H30" s="38">
        <f t="shared" si="2"/>
        <v>0</v>
      </c>
      <c r="I30" s="116"/>
      <c r="J30" s="38">
        <f t="shared" si="5"/>
        <v>0</v>
      </c>
      <c r="K30" s="38">
        <f t="shared" si="3"/>
        <v>0</v>
      </c>
      <c r="L30" s="38">
        <f t="shared" si="6"/>
        <v>0</v>
      </c>
      <c r="M30" s="39">
        <f t="shared" si="7"/>
        <v>0</v>
      </c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6">
        <f t="shared" si="4"/>
        <v>0</v>
      </c>
    </row>
    <row r="31" spans="5:118" x14ac:dyDescent="0.35">
      <c r="E31" s="111"/>
      <c r="F31" s="112"/>
      <c r="G31" s="112"/>
      <c r="H31" s="38">
        <f t="shared" si="2"/>
        <v>0</v>
      </c>
      <c r="I31" s="116"/>
      <c r="J31" s="38">
        <f t="shared" si="5"/>
        <v>0</v>
      </c>
      <c r="K31" s="38">
        <f t="shared" si="3"/>
        <v>0</v>
      </c>
      <c r="L31" s="38">
        <f t="shared" si="6"/>
        <v>0</v>
      </c>
      <c r="M31" s="39">
        <f t="shared" si="7"/>
        <v>0</v>
      </c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13"/>
      <c r="DN31" s="16">
        <f t="shared" si="4"/>
        <v>0</v>
      </c>
    </row>
    <row r="32" spans="5:118" hidden="1" x14ac:dyDescent="0.35">
      <c r="E32" s="111"/>
      <c r="F32" s="112"/>
      <c r="G32" s="112"/>
      <c r="H32" s="38">
        <f t="shared" si="2"/>
        <v>0</v>
      </c>
      <c r="I32" s="116"/>
      <c r="J32" s="38">
        <f t="shared" si="5"/>
        <v>0</v>
      </c>
      <c r="K32" s="38">
        <f t="shared" si="3"/>
        <v>0</v>
      </c>
      <c r="L32" s="38">
        <f t="shared" si="6"/>
        <v>0</v>
      </c>
      <c r="M32" s="39">
        <f t="shared" si="7"/>
        <v>0</v>
      </c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6">
        <f t="shared" si="4"/>
        <v>0</v>
      </c>
    </row>
    <row r="33" spans="5:118" hidden="1" x14ac:dyDescent="0.35">
      <c r="E33" s="111"/>
      <c r="F33" s="112"/>
      <c r="G33" s="112"/>
      <c r="H33" s="38">
        <f t="shared" si="2"/>
        <v>0</v>
      </c>
      <c r="I33" s="116"/>
      <c r="J33" s="38">
        <f t="shared" si="5"/>
        <v>0</v>
      </c>
      <c r="K33" s="38">
        <f t="shared" si="3"/>
        <v>0</v>
      </c>
      <c r="L33" s="38">
        <f t="shared" si="6"/>
        <v>0</v>
      </c>
      <c r="M33" s="39">
        <f t="shared" si="7"/>
        <v>0</v>
      </c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13"/>
      <c r="DN33" s="16">
        <f t="shared" si="4"/>
        <v>0</v>
      </c>
    </row>
    <row r="34" spans="5:118" hidden="1" x14ac:dyDescent="0.35">
      <c r="E34" s="111"/>
      <c r="F34" s="112"/>
      <c r="G34" s="112"/>
      <c r="H34" s="38">
        <f t="shared" si="2"/>
        <v>0</v>
      </c>
      <c r="I34" s="116"/>
      <c r="J34" s="38">
        <f t="shared" si="5"/>
        <v>0</v>
      </c>
      <c r="K34" s="38">
        <f t="shared" si="3"/>
        <v>0</v>
      </c>
      <c r="L34" s="38">
        <f t="shared" si="6"/>
        <v>0</v>
      </c>
      <c r="M34" s="39">
        <f t="shared" si="7"/>
        <v>0</v>
      </c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6">
        <f t="shared" si="4"/>
        <v>0</v>
      </c>
    </row>
    <row r="35" spans="5:118" hidden="1" x14ac:dyDescent="0.35">
      <c r="E35" s="111"/>
      <c r="F35" s="112"/>
      <c r="G35" s="112"/>
      <c r="H35" s="38">
        <f t="shared" si="2"/>
        <v>0</v>
      </c>
      <c r="I35" s="116"/>
      <c r="J35" s="38">
        <f t="shared" si="5"/>
        <v>0</v>
      </c>
      <c r="K35" s="38">
        <f t="shared" si="3"/>
        <v>0</v>
      </c>
      <c r="L35" s="38">
        <f t="shared" si="6"/>
        <v>0</v>
      </c>
      <c r="M35" s="39">
        <f t="shared" si="7"/>
        <v>0</v>
      </c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13"/>
      <c r="DN35" s="16">
        <f t="shared" si="4"/>
        <v>0</v>
      </c>
    </row>
    <row r="36" spans="5:118" hidden="1" x14ac:dyDescent="0.35">
      <c r="E36" s="111"/>
      <c r="F36" s="112"/>
      <c r="G36" s="112"/>
      <c r="H36" s="38">
        <f t="shared" si="2"/>
        <v>0</v>
      </c>
      <c r="I36" s="116"/>
      <c r="J36" s="38">
        <f t="shared" si="5"/>
        <v>0</v>
      </c>
      <c r="K36" s="38">
        <f t="shared" si="3"/>
        <v>0</v>
      </c>
      <c r="L36" s="38">
        <f t="shared" si="6"/>
        <v>0</v>
      </c>
      <c r="M36" s="39">
        <f t="shared" si="7"/>
        <v>0</v>
      </c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6">
        <f t="shared" si="4"/>
        <v>0</v>
      </c>
    </row>
    <row r="37" spans="5:118" hidden="1" x14ac:dyDescent="0.35">
      <c r="E37" s="111"/>
      <c r="F37" s="112"/>
      <c r="G37" s="112"/>
      <c r="H37" s="38">
        <f t="shared" si="2"/>
        <v>0</v>
      </c>
      <c r="I37" s="116"/>
      <c r="J37" s="38">
        <f t="shared" si="5"/>
        <v>0</v>
      </c>
      <c r="K37" s="38">
        <f t="shared" si="3"/>
        <v>0</v>
      </c>
      <c r="L37" s="38">
        <f t="shared" si="6"/>
        <v>0</v>
      </c>
      <c r="M37" s="39">
        <f t="shared" si="7"/>
        <v>0</v>
      </c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13"/>
      <c r="DN37" s="16">
        <f t="shared" si="4"/>
        <v>0</v>
      </c>
    </row>
    <row r="38" spans="5:118" hidden="1" x14ac:dyDescent="0.35">
      <c r="E38" s="111"/>
      <c r="F38" s="112"/>
      <c r="G38" s="112"/>
      <c r="H38" s="38">
        <f t="shared" si="2"/>
        <v>0</v>
      </c>
      <c r="I38" s="116"/>
      <c r="J38" s="38">
        <f t="shared" si="5"/>
        <v>0</v>
      </c>
      <c r="K38" s="38">
        <f t="shared" si="3"/>
        <v>0</v>
      </c>
      <c r="L38" s="38">
        <f t="shared" si="6"/>
        <v>0</v>
      </c>
      <c r="M38" s="39">
        <f t="shared" si="7"/>
        <v>0</v>
      </c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6">
        <f t="shared" si="4"/>
        <v>0</v>
      </c>
    </row>
    <row r="39" spans="5:118" hidden="1" x14ac:dyDescent="0.35">
      <c r="E39" s="111"/>
      <c r="F39" s="112"/>
      <c r="G39" s="112"/>
      <c r="H39" s="38">
        <f t="shared" si="2"/>
        <v>0</v>
      </c>
      <c r="I39" s="116"/>
      <c r="J39" s="38">
        <f t="shared" si="5"/>
        <v>0</v>
      </c>
      <c r="K39" s="38">
        <f t="shared" si="3"/>
        <v>0</v>
      </c>
      <c r="L39" s="38">
        <f t="shared" si="6"/>
        <v>0</v>
      </c>
      <c r="M39" s="39">
        <f t="shared" si="7"/>
        <v>0</v>
      </c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13"/>
      <c r="DN39" s="16">
        <f t="shared" si="4"/>
        <v>0</v>
      </c>
    </row>
    <row r="40" spans="5:118" hidden="1" x14ac:dyDescent="0.35">
      <c r="E40" s="111"/>
      <c r="F40" s="112"/>
      <c r="G40" s="112"/>
      <c r="H40" s="38">
        <f t="shared" si="2"/>
        <v>0</v>
      </c>
      <c r="I40" s="116"/>
      <c r="J40" s="38">
        <f t="shared" si="5"/>
        <v>0</v>
      </c>
      <c r="K40" s="38">
        <f t="shared" si="3"/>
        <v>0</v>
      </c>
      <c r="L40" s="38">
        <f t="shared" si="6"/>
        <v>0</v>
      </c>
      <c r="M40" s="39">
        <f t="shared" si="7"/>
        <v>0</v>
      </c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6">
        <f t="shared" si="4"/>
        <v>0</v>
      </c>
    </row>
    <row r="41" spans="5:118" hidden="1" x14ac:dyDescent="0.35">
      <c r="E41" s="111"/>
      <c r="F41" s="112"/>
      <c r="G41" s="112"/>
      <c r="H41" s="38">
        <f t="shared" si="2"/>
        <v>0</v>
      </c>
      <c r="I41" s="116"/>
      <c r="J41" s="38">
        <f t="shared" si="5"/>
        <v>0</v>
      </c>
      <c r="K41" s="38">
        <f t="shared" si="3"/>
        <v>0</v>
      </c>
      <c r="L41" s="38">
        <f t="shared" si="6"/>
        <v>0</v>
      </c>
      <c r="M41" s="39">
        <f t="shared" si="7"/>
        <v>0</v>
      </c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6">
        <f t="shared" si="4"/>
        <v>0</v>
      </c>
    </row>
    <row r="42" spans="5:118" hidden="1" x14ac:dyDescent="0.35">
      <c r="E42" s="111"/>
      <c r="F42" s="112"/>
      <c r="G42" s="112"/>
      <c r="H42" s="38">
        <f t="shared" si="2"/>
        <v>0</v>
      </c>
      <c r="I42" s="116"/>
      <c r="J42" s="38">
        <f t="shared" si="5"/>
        <v>0</v>
      </c>
      <c r="K42" s="38">
        <f t="shared" si="3"/>
        <v>0</v>
      </c>
      <c r="L42" s="38">
        <f t="shared" si="6"/>
        <v>0</v>
      </c>
      <c r="M42" s="39">
        <f t="shared" si="7"/>
        <v>0</v>
      </c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6">
        <f t="shared" si="4"/>
        <v>0</v>
      </c>
    </row>
    <row r="43" spans="5:118" hidden="1" x14ac:dyDescent="0.35">
      <c r="E43" s="111"/>
      <c r="F43" s="112"/>
      <c r="G43" s="112"/>
      <c r="H43" s="38">
        <f t="shared" si="2"/>
        <v>0</v>
      </c>
      <c r="I43" s="116"/>
      <c r="J43" s="38">
        <f t="shared" si="5"/>
        <v>0</v>
      </c>
      <c r="K43" s="38">
        <f t="shared" si="3"/>
        <v>0</v>
      </c>
      <c r="L43" s="38">
        <f t="shared" si="6"/>
        <v>0</v>
      </c>
      <c r="M43" s="39">
        <f t="shared" si="7"/>
        <v>0</v>
      </c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13"/>
      <c r="DN43" s="16">
        <f t="shared" si="4"/>
        <v>0</v>
      </c>
    </row>
    <row r="44" spans="5:118" hidden="1" x14ac:dyDescent="0.35">
      <c r="E44" s="111"/>
      <c r="F44" s="112"/>
      <c r="G44" s="112"/>
      <c r="H44" s="38">
        <f t="shared" si="2"/>
        <v>0</v>
      </c>
      <c r="I44" s="116"/>
      <c r="J44" s="38">
        <f t="shared" si="5"/>
        <v>0</v>
      </c>
      <c r="K44" s="38">
        <f t="shared" si="3"/>
        <v>0</v>
      </c>
      <c r="L44" s="38">
        <f t="shared" si="6"/>
        <v>0</v>
      </c>
      <c r="M44" s="39">
        <f t="shared" si="7"/>
        <v>0</v>
      </c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13"/>
      <c r="DN44" s="16">
        <f t="shared" si="4"/>
        <v>0</v>
      </c>
    </row>
    <row r="45" spans="5:118" hidden="1" x14ac:dyDescent="0.35">
      <c r="E45" s="111"/>
      <c r="F45" s="112"/>
      <c r="G45" s="112"/>
      <c r="H45" s="38">
        <f t="shared" si="2"/>
        <v>0</v>
      </c>
      <c r="I45" s="116"/>
      <c r="J45" s="38">
        <f t="shared" si="5"/>
        <v>0</v>
      </c>
      <c r="K45" s="38">
        <f t="shared" si="3"/>
        <v>0</v>
      </c>
      <c r="L45" s="38">
        <f t="shared" si="6"/>
        <v>0</v>
      </c>
      <c r="M45" s="39">
        <f t="shared" si="7"/>
        <v>0</v>
      </c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13"/>
      <c r="DN45" s="16">
        <f t="shared" si="4"/>
        <v>0</v>
      </c>
    </row>
    <row r="46" spans="5:118" hidden="1" x14ac:dyDescent="0.35">
      <c r="E46" s="111"/>
      <c r="F46" s="112"/>
      <c r="G46" s="112"/>
      <c r="H46" s="38">
        <f t="shared" si="2"/>
        <v>0</v>
      </c>
      <c r="I46" s="116"/>
      <c r="J46" s="38">
        <f t="shared" si="5"/>
        <v>0</v>
      </c>
      <c r="K46" s="38">
        <f t="shared" si="3"/>
        <v>0</v>
      </c>
      <c r="L46" s="38">
        <f t="shared" si="6"/>
        <v>0</v>
      </c>
      <c r="M46" s="39">
        <f t="shared" si="7"/>
        <v>0</v>
      </c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13"/>
      <c r="DN46" s="16">
        <f t="shared" si="4"/>
        <v>0</v>
      </c>
    </row>
    <row r="47" spans="5:118" hidden="1" x14ac:dyDescent="0.35">
      <c r="E47" s="111"/>
      <c r="F47" s="112"/>
      <c r="G47" s="112"/>
      <c r="H47" s="38">
        <f t="shared" si="2"/>
        <v>0</v>
      </c>
      <c r="I47" s="116"/>
      <c r="J47" s="38">
        <f t="shared" si="5"/>
        <v>0</v>
      </c>
      <c r="K47" s="38">
        <f t="shared" si="3"/>
        <v>0</v>
      </c>
      <c r="L47" s="38">
        <f t="shared" si="6"/>
        <v>0</v>
      </c>
      <c r="M47" s="39">
        <f t="shared" si="7"/>
        <v>0</v>
      </c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13"/>
      <c r="DN47" s="16">
        <f t="shared" si="4"/>
        <v>0</v>
      </c>
    </row>
    <row r="48" spans="5:118" hidden="1" x14ac:dyDescent="0.35">
      <c r="E48" s="111"/>
      <c r="F48" s="112"/>
      <c r="G48" s="112"/>
      <c r="H48" s="38">
        <f t="shared" si="2"/>
        <v>0</v>
      </c>
      <c r="I48" s="116"/>
      <c r="J48" s="38">
        <f t="shared" si="5"/>
        <v>0</v>
      </c>
      <c r="K48" s="38">
        <f t="shared" si="3"/>
        <v>0</v>
      </c>
      <c r="L48" s="38">
        <f t="shared" si="6"/>
        <v>0</v>
      </c>
      <c r="M48" s="39">
        <f t="shared" si="7"/>
        <v>0</v>
      </c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13"/>
      <c r="DN48" s="16">
        <f t="shared" si="4"/>
        <v>0</v>
      </c>
    </row>
    <row r="49" spans="5:118" hidden="1" x14ac:dyDescent="0.35">
      <c r="E49" s="111"/>
      <c r="F49" s="112"/>
      <c r="G49" s="112"/>
      <c r="H49" s="38">
        <f t="shared" si="2"/>
        <v>0</v>
      </c>
      <c r="I49" s="116"/>
      <c r="J49" s="38">
        <f t="shared" si="5"/>
        <v>0</v>
      </c>
      <c r="K49" s="38">
        <f t="shared" si="3"/>
        <v>0</v>
      </c>
      <c r="L49" s="38">
        <f t="shared" si="6"/>
        <v>0</v>
      </c>
      <c r="M49" s="39">
        <f t="shared" si="7"/>
        <v>0</v>
      </c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13"/>
      <c r="DN49" s="16">
        <f t="shared" si="4"/>
        <v>0</v>
      </c>
    </row>
    <row r="50" spans="5:118" hidden="1" x14ac:dyDescent="0.35">
      <c r="E50" s="111"/>
      <c r="F50" s="112"/>
      <c r="G50" s="112"/>
      <c r="H50" s="38">
        <f t="shared" si="2"/>
        <v>0</v>
      </c>
      <c r="I50" s="116"/>
      <c r="J50" s="38">
        <f t="shared" si="5"/>
        <v>0</v>
      </c>
      <c r="K50" s="38">
        <f t="shared" si="3"/>
        <v>0</v>
      </c>
      <c r="L50" s="38">
        <f t="shared" si="6"/>
        <v>0</v>
      </c>
      <c r="M50" s="39">
        <f t="shared" si="7"/>
        <v>0</v>
      </c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13"/>
      <c r="DN50" s="16">
        <f t="shared" si="4"/>
        <v>0</v>
      </c>
    </row>
    <row r="51" spans="5:118" hidden="1" x14ac:dyDescent="0.35">
      <c r="E51" s="111"/>
      <c r="F51" s="112"/>
      <c r="G51" s="112"/>
      <c r="H51" s="38">
        <f t="shared" si="2"/>
        <v>0</v>
      </c>
      <c r="I51" s="116"/>
      <c r="J51" s="38">
        <f t="shared" si="5"/>
        <v>0</v>
      </c>
      <c r="K51" s="38">
        <f t="shared" si="3"/>
        <v>0</v>
      </c>
      <c r="L51" s="38">
        <f t="shared" si="6"/>
        <v>0</v>
      </c>
      <c r="M51" s="39">
        <f t="shared" si="7"/>
        <v>0</v>
      </c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13"/>
      <c r="DN51" s="16">
        <f t="shared" si="4"/>
        <v>0</v>
      </c>
    </row>
    <row r="52" spans="5:118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116"/>
      <c r="J52" s="38">
        <f t="shared" si="5"/>
        <v>0</v>
      </c>
      <c r="K52" s="38">
        <f t="shared" ref="K52:K69" si="9">H52*M52</f>
        <v>0</v>
      </c>
      <c r="L52" s="38">
        <f t="shared" si="6"/>
        <v>0</v>
      </c>
      <c r="M52" s="39">
        <f t="shared" si="7"/>
        <v>0</v>
      </c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13"/>
      <c r="DN52" s="16">
        <f t="shared" ref="DN52:DN69" si="10">IFERROR((M52*VLOOKUP(G52,Resource_List,3,FALSE)),0)</f>
        <v>0</v>
      </c>
    </row>
    <row r="53" spans="5:118" hidden="1" x14ac:dyDescent="0.35">
      <c r="E53" s="111"/>
      <c r="F53" s="112"/>
      <c r="G53" s="112"/>
      <c r="H53" s="38">
        <f t="shared" si="8"/>
        <v>0</v>
      </c>
      <c r="I53" s="116"/>
      <c r="J53" s="38">
        <f t="shared" si="5"/>
        <v>0</v>
      </c>
      <c r="K53" s="38">
        <f t="shared" si="9"/>
        <v>0</v>
      </c>
      <c r="L53" s="38">
        <f t="shared" si="6"/>
        <v>0</v>
      </c>
      <c r="M53" s="39">
        <f t="shared" si="7"/>
        <v>0</v>
      </c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13"/>
      <c r="DN53" s="16">
        <f t="shared" si="10"/>
        <v>0</v>
      </c>
    </row>
    <row r="54" spans="5:118" hidden="1" x14ac:dyDescent="0.35">
      <c r="E54" s="111"/>
      <c r="F54" s="112"/>
      <c r="G54" s="112"/>
      <c r="H54" s="38">
        <f t="shared" si="8"/>
        <v>0</v>
      </c>
      <c r="I54" s="116"/>
      <c r="J54" s="38">
        <f t="shared" si="5"/>
        <v>0</v>
      </c>
      <c r="K54" s="38">
        <f t="shared" si="9"/>
        <v>0</v>
      </c>
      <c r="L54" s="38">
        <f t="shared" si="6"/>
        <v>0</v>
      </c>
      <c r="M54" s="39">
        <f t="shared" si="7"/>
        <v>0</v>
      </c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13"/>
      <c r="DN54" s="16">
        <f t="shared" si="10"/>
        <v>0</v>
      </c>
    </row>
    <row r="55" spans="5:118" hidden="1" x14ac:dyDescent="0.35">
      <c r="E55" s="111"/>
      <c r="F55" s="112"/>
      <c r="G55" s="112"/>
      <c r="H55" s="38">
        <f t="shared" si="8"/>
        <v>0</v>
      </c>
      <c r="I55" s="116"/>
      <c r="J55" s="38">
        <f t="shared" si="5"/>
        <v>0</v>
      </c>
      <c r="K55" s="38">
        <f t="shared" si="9"/>
        <v>0</v>
      </c>
      <c r="L55" s="38">
        <f t="shared" si="6"/>
        <v>0</v>
      </c>
      <c r="M55" s="39">
        <f t="shared" si="7"/>
        <v>0</v>
      </c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13"/>
      <c r="DN55" s="16">
        <f t="shared" si="10"/>
        <v>0</v>
      </c>
    </row>
    <row r="56" spans="5:118" hidden="1" x14ac:dyDescent="0.35">
      <c r="E56" s="111"/>
      <c r="F56" s="112"/>
      <c r="G56" s="112"/>
      <c r="H56" s="38">
        <f t="shared" si="8"/>
        <v>0</v>
      </c>
      <c r="I56" s="116"/>
      <c r="J56" s="38">
        <f t="shared" si="5"/>
        <v>0</v>
      </c>
      <c r="K56" s="38">
        <f t="shared" si="9"/>
        <v>0</v>
      </c>
      <c r="L56" s="38">
        <f t="shared" si="6"/>
        <v>0</v>
      </c>
      <c r="M56" s="39">
        <f t="shared" si="7"/>
        <v>0</v>
      </c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13"/>
      <c r="DN56" s="16">
        <f t="shared" si="10"/>
        <v>0</v>
      </c>
    </row>
    <row r="57" spans="5:118" hidden="1" x14ac:dyDescent="0.35">
      <c r="E57" s="111"/>
      <c r="F57" s="112"/>
      <c r="G57" s="112"/>
      <c r="H57" s="38">
        <f t="shared" si="8"/>
        <v>0</v>
      </c>
      <c r="I57" s="116"/>
      <c r="J57" s="38">
        <f t="shared" si="5"/>
        <v>0</v>
      </c>
      <c r="K57" s="38">
        <f t="shared" si="9"/>
        <v>0</v>
      </c>
      <c r="L57" s="38">
        <f t="shared" si="6"/>
        <v>0</v>
      </c>
      <c r="M57" s="39">
        <f t="shared" si="7"/>
        <v>0</v>
      </c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13"/>
      <c r="DN57" s="16">
        <f t="shared" si="10"/>
        <v>0</v>
      </c>
    </row>
    <row r="58" spans="5:118" hidden="1" x14ac:dyDescent="0.35">
      <c r="E58" s="111"/>
      <c r="F58" s="112"/>
      <c r="G58" s="112"/>
      <c r="H58" s="38">
        <f t="shared" si="8"/>
        <v>0</v>
      </c>
      <c r="I58" s="116"/>
      <c r="J58" s="38">
        <f t="shared" si="5"/>
        <v>0</v>
      </c>
      <c r="K58" s="38">
        <f t="shared" si="9"/>
        <v>0</v>
      </c>
      <c r="L58" s="38">
        <f t="shared" si="6"/>
        <v>0</v>
      </c>
      <c r="M58" s="39">
        <f t="shared" si="7"/>
        <v>0</v>
      </c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13"/>
      <c r="DN58" s="16">
        <f t="shared" si="10"/>
        <v>0</v>
      </c>
    </row>
    <row r="59" spans="5:118" hidden="1" x14ac:dyDescent="0.35">
      <c r="E59" s="111"/>
      <c r="F59" s="112"/>
      <c r="G59" s="112"/>
      <c r="H59" s="38">
        <f t="shared" si="8"/>
        <v>0</v>
      </c>
      <c r="I59" s="116"/>
      <c r="J59" s="38">
        <f t="shared" si="5"/>
        <v>0</v>
      </c>
      <c r="K59" s="38">
        <f t="shared" si="9"/>
        <v>0</v>
      </c>
      <c r="L59" s="38">
        <f t="shared" si="6"/>
        <v>0</v>
      </c>
      <c r="M59" s="39">
        <f t="shared" si="7"/>
        <v>0</v>
      </c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13"/>
      <c r="DN59" s="16">
        <f t="shared" si="10"/>
        <v>0</v>
      </c>
    </row>
    <row r="60" spans="5:118" hidden="1" x14ac:dyDescent="0.35">
      <c r="E60" s="111"/>
      <c r="F60" s="112"/>
      <c r="G60" s="112"/>
      <c r="H60" s="38">
        <f t="shared" si="8"/>
        <v>0</v>
      </c>
      <c r="I60" s="116"/>
      <c r="J60" s="38">
        <f t="shared" si="5"/>
        <v>0</v>
      </c>
      <c r="K60" s="38">
        <f t="shared" si="9"/>
        <v>0</v>
      </c>
      <c r="L60" s="38">
        <f t="shared" si="6"/>
        <v>0</v>
      </c>
      <c r="M60" s="39">
        <f t="shared" si="7"/>
        <v>0</v>
      </c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13"/>
      <c r="DN60" s="16">
        <f t="shared" si="10"/>
        <v>0</v>
      </c>
    </row>
    <row r="61" spans="5:118" hidden="1" x14ac:dyDescent="0.35">
      <c r="E61" s="111"/>
      <c r="F61" s="112"/>
      <c r="G61" s="112"/>
      <c r="H61" s="38">
        <f t="shared" si="8"/>
        <v>0</v>
      </c>
      <c r="I61" s="116"/>
      <c r="J61" s="38">
        <f t="shared" si="5"/>
        <v>0</v>
      </c>
      <c r="K61" s="38">
        <f t="shared" si="9"/>
        <v>0</v>
      </c>
      <c r="L61" s="38">
        <f t="shared" si="6"/>
        <v>0</v>
      </c>
      <c r="M61" s="39">
        <f t="shared" si="7"/>
        <v>0</v>
      </c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13"/>
      <c r="DN61" s="16">
        <f t="shared" si="10"/>
        <v>0</v>
      </c>
    </row>
    <row r="62" spans="5:118" hidden="1" x14ac:dyDescent="0.35">
      <c r="E62" s="111"/>
      <c r="F62" s="112"/>
      <c r="G62" s="112"/>
      <c r="H62" s="38">
        <f t="shared" si="8"/>
        <v>0</v>
      </c>
      <c r="I62" s="116"/>
      <c r="J62" s="38">
        <f t="shared" si="5"/>
        <v>0</v>
      </c>
      <c r="K62" s="38">
        <f t="shared" si="9"/>
        <v>0</v>
      </c>
      <c r="L62" s="38">
        <f t="shared" si="6"/>
        <v>0</v>
      </c>
      <c r="M62" s="39">
        <f t="shared" si="7"/>
        <v>0</v>
      </c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13"/>
      <c r="DN62" s="16">
        <f t="shared" si="10"/>
        <v>0</v>
      </c>
    </row>
    <row r="63" spans="5:118" hidden="1" x14ac:dyDescent="0.35">
      <c r="E63" s="111"/>
      <c r="F63" s="112"/>
      <c r="G63" s="112"/>
      <c r="H63" s="38">
        <f t="shared" si="8"/>
        <v>0</v>
      </c>
      <c r="I63" s="116"/>
      <c r="J63" s="38">
        <f t="shared" si="5"/>
        <v>0</v>
      </c>
      <c r="K63" s="38">
        <f t="shared" si="9"/>
        <v>0</v>
      </c>
      <c r="L63" s="38">
        <f t="shared" si="6"/>
        <v>0</v>
      </c>
      <c r="M63" s="39">
        <f t="shared" si="7"/>
        <v>0</v>
      </c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13"/>
      <c r="DN63" s="16">
        <f t="shared" si="10"/>
        <v>0</v>
      </c>
    </row>
    <row r="64" spans="5:118" hidden="1" x14ac:dyDescent="0.35">
      <c r="E64" s="111"/>
      <c r="F64" s="112"/>
      <c r="G64" s="112"/>
      <c r="H64" s="38">
        <f t="shared" si="8"/>
        <v>0</v>
      </c>
      <c r="I64" s="116"/>
      <c r="J64" s="38">
        <f t="shared" si="5"/>
        <v>0</v>
      </c>
      <c r="K64" s="38">
        <f t="shared" si="9"/>
        <v>0</v>
      </c>
      <c r="L64" s="38">
        <f t="shared" si="6"/>
        <v>0</v>
      </c>
      <c r="M64" s="39">
        <f t="shared" si="7"/>
        <v>0</v>
      </c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6">
        <f t="shared" si="10"/>
        <v>0</v>
      </c>
    </row>
    <row r="65" spans="5:118" hidden="1" x14ac:dyDescent="0.35">
      <c r="E65" s="111"/>
      <c r="F65" s="112"/>
      <c r="G65" s="112"/>
      <c r="H65" s="38">
        <f t="shared" si="8"/>
        <v>0</v>
      </c>
      <c r="I65" s="116"/>
      <c r="J65" s="38">
        <f t="shared" si="5"/>
        <v>0</v>
      </c>
      <c r="K65" s="38">
        <f t="shared" si="9"/>
        <v>0</v>
      </c>
      <c r="L65" s="38">
        <f t="shared" si="6"/>
        <v>0</v>
      </c>
      <c r="M65" s="39">
        <f t="shared" si="7"/>
        <v>0</v>
      </c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13"/>
      <c r="DN65" s="16">
        <f t="shared" si="10"/>
        <v>0</v>
      </c>
    </row>
    <row r="66" spans="5:118" hidden="1" x14ac:dyDescent="0.35">
      <c r="E66" s="111"/>
      <c r="F66" s="112"/>
      <c r="G66" s="112"/>
      <c r="H66" s="38">
        <f t="shared" si="8"/>
        <v>0</v>
      </c>
      <c r="I66" s="116"/>
      <c r="J66" s="38">
        <f t="shared" si="5"/>
        <v>0</v>
      </c>
      <c r="K66" s="38">
        <f t="shared" si="9"/>
        <v>0</v>
      </c>
      <c r="L66" s="38">
        <f t="shared" si="6"/>
        <v>0</v>
      </c>
      <c r="M66" s="39">
        <f t="shared" si="7"/>
        <v>0</v>
      </c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13"/>
      <c r="DN66" s="16">
        <f t="shared" si="10"/>
        <v>0</v>
      </c>
    </row>
    <row r="67" spans="5:118" hidden="1" x14ac:dyDescent="0.35">
      <c r="E67" s="111"/>
      <c r="F67" s="112"/>
      <c r="G67" s="112"/>
      <c r="H67" s="38">
        <f t="shared" si="8"/>
        <v>0</v>
      </c>
      <c r="I67" s="116"/>
      <c r="J67" s="38">
        <f t="shared" si="5"/>
        <v>0</v>
      </c>
      <c r="K67" s="38">
        <f t="shared" si="9"/>
        <v>0</v>
      </c>
      <c r="L67" s="38">
        <f t="shared" si="6"/>
        <v>0</v>
      </c>
      <c r="M67" s="39">
        <f t="shared" si="7"/>
        <v>0</v>
      </c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13"/>
      <c r="DN67" s="16">
        <f t="shared" si="10"/>
        <v>0</v>
      </c>
    </row>
    <row r="68" spans="5:118" hidden="1" x14ac:dyDescent="0.35">
      <c r="E68" s="111"/>
      <c r="F68" s="112"/>
      <c r="G68" s="112"/>
      <c r="H68" s="38">
        <f t="shared" si="8"/>
        <v>0</v>
      </c>
      <c r="I68" s="116"/>
      <c r="J68" s="38">
        <f t="shared" si="5"/>
        <v>0</v>
      </c>
      <c r="K68" s="38">
        <f t="shared" si="9"/>
        <v>0</v>
      </c>
      <c r="L68" s="38">
        <f t="shared" si="6"/>
        <v>0</v>
      </c>
      <c r="M68" s="39">
        <f t="shared" si="7"/>
        <v>0</v>
      </c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13"/>
      <c r="DN68" s="16">
        <f t="shared" si="10"/>
        <v>0</v>
      </c>
    </row>
    <row r="69" spans="5:118" x14ac:dyDescent="0.35">
      <c r="E69" s="111"/>
      <c r="F69" s="112"/>
      <c r="G69" s="112"/>
      <c r="H69" s="38">
        <f t="shared" si="8"/>
        <v>0</v>
      </c>
      <c r="I69" s="116"/>
      <c r="J69" s="38">
        <f t="shared" si="5"/>
        <v>0</v>
      </c>
      <c r="K69" s="38">
        <f t="shared" si="9"/>
        <v>0</v>
      </c>
      <c r="L69" s="38">
        <f t="shared" si="6"/>
        <v>0</v>
      </c>
      <c r="M69" s="39">
        <f t="shared" si="7"/>
        <v>0</v>
      </c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13"/>
      <c r="DN69" s="16">
        <f t="shared" si="10"/>
        <v>0</v>
      </c>
    </row>
    <row r="70" spans="5:118" ht="15" thickBot="1" x14ac:dyDescent="0.4">
      <c r="E70" s="3" t="s">
        <v>312</v>
      </c>
      <c r="F70" s="41"/>
      <c r="G70" s="41"/>
      <c r="H70" s="41"/>
      <c r="I70" s="8"/>
      <c r="J70" s="8" t="s">
        <v>150</v>
      </c>
      <c r="K70" s="98">
        <f>SUM(K20:K69)</f>
        <v>433440</v>
      </c>
      <c r="L70" s="97">
        <f>SUM(L20:L69)</f>
        <v>581532</v>
      </c>
      <c r="M70" s="99">
        <f>SUM(M20:M69)</f>
        <v>168</v>
      </c>
      <c r="N70" s="4">
        <f>SUM(N20:N69)</f>
        <v>32</v>
      </c>
      <c r="O70" s="4">
        <f t="shared" ref="O70:BZ70" si="11">SUM(O20:O69)</f>
        <v>40</v>
      </c>
      <c r="P70" s="4">
        <f t="shared" si="11"/>
        <v>40</v>
      </c>
      <c r="Q70" s="4">
        <f t="shared" si="11"/>
        <v>40</v>
      </c>
      <c r="R70" s="4">
        <f t="shared" si="11"/>
        <v>16</v>
      </c>
      <c r="S70" s="4">
        <f t="shared" si="11"/>
        <v>0</v>
      </c>
      <c r="T70" s="4">
        <f t="shared" si="11"/>
        <v>0</v>
      </c>
      <c r="U70" s="4">
        <f t="shared" si="11"/>
        <v>0</v>
      </c>
      <c r="V70" s="4">
        <f t="shared" si="11"/>
        <v>0</v>
      </c>
      <c r="W70" s="4">
        <f t="shared" si="11"/>
        <v>0</v>
      </c>
      <c r="X70" s="4">
        <f t="shared" si="11"/>
        <v>0</v>
      </c>
      <c r="Y70" s="4">
        <f t="shared" si="11"/>
        <v>0</v>
      </c>
      <c r="Z70" s="4">
        <f t="shared" si="11"/>
        <v>0</v>
      </c>
      <c r="AA70" s="4">
        <f t="shared" si="11"/>
        <v>0</v>
      </c>
      <c r="AB70" s="4">
        <f t="shared" si="11"/>
        <v>0</v>
      </c>
      <c r="AC70" s="4">
        <f t="shared" si="11"/>
        <v>0</v>
      </c>
      <c r="AD70" s="4">
        <f t="shared" si="11"/>
        <v>0</v>
      </c>
      <c r="AE70" s="4">
        <f t="shared" si="11"/>
        <v>0</v>
      </c>
      <c r="AF70" s="4">
        <f t="shared" si="11"/>
        <v>0</v>
      </c>
      <c r="AG70" s="4">
        <f t="shared" si="11"/>
        <v>0</v>
      </c>
      <c r="AH70" s="4">
        <f t="shared" si="11"/>
        <v>0</v>
      </c>
      <c r="AI70" s="4">
        <f t="shared" si="11"/>
        <v>0</v>
      </c>
      <c r="AJ70" s="4">
        <f t="shared" si="11"/>
        <v>0</v>
      </c>
      <c r="AK70" s="4">
        <f t="shared" si="11"/>
        <v>0</v>
      </c>
      <c r="AL70" s="4">
        <f t="shared" si="11"/>
        <v>0</v>
      </c>
      <c r="AM70" s="4">
        <f t="shared" si="11"/>
        <v>0</v>
      </c>
      <c r="AN70" s="4">
        <f t="shared" si="11"/>
        <v>0</v>
      </c>
      <c r="AO70" s="4">
        <f t="shared" si="11"/>
        <v>0</v>
      </c>
      <c r="AP70" s="4">
        <f t="shared" si="11"/>
        <v>0</v>
      </c>
      <c r="AQ70" s="4">
        <f t="shared" si="11"/>
        <v>0</v>
      </c>
      <c r="AR70" s="4">
        <f t="shared" si="11"/>
        <v>0</v>
      </c>
      <c r="AS70" s="4">
        <f t="shared" si="11"/>
        <v>0</v>
      </c>
      <c r="AT70" s="4">
        <f t="shared" si="11"/>
        <v>0</v>
      </c>
      <c r="AU70" s="4">
        <f t="shared" si="11"/>
        <v>0</v>
      </c>
      <c r="AV70" s="4">
        <f t="shared" si="11"/>
        <v>0</v>
      </c>
      <c r="AW70" s="4">
        <f t="shared" si="11"/>
        <v>0</v>
      </c>
      <c r="AX70" s="4">
        <f t="shared" si="11"/>
        <v>0</v>
      </c>
      <c r="AY70" s="4">
        <f t="shared" si="11"/>
        <v>0</v>
      </c>
      <c r="AZ70" s="4">
        <f t="shared" si="11"/>
        <v>0</v>
      </c>
      <c r="BA70" s="4">
        <f t="shared" si="11"/>
        <v>0</v>
      </c>
      <c r="BB70" s="4">
        <f t="shared" si="11"/>
        <v>0</v>
      </c>
      <c r="BC70" s="4">
        <f t="shared" si="11"/>
        <v>0</v>
      </c>
      <c r="BD70" s="4">
        <f t="shared" si="11"/>
        <v>0</v>
      </c>
      <c r="BE70" s="4">
        <f t="shared" si="11"/>
        <v>0</v>
      </c>
      <c r="BF70" s="4">
        <f t="shared" si="11"/>
        <v>0</v>
      </c>
      <c r="BG70" s="4">
        <f t="shared" si="11"/>
        <v>0</v>
      </c>
      <c r="BH70" s="4">
        <f t="shared" si="11"/>
        <v>0</v>
      </c>
      <c r="BI70" s="4">
        <f t="shared" si="11"/>
        <v>0</v>
      </c>
      <c r="BJ70" s="4">
        <f t="shared" si="11"/>
        <v>0</v>
      </c>
      <c r="BK70" s="4">
        <f t="shared" si="11"/>
        <v>0</v>
      </c>
      <c r="BL70" s="4">
        <f t="shared" si="11"/>
        <v>0</v>
      </c>
      <c r="BM70" s="4">
        <f t="shared" si="11"/>
        <v>0</v>
      </c>
      <c r="BN70" s="4">
        <f t="shared" si="11"/>
        <v>0</v>
      </c>
      <c r="BO70" s="4">
        <f t="shared" si="11"/>
        <v>0</v>
      </c>
      <c r="BP70" s="4">
        <f t="shared" si="11"/>
        <v>0</v>
      </c>
      <c r="BQ70" s="4">
        <f t="shared" si="11"/>
        <v>0</v>
      </c>
      <c r="BR70" s="4">
        <f t="shared" si="11"/>
        <v>0</v>
      </c>
      <c r="BS70" s="4">
        <f t="shared" si="11"/>
        <v>0</v>
      </c>
      <c r="BT70" s="4">
        <f t="shared" si="11"/>
        <v>0</v>
      </c>
      <c r="BU70" s="4">
        <f t="shared" si="11"/>
        <v>0</v>
      </c>
      <c r="BV70" s="4">
        <f t="shared" si="11"/>
        <v>0</v>
      </c>
      <c r="BW70" s="4">
        <f t="shared" si="11"/>
        <v>0</v>
      </c>
      <c r="BX70" s="4">
        <f t="shared" si="11"/>
        <v>0</v>
      </c>
      <c r="BY70" s="4">
        <f t="shared" si="11"/>
        <v>0</v>
      </c>
      <c r="BZ70" s="4">
        <f t="shared" si="11"/>
        <v>0</v>
      </c>
      <c r="CA70" s="4">
        <f t="shared" ref="CA70:DM70" si="12">SUM(CA20:CA69)</f>
        <v>0</v>
      </c>
      <c r="CB70" s="4">
        <f t="shared" si="12"/>
        <v>0</v>
      </c>
      <c r="CC70" s="4">
        <f t="shared" si="12"/>
        <v>0</v>
      </c>
      <c r="CD70" s="4">
        <f t="shared" si="12"/>
        <v>0</v>
      </c>
      <c r="CE70" s="4">
        <f t="shared" si="12"/>
        <v>0</v>
      </c>
      <c r="CF70" s="4">
        <f t="shared" si="12"/>
        <v>0</v>
      </c>
      <c r="CG70" s="4">
        <f t="shared" si="12"/>
        <v>0</v>
      </c>
      <c r="CH70" s="4">
        <f t="shared" si="12"/>
        <v>0</v>
      </c>
      <c r="CI70" s="4">
        <f t="shared" si="12"/>
        <v>0</v>
      </c>
      <c r="CJ70" s="4">
        <f t="shared" si="12"/>
        <v>0</v>
      </c>
      <c r="CK70" s="4">
        <f t="shared" si="12"/>
        <v>0</v>
      </c>
      <c r="CL70" s="4">
        <f t="shared" si="12"/>
        <v>0</v>
      </c>
      <c r="CM70" s="4">
        <f t="shared" si="12"/>
        <v>0</v>
      </c>
      <c r="CN70" s="4">
        <f t="shared" si="12"/>
        <v>0</v>
      </c>
      <c r="CO70" s="4">
        <f t="shared" si="12"/>
        <v>0</v>
      </c>
      <c r="CP70" s="4">
        <f t="shared" si="12"/>
        <v>0</v>
      </c>
      <c r="CQ70" s="4">
        <f t="shared" si="12"/>
        <v>0</v>
      </c>
      <c r="CR70" s="4">
        <f t="shared" si="12"/>
        <v>0</v>
      </c>
      <c r="CS70" s="4">
        <f t="shared" si="12"/>
        <v>0</v>
      </c>
      <c r="CT70" s="4">
        <f t="shared" si="12"/>
        <v>0</v>
      </c>
      <c r="CU70" s="4">
        <f t="shared" si="12"/>
        <v>0</v>
      </c>
      <c r="CV70" s="4">
        <f t="shared" si="12"/>
        <v>0</v>
      </c>
      <c r="CW70" s="4">
        <f t="shared" si="12"/>
        <v>0</v>
      </c>
      <c r="CX70" s="4">
        <f t="shared" si="12"/>
        <v>0</v>
      </c>
      <c r="CY70" s="4">
        <f t="shared" si="12"/>
        <v>0</v>
      </c>
      <c r="CZ70" s="4">
        <f t="shared" si="12"/>
        <v>0</v>
      </c>
      <c r="DA70" s="4">
        <f t="shared" si="12"/>
        <v>0</v>
      </c>
      <c r="DB70" s="4">
        <f t="shared" si="12"/>
        <v>0</v>
      </c>
      <c r="DC70" s="4">
        <f t="shared" si="12"/>
        <v>0</v>
      </c>
      <c r="DD70" s="4">
        <f t="shared" si="12"/>
        <v>0</v>
      </c>
      <c r="DE70" s="4">
        <f t="shared" si="12"/>
        <v>0</v>
      </c>
      <c r="DF70" s="4">
        <f t="shared" si="12"/>
        <v>0</v>
      </c>
      <c r="DG70" s="4">
        <f t="shared" si="12"/>
        <v>0</v>
      </c>
      <c r="DH70" s="4">
        <f t="shared" si="12"/>
        <v>0</v>
      </c>
      <c r="DI70" s="4">
        <f t="shared" si="12"/>
        <v>0</v>
      </c>
      <c r="DJ70" s="4">
        <f t="shared" si="12"/>
        <v>0</v>
      </c>
      <c r="DK70" s="4">
        <f t="shared" si="12"/>
        <v>0</v>
      </c>
      <c r="DL70" s="4">
        <f t="shared" si="12"/>
        <v>0</v>
      </c>
      <c r="DM70" s="4">
        <f t="shared" si="12"/>
        <v>0</v>
      </c>
      <c r="DN70" s="42">
        <f>SUM(DN20:DN69)</f>
        <v>297230.76923076925</v>
      </c>
    </row>
    <row r="71" spans="5:118" ht="15" thickBot="1" x14ac:dyDescent="0.4"/>
    <row r="72" spans="5:118" ht="15" thickBot="1" x14ac:dyDescent="0.4">
      <c r="E72" s="95" t="s">
        <v>297</v>
      </c>
      <c r="F72" s="48"/>
      <c r="G72" s="48"/>
      <c r="H72" s="48"/>
      <c r="I72" s="48"/>
      <c r="J72" s="48"/>
      <c r="K72" s="48"/>
      <c r="L72" s="48"/>
      <c r="M72" s="48"/>
      <c r="N72" s="94">
        <f>FrontPage!B9</f>
        <v>46174.229166666664</v>
      </c>
      <c r="O72" s="88">
        <f>N72+7</f>
        <v>46181.229166666664</v>
      </c>
      <c r="P72" s="88">
        <f t="shared" ref="P72:CA72" si="13">O72+7</f>
        <v>46188.229166666664</v>
      </c>
      <c r="Q72" s="88">
        <f t="shared" si="13"/>
        <v>46195.229166666664</v>
      </c>
      <c r="R72" s="88">
        <f t="shared" si="13"/>
        <v>46202.229166666664</v>
      </c>
      <c r="S72" s="88">
        <f t="shared" si="13"/>
        <v>46209.229166666664</v>
      </c>
      <c r="T72" s="88">
        <f t="shared" si="13"/>
        <v>46216.229166666664</v>
      </c>
      <c r="U72" s="88">
        <f t="shared" si="13"/>
        <v>46223.229166666664</v>
      </c>
      <c r="V72" s="88">
        <f t="shared" si="13"/>
        <v>46230.229166666664</v>
      </c>
      <c r="W72" s="88">
        <f t="shared" si="13"/>
        <v>46237.229166666664</v>
      </c>
      <c r="X72" s="88">
        <f t="shared" si="13"/>
        <v>46244.229166666664</v>
      </c>
      <c r="Y72" s="88">
        <f t="shared" si="13"/>
        <v>46251.229166666664</v>
      </c>
      <c r="Z72" s="88">
        <f t="shared" si="13"/>
        <v>46258.229166666664</v>
      </c>
      <c r="AA72" s="88">
        <f t="shared" si="13"/>
        <v>46265.229166666664</v>
      </c>
      <c r="AB72" s="88">
        <f t="shared" si="13"/>
        <v>46272.229166666664</v>
      </c>
      <c r="AC72" s="88">
        <f t="shared" si="13"/>
        <v>46279.229166666664</v>
      </c>
      <c r="AD72" s="88">
        <f t="shared" si="13"/>
        <v>46286.229166666664</v>
      </c>
      <c r="AE72" s="88">
        <f t="shared" si="13"/>
        <v>46293.229166666664</v>
      </c>
      <c r="AF72" s="88">
        <f t="shared" si="13"/>
        <v>46300.229166666664</v>
      </c>
      <c r="AG72" s="88">
        <f t="shared" si="13"/>
        <v>46307.229166666664</v>
      </c>
      <c r="AH72" s="88">
        <f t="shared" si="13"/>
        <v>46314.229166666664</v>
      </c>
      <c r="AI72" s="88">
        <f t="shared" si="13"/>
        <v>46321.229166666664</v>
      </c>
      <c r="AJ72" s="88">
        <f t="shared" si="13"/>
        <v>46328.229166666664</v>
      </c>
      <c r="AK72" s="88">
        <f t="shared" si="13"/>
        <v>46335.229166666664</v>
      </c>
      <c r="AL72" s="88">
        <f t="shared" si="13"/>
        <v>46342.229166666664</v>
      </c>
      <c r="AM72" s="88">
        <f t="shared" si="13"/>
        <v>46349.229166666664</v>
      </c>
      <c r="AN72" s="88">
        <f t="shared" si="13"/>
        <v>46356.229166666664</v>
      </c>
      <c r="AO72" s="88">
        <f t="shared" si="13"/>
        <v>46363.229166666664</v>
      </c>
      <c r="AP72" s="88">
        <f t="shared" si="13"/>
        <v>46370.229166666664</v>
      </c>
      <c r="AQ72" s="88">
        <f t="shared" si="13"/>
        <v>46377.229166666664</v>
      </c>
      <c r="AR72" s="88">
        <f t="shared" si="13"/>
        <v>46384.229166666664</v>
      </c>
      <c r="AS72" s="88">
        <f t="shared" si="13"/>
        <v>46391.229166666664</v>
      </c>
      <c r="AT72" s="88">
        <f t="shared" si="13"/>
        <v>46398.229166666664</v>
      </c>
      <c r="AU72" s="88">
        <f t="shared" si="13"/>
        <v>46405.229166666664</v>
      </c>
      <c r="AV72" s="88">
        <f t="shared" si="13"/>
        <v>46412.229166666664</v>
      </c>
      <c r="AW72" s="88">
        <f t="shared" si="13"/>
        <v>46419.229166666664</v>
      </c>
      <c r="AX72" s="88">
        <f t="shared" si="13"/>
        <v>46426.229166666664</v>
      </c>
      <c r="AY72" s="88">
        <f t="shared" si="13"/>
        <v>46433.229166666664</v>
      </c>
      <c r="AZ72" s="88">
        <f t="shared" si="13"/>
        <v>46440.229166666664</v>
      </c>
      <c r="BA72" s="88">
        <f t="shared" si="13"/>
        <v>46447.229166666664</v>
      </c>
      <c r="BB72" s="88">
        <f t="shared" si="13"/>
        <v>46454.229166666664</v>
      </c>
      <c r="BC72" s="88">
        <f t="shared" si="13"/>
        <v>46461.229166666664</v>
      </c>
      <c r="BD72" s="88">
        <f t="shared" si="13"/>
        <v>46468.229166666664</v>
      </c>
      <c r="BE72" s="88">
        <f t="shared" si="13"/>
        <v>46475.229166666664</v>
      </c>
      <c r="BF72" s="88">
        <f t="shared" si="13"/>
        <v>46482.229166666664</v>
      </c>
      <c r="BG72" s="88">
        <f t="shared" si="13"/>
        <v>46489.229166666664</v>
      </c>
      <c r="BH72" s="88">
        <f t="shared" si="13"/>
        <v>46496.229166666664</v>
      </c>
      <c r="BI72" s="88">
        <f t="shared" si="13"/>
        <v>46503.229166666664</v>
      </c>
      <c r="BJ72" s="88">
        <f t="shared" si="13"/>
        <v>46510.229166666664</v>
      </c>
      <c r="BK72" s="88">
        <f t="shared" si="13"/>
        <v>46517.229166666664</v>
      </c>
      <c r="BL72" s="88">
        <f t="shared" si="13"/>
        <v>46524.229166666664</v>
      </c>
      <c r="BM72" s="88">
        <f t="shared" si="13"/>
        <v>46531.229166666664</v>
      </c>
      <c r="BN72" s="88">
        <f t="shared" si="13"/>
        <v>46538.229166666664</v>
      </c>
      <c r="BO72" s="88">
        <f t="shared" si="13"/>
        <v>46545.229166666664</v>
      </c>
      <c r="BP72" s="88">
        <f t="shared" si="13"/>
        <v>46552.229166666664</v>
      </c>
      <c r="BQ72" s="88">
        <f t="shared" si="13"/>
        <v>46559.229166666664</v>
      </c>
      <c r="BR72" s="88">
        <f t="shared" si="13"/>
        <v>46566.229166666664</v>
      </c>
      <c r="BS72" s="88">
        <f t="shared" si="13"/>
        <v>46573.229166666664</v>
      </c>
      <c r="BT72" s="88">
        <f t="shared" si="13"/>
        <v>46580.229166666664</v>
      </c>
      <c r="BU72" s="88">
        <f t="shared" si="13"/>
        <v>46587.229166666664</v>
      </c>
      <c r="BV72" s="88">
        <f t="shared" si="13"/>
        <v>46594.229166666664</v>
      </c>
      <c r="BW72" s="88">
        <f t="shared" si="13"/>
        <v>46601.229166666664</v>
      </c>
      <c r="BX72" s="88">
        <f t="shared" si="13"/>
        <v>46608.229166666664</v>
      </c>
      <c r="BY72" s="88">
        <f t="shared" si="13"/>
        <v>46615.229166666664</v>
      </c>
      <c r="BZ72" s="88">
        <f t="shared" si="13"/>
        <v>46622.229166666664</v>
      </c>
      <c r="CA72" s="88">
        <f t="shared" si="13"/>
        <v>46629.229166666664</v>
      </c>
      <c r="CB72" s="88">
        <f t="shared" ref="CB72:DM72" si="14">CA72+7</f>
        <v>46636.229166666664</v>
      </c>
      <c r="CC72" s="88">
        <f t="shared" si="14"/>
        <v>46643.229166666664</v>
      </c>
      <c r="CD72" s="88">
        <f t="shared" si="14"/>
        <v>46650.229166666664</v>
      </c>
      <c r="CE72" s="88">
        <f t="shared" si="14"/>
        <v>46657.229166666664</v>
      </c>
      <c r="CF72" s="88">
        <f t="shared" si="14"/>
        <v>46664.229166666664</v>
      </c>
      <c r="CG72" s="88">
        <f t="shared" si="14"/>
        <v>46671.229166666664</v>
      </c>
      <c r="CH72" s="88">
        <f t="shared" si="14"/>
        <v>46678.229166666664</v>
      </c>
      <c r="CI72" s="88">
        <f t="shared" si="14"/>
        <v>46685.229166666664</v>
      </c>
      <c r="CJ72" s="88">
        <f t="shared" si="14"/>
        <v>46692.229166666664</v>
      </c>
      <c r="CK72" s="88">
        <f t="shared" si="14"/>
        <v>46699.229166666664</v>
      </c>
      <c r="CL72" s="88">
        <f t="shared" si="14"/>
        <v>46706.229166666664</v>
      </c>
      <c r="CM72" s="88">
        <f t="shared" si="14"/>
        <v>46713.229166666664</v>
      </c>
      <c r="CN72" s="88">
        <f t="shared" si="14"/>
        <v>46720.229166666664</v>
      </c>
      <c r="CO72" s="88">
        <f t="shared" si="14"/>
        <v>46727.229166666664</v>
      </c>
      <c r="CP72" s="88">
        <f t="shared" si="14"/>
        <v>46734.229166666664</v>
      </c>
      <c r="CQ72" s="88">
        <f t="shared" si="14"/>
        <v>46741.229166666664</v>
      </c>
      <c r="CR72" s="88">
        <f t="shared" si="14"/>
        <v>46748.229166666664</v>
      </c>
      <c r="CS72" s="88">
        <f t="shared" si="14"/>
        <v>46755.229166666664</v>
      </c>
      <c r="CT72" s="88">
        <f t="shared" si="14"/>
        <v>46762.229166666664</v>
      </c>
      <c r="CU72" s="88">
        <f t="shared" si="14"/>
        <v>46769.229166666664</v>
      </c>
      <c r="CV72" s="88">
        <f t="shared" si="14"/>
        <v>46776.229166666664</v>
      </c>
      <c r="CW72" s="88">
        <f t="shared" si="14"/>
        <v>46783.229166666664</v>
      </c>
      <c r="CX72" s="88">
        <f t="shared" si="14"/>
        <v>46790.229166666664</v>
      </c>
      <c r="CY72" s="88">
        <f t="shared" si="14"/>
        <v>46797.229166666664</v>
      </c>
      <c r="CZ72" s="88">
        <f t="shared" si="14"/>
        <v>46804.229166666664</v>
      </c>
      <c r="DA72" s="88">
        <f t="shared" si="14"/>
        <v>46811.229166666664</v>
      </c>
      <c r="DB72" s="88">
        <f t="shared" si="14"/>
        <v>46818.229166666664</v>
      </c>
      <c r="DC72" s="88">
        <f t="shared" si="14"/>
        <v>46825.229166666664</v>
      </c>
      <c r="DD72" s="88">
        <f t="shared" si="14"/>
        <v>46832.229166666664</v>
      </c>
      <c r="DE72" s="88">
        <f t="shared" si="14"/>
        <v>46839.229166666664</v>
      </c>
      <c r="DF72" s="88">
        <f t="shared" si="14"/>
        <v>46846.229166666664</v>
      </c>
      <c r="DG72" s="88">
        <f t="shared" si="14"/>
        <v>46853.229166666664</v>
      </c>
      <c r="DH72" s="88">
        <f t="shared" si="14"/>
        <v>46860.229166666664</v>
      </c>
      <c r="DI72" s="88">
        <f t="shared" si="14"/>
        <v>46867.229166666664</v>
      </c>
      <c r="DJ72" s="88">
        <f t="shared" si="14"/>
        <v>46874.229166666664</v>
      </c>
      <c r="DK72" s="88">
        <f t="shared" si="14"/>
        <v>46881.229166666664</v>
      </c>
      <c r="DL72" s="88">
        <f t="shared" si="14"/>
        <v>46888.229166666664</v>
      </c>
      <c r="DM72" s="89">
        <f t="shared" si="14"/>
        <v>46895.229166666664</v>
      </c>
    </row>
    <row r="73" spans="5:118" s="19" customFormat="1" ht="30" customHeight="1" x14ac:dyDescent="0.3">
      <c r="E73" s="28" t="s">
        <v>29</v>
      </c>
      <c r="F73" s="91" t="s">
        <v>299</v>
      </c>
      <c r="G73" s="91" t="s">
        <v>300</v>
      </c>
      <c r="H73" s="92" t="s">
        <v>301</v>
      </c>
      <c r="I73" s="69"/>
      <c r="J73" s="69"/>
      <c r="K73" s="69"/>
      <c r="L73" s="93" t="s">
        <v>298</v>
      </c>
      <c r="M73" s="34" t="s">
        <v>257</v>
      </c>
      <c r="N73" s="34" t="s">
        <v>35</v>
      </c>
      <c r="O73" s="33" t="s">
        <v>36</v>
      </c>
      <c r="P73" s="33" t="s">
        <v>37</v>
      </c>
      <c r="Q73" s="33" t="s">
        <v>38</v>
      </c>
      <c r="R73" s="33" t="s">
        <v>39</v>
      </c>
      <c r="S73" s="33" t="s">
        <v>40</v>
      </c>
      <c r="T73" s="33" t="s">
        <v>41</v>
      </c>
      <c r="U73" s="33" t="s">
        <v>42</v>
      </c>
      <c r="V73" s="33" t="s">
        <v>43</v>
      </c>
      <c r="W73" s="33" t="s">
        <v>44</v>
      </c>
      <c r="X73" s="33" t="s">
        <v>45</v>
      </c>
      <c r="Y73" s="33" t="s">
        <v>46</v>
      </c>
      <c r="Z73" s="33" t="s">
        <v>47</v>
      </c>
      <c r="AA73" s="33" t="s">
        <v>48</v>
      </c>
      <c r="AB73" s="33" t="s">
        <v>49</v>
      </c>
      <c r="AC73" s="33" t="s">
        <v>50</v>
      </c>
      <c r="AD73" s="33" t="s">
        <v>51</v>
      </c>
      <c r="AE73" s="33" t="s">
        <v>52</v>
      </c>
      <c r="AF73" s="33" t="s">
        <v>53</v>
      </c>
      <c r="AG73" s="33" t="s">
        <v>54</v>
      </c>
      <c r="AH73" s="33" t="s">
        <v>55</v>
      </c>
      <c r="AI73" s="33" t="s">
        <v>56</v>
      </c>
      <c r="AJ73" s="33" t="s">
        <v>57</v>
      </c>
      <c r="AK73" s="33" t="s">
        <v>58</v>
      </c>
      <c r="AL73" s="33" t="s">
        <v>59</v>
      </c>
      <c r="AM73" s="33" t="s">
        <v>60</v>
      </c>
      <c r="AN73" s="33" t="s">
        <v>61</v>
      </c>
      <c r="AO73" s="33" t="s">
        <v>62</v>
      </c>
      <c r="AP73" s="33" t="s">
        <v>63</v>
      </c>
      <c r="AQ73" s="33" t="s">
        <v>64</v>
      </c>
      <c r="AR73" s="33" t="s">
        <v>65</v>
      </c>
      <c r="AS73" s="33" t="s">
        <v>66</v>
      </c>
      <c r="AT73" s="33" t="s">
        <v>67</v>
      </c>
      <c r="AU73" s="33" t="s">
        <v>68</v>
      </c>
      <c r="AV73" s="33" t="s">
        <v>69</v>
      </c>
      <c r="AW73" s="33" t="s">
        <v>70</v>
      </c>
      <c r="AX73" s="33" t="s">
        <v>71</v>
      </c>
      <c r="AY73" s="33" t="s">
        <v>72</v>
      </c>
      <c r="AZ73" s="33" t="s">
        <v>73</v>
      </c>
      <c r="BA73" s="33" t="s">
        <v>74</v>
      </c>
      <c r="BB73" s="33" t="s">
        <v>75</v>
      </c>
      <c r="BC73" s="33" t="s">
        <v>76</v>
      </c>
      <c r="BD73" s="33" t="s">
        <v>77</v>
      </c>
      <c r="BE73" s="33" t="s">
        <v>78</v>
      </c>
      <c r="BF73" s="33" t="s">
        <v>79</v>
      </c>
      <c r="BG73" s="33" t="s">
        <v>80</v>
      </c>
      <c r="BH73" s="33" t="s">
        <v>81</v>
      </c>
      <c r="BI73" s="33" t="s">
        <v>82</v>
      </c>
      <c r="BJ73" s="33" t="s">
        <v>83</v>
      </c>
      <c r="BK73" s="33" t="s">
        <v>84</v>
      </c>
      <c r="BL73" s="33" t="s">
        <v>85</v>
      </c>
      <c r="BM73" s="33" t="s">
        <v>86</v>
      </c>
      <c r="BN73" s="33" t="s">
        <v>87</v>
      </c>
      <c r="BO73" s="33" t="s">
        <v>88</v>
      </c>
      <c r="BP73" s="33" t="s">
        <v>89</v>
      </c>
      <c r="BQ73" s="33" t="s">
        <v>90</v>
      </c>
      <c r="BR73" s="33" t="s">
        <v>91</v>
      </c>
      <c r="BS73" s="33" t="s">
        <v>92</v>
      </c>
      <c r="BT73" s="33" t="s">
        <v>93</v>
      </c>
      <c r="BU73" s="33" t="s">
        <v>94</v>
      </c>
      <c r="BV73" s="33" t="s">
        <v>95</v>
      </c>
      <c r="BW73" s="33" t="s">
        <v>96</v>
      </c>
      <c r="BX73" s="33" t="s">
        <v>97</v>
      </c>
      <c r="BY73" s="33" t="s">
        <v>98</v>
      </c>
      <c r="BZ73" s="33" t="s">
        <v>99</v>
      </c>
      <c r="CA73" s="33" t="s">
        <v>100</v>
      </c>
      <c r="CB73" s="33" t="s">
        <v>101</v>
      </c>
      <c r="CC73" s="33" t="s">
        <v>102</v>
      </c>
      <c r="CD73" s="33" t="s">
        <v>103</v>
      </c>
      <c r="CE73" s="33" t="s">
        <v>104</v>
      </c>
      <c r="CF73" s="33" t="s">
        <v>105</v>
      </c>
      <c r="CG73" s="33" t="s">
        <v>106</v>
      </c>
      <c r="CH73" s="33" t="s">
        <v>107</v>
      </c>
      <c r="CI73" s="33" t="s">
        <v>108</v>
      </c>
      <c r="CJ73" s="33" t="s">
        <v>109</v>
      </c>
      <c r="CK73" s="33" t="s">
        <v>110</v>
      </c>
      <c r="CL73" s="33" t="s">
        <v>111</v>
      </c>
      <c r="CM73" s="33" t="s">
        <v>112</v>
      </c>
      <c r="CN73" s="33" t="s">
        <v>113</v>
      </c>
      <c r="CO73" s="33" t="s">
        <v>114</v>
      </c>
      <c r="CP73" s="33" t="s">
        <v>115</v>
      </c>
      <c r="CQ73" s="33" t="s">
        <v>116</v>
      </c>
      <c r="CR73" s="33" t="s">
        <v>117</v>
      </c>
      <c r="CS73" s="33" t="s">
        <v>118</v>
      </c>
      <c r="CT73" s="33" t="s">
        <v>119</v>
      </c>
      <c r="CU73" s="33" t="s">
        <v>120</v>
      </c>
      <c r="CV73" s="33" t="s">
        <v>121</v>
      </c>
      <c r="CW73" s="33" t="s">
        <v>122</v>
      </c>
      <c r="CX73" s="33" t="s">
        <v>123</v>
      </c>
      <c r="CY73" s="33" t="s">
        <v>124</v>
      </c>
      <c r="CZ73" s="33" t="s">
        <v>125</v>
      </c>
      <c r="DA73" s="33" t="s">
        <v>126</v>
      </c>
      <c r="DB73" s="33" t="s">
        <v>127</v>
      </c>
      <c r="DC73" s="33" t="s">
        <v>128</v>
      </c>
      <c r="DD73" s="33" t="s">
        <v>129</v>
      </c>
      <c r="DE73" s="33" t="s">
        <v>130</v>
      </c>
      <c r="DF73" s="33" t="s">
        <v>131</v>
      </c>
      <c r="DG73" s="33" t="s">
        <v>132</v>
      </c>
      <c r="DH73" s="33" t="s">
        <v>133</v>
      </c>
      <c r="DI73" s="33" t="s">
        <v>134</v>
      </c>
      <c r="DJ73" s="33" t="s">
        <v>135</v>
      </c>
      <c r="DK73" s="33" t="s">
        <v>136</v>
      </c>
      <c r="DL73" s="33" t="s">
        <v>137</v>
      </c>
      <c r="DM73" s="44" t="s">
        <v>138</v>
      </c>
      <c r="DN73" s="45"/>
    </row>
    <row r="74" spans="5:118" x14ac:dyDescent="0.35">
      <c r="E74" s="36"/>
      <c r="F74" s="37"/>
      <c r="G74" s="37"/>
      <c r="H74" s="67"/>
      <c r="I74" s="69"/>
      <c r="J74" s="70"/>
      <c r="K74" s="70"/>
      <c r="L74" s="68">
        <f t="shared" ref="L74:L83" si="15">H74*M74</f>
        <v>0</v>
      </c>
      <c r="M74" s="39">
        <f>SUM(N74:DM74)</f>
        <v>0</v>
      </c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6"/>
      <c r="DN74" s="47"/>
    </row>
    <row r="75" spans="5:118" x14ac:dyDescent="0.35">
      <c r="E75" s="36"/>
      <c r="F75" s="37"/>
      <c r="G75" s="37"/>
      <c r="H75" s="67"/>
      <c r="I75" s="69"/>
      <c r="J75" s="70"/>
      <c r="K75" s="70"/>
      <c r="L75" s="68">
        <f t="shared" si="15"/>
        <v>0</v>
      </c>
      <c r="M75" s="39">
        <f t="shared" ref="M75:M83" si="16">SUM(N75:DM75)</f>
        <v>0</v>
      </c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6"/>
      <c r="DN75" s="47"/>
    </row>
    <row r="76" spans="5:118" x14ac:dyDescent="0.35">
      <c r="E76" s="36"/>
      <c r="F76" s="37"/>
      <c r="G76" s="37"/>
      <c r="H76" s="67"/>
      <c r="I76" s="69"/>
      <c r="J76" s="70"/>
      <c r="K76" s="70"/>
      <c r="L76" s="68">
        <f t="shared" si="15"/>
        <v>0</v>
      </c>
      <c r="M76" s="39">
        <f t="shared" si="16"/>
        <v>0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6"/>
      <c r="DN76" s="47"/>
    </row>
    <row r="77" spans="5:118" x14ac:dyDescent="0.35">
      <c r="E77" s="36"/>
      <c r="F77" s="37"/>
      <c r="G77" s="37"/>
      <c r="H77" s="67"/>
      <c r="I77" s="69"/>
      <c r="J77" s="70"/>
      <c r="K77" s="70"/>
      <c r="L77" s="68">
        <f t="shared" si="15"/>
        <v>0</v>
      </c>
      <c r="M77" s="39">
        <f t="shared" si="16"/>
        <v>0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6"/>
      <c r="DN77" s="47"/>
    </row>
    <row r="78" spans="5:118" x14ac:dyDescent="0.35">
      <c r="E78" s="36"/>
      <c r="F78" s="37"/>
      <c r="G78" s="37"/>
      <c r="H78" s="67"/>
      <c r="I78" s="69"/>
      <c r="J78" s="70"/>
      <c r="K78" s="70"/>
      <c r="L78" s="68">
        <f t="shared" si="15"/>
        <v>0</v>
      </c>
      <c r="M78" s="39">
        <f t="shared" si="16"/>
        <v>0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6"/>
      <c r="DN78" s="47"/>
    </row>
    <row r="79" spans="5:118" x14ac:dyDescent="0.35">
      <c r="E79" s="36"/>
      <c r="F79" s="37"/>
      <c r="G79" s="37"/>
      <c r="H79" s="67"/>
      <c r="I79" s="69"/>
      <c r="J79" s="70"/>
      <c r="K79" s="70"/>
      <c r="L79" s="68">
        <f t="shared" si="15"/>
        <v>0</v>
      </c>
      <c r="M79" s="39">
        <f t="shared" si="16"/>
        <v>0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6"/>
      <c r="DN79" s="47"/>
    </row>
    <row r="80" spans="5:118" x14ac:dyDescent="0.35">
      <c r="E80" s="36"/>
      <c r="F80" s="37"/>
      <c r="G80" s="37"/>
      <c r="H80" s="67"/>
      <c r="I80" s="69"/>
      <c r="J80" s="70"/>
      <c r="K80" s="70"/>
      <c r="L80" s="68">
        <f t="shared" si="15"/>
        <v>0</v>
      </c>
      <c r="M80" s="39">
        <f t="shared" si="16"/>
        <v>0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6"/>
      <c r="DN80" s="47"/>
    </row>
    <row r="81" spans="5:118" x14ac:dyDescent="0.35">
      <c r="E81" s="36"/>
      <c r="F81" s="37"/>
      <c r="G81" s="37"/>
      <c r="H81" s="67"/>
      <c r="I81" s="69"/>
      <c r="J81" s="70"/>
      <c r="K81" s="70"/>
      <c r="L81" s="68">
        <f t="shared" si="15"/>
        <v>0</v>
      </c>
      <c r="M81" s="39">
        <f t="shared" si="16"/>
        <v>0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6"/>
      <c r="DN81" s="47"/>
    </row>
    <row r="82" spans="5:118" x14ac:dyDescent="0.35">
      <c r="E82" s="36"/>
      <c r="F82" s="37"/>
      <c r="G82" s="37"/>
      <c r="H82" s="67"/>
      <c r="I82" s="69"/>
      <c r="J82" s="70"/>
      <c r="K82" s="70"/>
      <c r="L82" s="68">
        <f t="shared" si="15"/>
        <v>0</v>
      </c>
      <c r="M82" s="39">
        <f t="shared" si="16"/>
        <v>0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6"/>
      <c r="DN82" s="47"/>
    </row>
    <row r="83" spans="5:118" x14ac:dyDescent="0.35">
      <c r="E83" s="36"/>
      <c r="F83" s="37"/>
      <c r="G83" s="37"/>
      <c r="H83" s="67"/>
      <c r="I83" s="69"/>
      <c r="J83" s="70"/>
      <c r="K83" s="70"/>
      <c r="L83" s="68">
        <f t="shared" si="15"/>
        <v>0</v>
      </c>
      <c r="M83" s="39">
        <f t="shared" si="16"/>
        <v>0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6"/>
      <c r="DN83" s="47"/>
    </row>
    <row r="84" spans="5:118" ht="15" thickBot="1" x14ac:dyDescent="0.4">
      <c r="E84" s="3"/>
      <c r="F84" s="41"/>
      <c r="G84" s="41"/>
      <c r="H84" s="41"/>
      <c r="I84" s="69"/>
      <c r="J84" s="8"/>
      <c r="K84" s="8" t="s">
        <v>150</v>
      </c>
      <c r="L84" s="97">
        <f>SUM(L74:L83)</f>
        <v>0</v>
      </c>
      <c r="M84" s="96"/>
      <c r="N84" s="4">
        <f t="shared" ref="N84:AS84" si="17">SUM(M34:M83)</f>
        <v>168</v>
      </c>
      <c r="O84" s="4">
        <f t="shared" si="17"/>
        <v>46206.229166666664</v>
      </c>
      <c r="P84" s="4">
        <f t="shared" si="17"/>
        <v>46221.229166666664</v>
      </c>
      <c r="Q84" s="4">
        <f t="shared" si="17"/>
        <v>46228.229166666664</v>
      </c>
      <c r="R84" s="4">
        <f t="shared" si="17"/>
        <v>46235.229166666664</v>
      </c>
      <c r="S84" s="4">
        <f t="shared" si="17"/>
        <v>46218.229166666664</v>
      </c>
      <c r="T84" s="4">
        <f t="shared" si="17"/>
        <v>46209.229166666664</v>
      </c>
      <c r="U84" s="4">
        <f t="shared" si="17"/>
        <v>46216.229166666664</v>
      </c>
      <c r="V84" s="4">
        <f t="shared" si="17"/>
        <v>46223.229166666664</v>
      </c>
      <c r="W84" s="4">
        <f t="shared" si="17"/>
        <v>46230.229166666664</v>
      </c>
      <c r="X84" s="4">
        <f t="shared" si="17"/>
        <v>46237.229166666664</v>
      </c>
      <c r="Y84" s="4">
        <f t="shared" si="17"/>
        <v>46244.229166666664</v>
      </c>
      <c r="Z84" s="4">
        <f t="shared" si="17"/>
        <v>46251.229166666664</v>
      </c>
      <c r="AA84" s="4">
        <f t="shared" si="17"/>
        <v>46258.229166666664</v>
      </c>
      <c r="AB84" s="4">
        <f t="shared" si="17"/>
        <v>46265.229166666664</v>
      </c>
      <c r="AC84" s="4">
        <f t="shared" si="17"/>
        <v>46272.229166666664</v>
      </c>
      <c r="AD84" s="4">
        <f t="shared" si="17"/>
        <v>46279.229166666664</v>
      </c>
      <c r="AE84" s="4">
        <f t="shared" si="17"/>
        <v>46286.229166666664</v>
      </c>
      <c r="AF84" s="4">
        <f t="shared" si="17"/>
        <v>46293.229166666664</v>
      </c>
      <c r="AG84" s="4">
        <f t="shared" si="17"/>
        <v>46300.229166666664</v>
      </c>
      <c r="AH84" s="4">
        <f t="shared" si="17"/>
        <v>46307.229166666664</v>
      </c>
      <c r="AI84" s="4">
        <f t="shared" si="17"/>
        <v>46314.229166666664</v>
      </c>
      <c r="AJ84" s="4">
        <f t="shared" si="17"/>
        <v>46321.229166666664</v>
      </c>
      <c r="AK84" s="4">
        <f t="shared" si="17"/>
        <v>46328.229166666664</v>
      </c>
      <c r="AL84" s="4">
        <f t="shared" si="17"/>
        <v>46335.229166666664</v>
      </c>
      <c r="AM84" s="4">
        <f t="shared" si="17"/>
        <v>46342.229166666664</v>
      </c>
      <c r="AN84" s="4">
        <f t="shared" si="17"/>
        <v>46349.229166666664</v>
      </c>
      <c r="AO84" s="4">
        <f t="shared" si="17"/>
        <v>46356.229166666664</v>
      </c>
      <c r="AP84" s="4">
        <f t="shared" si="17"/>
        <v>46363.229166666664</v>
      </c>
      <c r="AQ84" s="4">
        <f t="shared" si="17"/>
        <v>46370.229166666664</v>
      </c>
      <c r="AR84" s="4">
        <f t="shared" si="17"/>
        <v>46377.229166666664</v>
      </c>
      <c r="AS84" s="4">
        <f t="shared" si="17"/>
        <v>46384.229166666664</v>
      </c>
      <c r="AT84" s="4">
        <f t="shared" ref="AT84:BY84" si="18">SUM(AS34:AS83)</f>
        <v>46391.229166666664</v>
      </c>
      <c r="AU84" s="4">
        <f t="shared" si="18"/>
        <v>46398.229166666664</v>
      </c>
      <c r="AV84" s="4">
        <f t="shared" si="18"/>
        <v>46405.229166666664</v>
      </c>
      <c r="AW84" s="4">
        <f t="shared" si="18"/>
        <v>46412.229166666664</v>
      </c>
      <c r="AX84" s="4">
        <f t="shared" si="18"/>
        <v>46419.229166666664</v>
      </c>
      <c r="AY84" s="4">
        <f t="shared" si="18"/>
        <v>46426.229166666664</v>
      </c>
      <c r="AZ84" s="4">
        <f t="shared" si="18"/>
        <v>46433.229166666664</v>
      </c>
      <c r="BA84" s="4">
        <f t="shared" si="18"/>
        <v>46440.229166666664</v>
      </c>
      <c r="BB84" s="4">
        <f t="shared" si="18"/>
        <v>46447.229166666664</v>
      </c>
      <c r="BC84" s="4">
        <f t="shared" si="18"/>
        <v>46454.229166666664</v>
      </c>
      <c r="BD84" s="4">
        <f t="shared" si="18"/>
        <v>46461.229166666664</v>
      </c>
      <c r="BE84" s="4">
        <f t="shared" si="18"/>
        <v>46468.229166666664</v>
      </c>
      <c r="BF84" s="4">
        <f t="shared" si="18"/>
        <v>46475.229166666664</v>
      </c>
      <c r="BG84" s="4">
        <f t="shared" si="18"/>
        <v>46482.229166666664</v>
      </c>
      <c r="BH84" s="4">
        <f t="shared" si="18"/>
        <v>46489.229166666664</v>
      </c>
      <c r="BI84" s="4">
        <f t="shared" si="18"/>
        <v>46496.229166666664</v>
      </c>
      <c r="BJ84" s="4">
        <f t="shared" si="18"/>
        <v>46503.229166666664</v>
      </c>
      <c r="BK84" s="4">
        <f t="shared" si="18"/>
        <v>46510.229166666664</v>
      </c>
      <c r="BL84" s="4">
        <f t="shared" si="18"/>
        <v>46517.229166666664</v>
      </c>
      <c r="BM84" s="4">
        <f t="shared" si="18"/>
        <v>46524.229166666664</v>
      </c>
      <c r="BN84" s="4">
        <f t="shared" si="18"/>
        <v>46531.229166666664</v>
      </c>
      <c r="BO84" s="4">
        <f t="shared" si="18"/>
        <v>46538.229166666664</v>
      </c>
      <c r="BP84" s="4">
        <f t="shared" si="18"/>
        <v>46545.229166666664</v>
      </c>
      <c r="BQ84" s="4">
        <f t="shared" si="18"/>
        <v>46552.229166666664</v>
      </c>
      <c r="BR84" s="4">
        <f t="shared" si="18"/>
        <v>46559.229166666664</v>
      </c>
      <c r="BS84" s="4">
        <f t="shared" si="18"/>
        <v>46566.229166666664</v>
      </c>
      <c r="BT84" s="4">
        <f t="shared" si="18"/>
        <v>46573.229166666664</v>
      </c>
      <c r="BU84" s="4">
        <f t="shared" si="18"/>
        <v>46580.229166666664</v>
      </c>
      <c r="BV84" s="4">
        <f t="shared" si="18"/>
        <v>46587.229166666664</v>
      </c>
      <c r="BW84" s="4">
        <f t="shared" si="18"/>
        <v>46594.229166666664</v>
      </c>
      <c r="BX84" s="4">
        <f t="shared" si="18"/>
        <v>46601.229166666664</v>
      </c>
      <c r="BY84" s="4">
        <f t="shared" si="18"/>
        <v>46608.229166666664</v>
      </c>
      <c r="BZ84" s="4">
        <f t="shared" ref="BZ84:DE84" si="19">SUM(BY34:BY83)</f>
        <v>46615.229166666664</v>
      </c>
      <c r="CA84" s="4">
        <f t="shared" si="19"/>
        <v>46622.229166666664</v>
      </c>
      <c r="CB84" s="4">
        <f t="shared" si="19"/>
        <v>46629.229166666664</v>
      </c>
      <c r="CC84" s="4">
        <f t="shared" si="19"/>
        <v>46636.229166666664</v>
      </c>
      <c r="CD84" s="4">
        <f t="shared" si="19"/>
        <v>46643.229166666664</v>
      </c>
      <c r="CE84" s="4">
        <f t="shared" si="19"/>
        <v>46650.229166666664</v>
      </c>
      <c r="CF84" s="4">
        <f t="shared" si="19"/>
        <v>46657.229166666664</v>
      </c>
      <c r="CG84" s="4">
        <f t="shared" si="19"/>
        <v>46664.229166666664</v>
      </c>
      <c r="CH84" s="4">
        <f t="shared" si="19"/>
        <v>46671.229166666664</v>
      </c>
      <c r="CI84" s="4">
        <f t="shared" si="19"/>
        <v>46678.229166666664</v>
      </c>
      <c r="CJ84" s="4">
        <f t="shared" si="19"/>
        <v>46685.229166666664</v>
      </c>
      <c r="CK84" s="4">
        <f t="shared" si="19"/>
        <v>46692.229166666664</v>
      </c>
      <c r="CL84" s="4">
        <f t="shared" si="19"/>
        <v>46699.229166666664</v>
      </c>
      <c r="CM84" s="4">
        <f t="shared" si="19"/>
        <v>46706.229166666664</v>
      </c>
      <c r="CN84" s="4">
        <f t="shared" si="19"/>
        <v>46713.229166666664</v>
      </c>
      <c r="CO84" s="4">
        <f t="shared" si="19"/>
        <v>46720.229166666664</v>
      </c>
      <c r="CP84" s="4">
        <f t="shared" si="19"/>
        <v>46727.229166666664</v>
      </c>
      <c r="CQ84" s="4">
        <f t="shared" si="19"/>
        <v>46734.229166666664</v>
      </c>
      <c r="CR84" s="4">
        <f t="shared" si="19"/>
        <v>46741.229166666664</v>
      </c>
      <c r="CS84" s="4">
        <f t="shared" si="19"/>
        <v>46748.229166666664</v>
      </c>
      <c r="CT84" s="4">
        <f t="shared" si="19"/>
        <v>46755.229166666664</v>
      </c>
      <c r="CU84" s="4">
        <f t="shared" si="19"/>
        <v>46762.229166666664</v>
      </c>
      <c r="CV84" s="4">
        <f t="shared" si="19"/>
        <v>46769.229166666664</v>
      </c>
      <c r="CW84" s="4">
        <f t="shared" si="19"/>
        <v>46776.229166666664</v>
      </c>
      <c r="CX84" s="4">
        <f t="shared" si="19"/>
        <v>46783.229166666664</v>
      </c>
      <c r="CY84" s="4">
        <f t="shared" si="19"/>
        <v>46790.229166666664</v>
      </c>
      <c r="CZ84" s="4">
        <f t="shared" si="19"/>
        <v>46797.229166666664</v>
      </c>
      <c r="DA84" s="4">
        <f t="shared" si="19"/>
        <v>46804.229166666664</v>
      </c>
      <c r="DB84" s="4">
        <f t="shared" si="19"/>
        <v>46811.229166666664</v>
      </c>
      <c r="DC84" s="4">
        <f t="shared" si="19"/>
        <v>46818.229166666664</v>
      </c>
      <c r="DD84" s="4">
        <f t="shared" si="19"/>
        <v>46825.229166666664</v>
      </c>
      <c r="DE84" s="4">
        <f t="shared" si="19"/>
        <v>46832.229166666664</v>
      </c>
      <c r="DF84" s="4">
        <f t="shared" ref="DF84:DM84" si="20">SUM(DE34:DE83)</f>
        <v>46839.229166666664</v>
      </c>
      <c r="DG84" s="4">
        <f t="shared" si="20"/>
        <v>46846.229166666664</v>
      </c>
      <c r="DH84" s="4">
        <f t="shared" si="20"/>
        <v>46853.229166666664</v>
      </c>
      <c r="DI84" s="4">
        <f t="shared" si="20"/>
        <v>46860.229166666664</v>
      </c>
      <c r="DJ84" s="4">
        <f t="shared" si="20"/>
        <v>46867.229166666664</v>
      </c>
      <c r="DK84" s="4">
        <f t="shared" si="20"/>
        <v>46874.229166666664</v>
      </c>
      <c r="DL84" s="4">
        <f t="shared" si="20"/>
        <v>46881.229166666664</v>
      </c>
      <c r="DM84" s="90">
        <f t="shared" si="20"/>
        <v>46888.229166666664</v>
      </c>
      <c r="DN84" s="47"/>
    </row>
    <row r="87" spans="5:118" ht="15" thickBot="1" x14ac:dyDescent="0.4"/>
    <row r="88" spans="5:118" ht="15" thickBot="1" x14ac:dyDescent="0.4">
      <c r="E88" s="43" t="s">
        <v>152</v>
      </c>
      <c r="J88" s="48"/>
    </row>
    <row r="89" spans="5:118" x14ac:dyDescent="0.35">
      <c r="E89" s="28" t="s">
        <v>29</v>
      </c>
      <c r="F89" s="32" t="s">
        <v>261</v>
      </c>
      <c r="G89" s="32" t="s">
        <v>262</v>
      </c>
      <c r="H89" s="32" t="s">
        <v>259</v>
      </c>
      <c r="I89" s="66" t="s">
        <v>260</v>
      </c>
      <c r="J89" s="69"/>
      <c r="K89" s="61" t="s">
        <v>308</v>
      </c>
      <c r="L89" s="33" t="s">
        <v>142</v>
      </c>
      <c r="M89" s="33" t="s">
        <v>257</v>
      </c>
      <c r="N89" s="33" t="s">
        <v>153</v>
      </c>
      <c r="O89" s="33" t="s">
        <v>154</v>
      </c>
      <c r="P89" s="33" t="s">
        <v>155</v>
      </c>
      <c r="Q89" s="33" t="s">
        <v>156</v>
      </c>
      <c r="R89" s="33" t="s">
        <v>157</v>
      </c>
      <c r="S89" s="33" t="s">
        <v>158</v>
      </c>
      <c r="T89" s="33" t="s">
        <v>159</v>
      </c>
      <c r="U89" s="33" t="s">
        <v>160</v>
      </c>
      <c r="V89" s="33" t="s">
        <v>161</v>
      </c>
      <c r="W89" s="33" t="s">
        <v>162</v>
      </c>
      <c r="X89" s="33" t="s">
        <v>163</v>
      </c>
      <c r="Y89" s="33" t="s">
        <v>164</v>
      </c>
      <c r="Z89" s="33" t="s">
        <v>165</v>
      </c>
      <c r="AA89" s="33" t="s">
        <v>166</v>
      </c>
      <c r="AB89" s="33" t="s">
        <v>167</v>
      </c>
      <c r="AC89" s="33" t="s">
        <v>168</v>
      </c>
      <c r="AD89" s="33" t="s">
        <v>169</v>
      </c>
      <c r="AE89" s="33" t="s">
        <v>170</v>
      </c>
      <c r="AF89" s="33" t="s">
        <v>171</v>
      </c>
      <c r="AG89" s="33" t="s">
        <v>172</v>
      </c>
      <c r="AH89" s="33" t="s">
        <v>173</v>
      </c>
      <c r="AI89" s="33" t="s">
        <v>174</v>
      </c>
      <c r="AJ89" s="33" t="s">
        <v>175</v>
      </c>
      <c r="AK89" s="33" t="s">
        <v>176</v>
      </c>
      <c r="AL89" s="33" t="s">
        <v>177</v>
      </c>
      <c r="AM89" s="33" t="s">
        <v>178</v>
      </c>
      <c r="AN89" s="33" t="s">
        <v>179</v>
      </c>
      <c r="AO89" s="33" t="s">
        <v>180</v>
      </c>
      <c r="AP89" s="33" t="s">
        <v>181</v>
      </c>
      <c r="AQ89" s="33" t="s">
        <v>182</v>
      </c>
      <c r="AR89" s="33" t="s">
        <v>183</v>
      </c>
      <c r="AS89" s="33" t="s">
        <v>184</v>
      </c>
      <c r="AT89" s="33" t="s">
        <v>185</v>
      </c>
      <c r="AU89" s="33" t="s">
        <v>186</v>
      </c>
      <c r="AV89" s="33" t="s">
        <v>187</v>
      </c>
      <c r="AW89" s="33" t="s">
        <v>188</v>
      </c>
      <c r="AX89" s="33" t="s">
        <v>189</v>
      </c>
      <c r="AY89" s="33" t="s">
        <v>190</v>
      </c>
      <c r="AZ89" s="33" t="s">
        <v>191</v>
      </c>
      <c r="BA89" s="33" t="s">
        <v>192</v>
      </c>
      <c r="BB89" s="33" t="s">
        <v>193</v>
      </c>
      <c r="BC89" s="33" t="s">
        <v>194</v>
      </c>
      <c r="BD89" s="33" t="s">
        <v>195</v>
      </c>
      <c r="BE89" s="33" t="s">
        <v>196</v>
      </c>
      <c r="BF89" s="33" t="s">
        <v>197</v>
      </c>
      <c r="BG89" s="33" t="s">
        <v>198</v>
      </c>
      <c r="BH89" s="33" t="s">
        <v>199</v>
      </c>
      <c r="BI89" s="33" t="s">
        <v>200</v>
      </c>
      <c r="BJ89" s="33" t="s">
        <v>201</v>
      </c>
      <c r="BK89" s="33" t="s">
        <v>202</v>
      </c>
      <c r="BL89" s="33" t="s">
        <v>203</v>
      </c>
      <c r="BM89" s="33" t="s">
        <v>204</v>
      </c>
      <c r="BN89" s="33" t="s">
        <v>205</v>
      </c>
      <c r="BO89" s="33" t="s">
        <v>206</v>
      </c>
      <c r="BP89" s="33" t="s">
        <v>207</v>
      </c>
      <c r="BQ89" s="33" t="s">
        <v>208</v>
      </c>
      <c r="BR89" s="33" t="s">
        <v>209</v>
      </c>
      <c r="BS89" s="33" t="s">
        <v>210</v>
      </c>
      <c r="BT89" s="33" t="s">
        <v>211</v>
      </c>
      <c r="BU89" s="33" t="s">
        <v>212</v>
      </c>
      <c r="BV89" s="33" t="s">
        <v>213</v>
      </c>
      <c r="BW89" s="33" t="s">
        <v>214</v>
      </c>
      <c r="BX89" s="33" t="s">
        <v>215</v>
      </c>
      <c r="BY89" s="33" t="s">
        <v>216</v>
      </c>
      <c r="BZ89" s="33" t="s">
        <v>217</v>
      </c>
      <c r="CA89" s="33" t="s">
        <v>218</v>
      </c>
      <c r="CB89" s="33" t="s">
        <v>219</v>
      </c>
      <c r="CC89" s="33" t="s">
        <v>220</v>
      </c>
      <c r="CD89" s="33" t="s">
        <v>221</v>
      </c>
      <c r="CE89" s="33" t="s">
        <v>222</v>
      </c>
      <c r="CF89" s="33" t="s">
        <v>223</v>
      </c>
      <c r="CG89" s="33" t="s">
        <v>224</v>
      </c>
      <c r="CH89" s="33" t="s">
        <v>225</v>
      </c>
      <c r="CI89" s="33" t="s">
        <v>226</v>
      </c>
      <c r="CJ89" s="33" t="s">
        <v>227</v>
      </c>
      <c r="CK89" s="33" t="s">
        <v>228</v>
      </c>
      <c r="CL89" s="33" t="s">
        <v>229</v>
      </c>
      <c r="CM89" s="33" t="s">
        <v>230</v>
      </c>
      <c r="CN89" s="33" t="s">
        <v>231</v>
      </c>
      <c r="CO89" s="33" t="s">
        <v>232</v>
      </c>
      <c r="CP89" s="33" t="s">
        <v>233</v>
      </c>
      <c r="CQ89" s="33" t="s">
        <v>234</v>
      </c>
      <c r="CR89" s="33" t="s">
        <v>235</v>
      </c>
      <c r="CS89" s="33" t="s">
        <v>236</v>
      </c>
      <c r="CT89" s="33" t="s">
        <v>237</v>
      </c>
      <c r="CU89" s="33" t="s">
        <v>238</v>
      </c>
      <c r="CV89" s="33" t="s">
        <v>239</v>
      </c>
      <c r="CW89" s="33" t="s">
        <v>240</v>
      </c>
      <c r="CX89" s="33" t="s">
        <v>241</v>
      </c>
      <c r="CY89" s="33" t="s">
        <v>242</v>
      </c>
      <c r="CZ89" s="33" t="s">
        <v>243</v>
      </c>
      <c r="DA89" s="33" t="s">
        <v>244</v>
      </c>
      <c r="DB89" s="33" t="s">
        <v>245</v>
      </c>
      <c r="DC89" s="33" t="s">
        <v>246</v>
      </c>
      <c r="DD89" s="33" t="s">
        <v>247</v>
      </c>
      <c r="DE89" s="33" t="s">
        <v>248</v>
      </c>
      <c r="DF89" s="33" t="s">
        <v>249</v>
      </c>
      <c r="DG89" s="33" t="s">
        <v>250</v>
      </c>
      <c r="DH89" s="33" t="s">
        <v>251</v>
      </c>
      <c r="DI89" s="33" t="s">
        <v>252</v>
      </c>
      <c r="DJ89" s="33" t="s">
        <v>253</v>
      </c>
      <c r="DK89" s="33" t="s">
        <v>254</v>
      </c>
      <c r="DL89" s="33" t="s">
        <v>255</v>
      </c>
      <c r="DM89" s="44" t="s">
        <v>256</v>
      </c>
      <c r="DN89" s="45"/>
    </row>
    <row r="90" spans="5:118" x14ac:dyDescent="0.35">
      <c r="E90" s="111"/>
      <c r="F90" s="112"/>
      <c r="G90" s="112"/>
      <c r="H90" s="116"/>
      <c r="I90" s="115"/>
      <c r="J90" s="70"/>
      <c r="K90" s="126" t="str">
        <f>IFERROR(1-(I90/H90),"-")</f>
        <v>-</v>
      </c>
      <c r="L90" s="38">
        <f>I90*M90</f>
        <v>0</v>
      </c>
      <c r="M90" s="39">
        <f t="shared" ref="M90:M119" si="21">SUM(N90:DM90)</f>
        <v>0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6"/>
      <c r="DN90" s="47"/>
    </row>
    <row r="91" spans="5:118" x14ac:dyDescent="0.35">
      <c r="E91" s="111"/>
      <c r="F91" s="112"/>
      <c r="G91" s="112"/>
      <c r="H91" s="116"/>
      <c r="I91" s="115"/>
      <c r="J91" s="70"/>
      <c r="K91" s="126" t="str">
        <f t="shared" ref="K91:K119" si="22">IFERROR(1-(I91/H91),"-")</f>
        <v>-</v>
      </c>
      <c r="L91" s="38">
        <f t="shared" ref="L91:L119" si="23">I91*M91</f>
        <v>0</v>
      </c>
      <c r="M91" s="39">
        <f t="shared" si="21"/>
        <v>0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6"/>
      <c r="DN91" s="47"/>
    </row>
    <row r="92" spans="5:118" x14ac:dyDescent="0.35">
      <c r="E92" s="111"/>
      <c r="F92" s="112"/>
      <c r="G92" s="112"/>
      <c r="H92" s="116"/>
      <c r="I92" s="115"/>
      <c r="J92" s="70"/>
      <c r="K92" s="126" t="str">
        <f t="shared" si="22"/>
        <v>-</v>
      </c>
      <c r="L92" s="38">
        <f t="shared" si="23"/>
        <v>0</v>
      </c>
      <c r="M92" s="39">
        <f t="shared" si="21"/>
        <v>0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6"/>
      <c r="DN92" s="47"/>
    </row>
    <row r="93" spans="5:118" x14ac:dyDescent="0.35">
      <c r="E93" s="111"/>
      <c r="F93" s="112"/>
      <c r="G93" s="112"/>
      <c r="H93" s="116"/>
      <c r="I93" s="115"/>
      <c r="J93" s="70"/>
      <c r="K93" s="126" t="str">
        <f t="shared" si="22"/>
        <v>-</v>
      </c>
      <c r="L93" s="38">
        <f t="shared" si="23"/>
        <v>0</v>
      </c>
      <c r="M93" s="39">
        <f t="shared" si="21"/>
        <v>0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6"/>
      <c r="DN93" s="47"/>
    </row>
    <row r="94" spans="5:118" x14ac:dyDescent="0.35">
      <c r="E94" s="111"/>
      <c r="F94" s="112"/>
      <c r="G94" s="112"/>
      <c r="H94" s="116"/>
      <c r="I94" s="115"/>
      <c r="J94" s="70"/>
      <c r="K94" s="126" t="str">
        <f t="shared" si="22"/>
        <v>-</v>
      </c>
      <c r="L94" s="38">
        <f t="shared" si="23"/>
        <v>0</v>
      </c>
      <c r="M94" s="39">
        <f t="shared" si="21"/>
        <v>0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6"/>
      <c r="DN94" s="47"/>
    </row>
    <row r="95" spans="5:118" x14ac:dyDescent="0.35">
      <c r="E95" s="111"/>
      <c r="F95" s="112"/>
      <c r="G95" s="112"/>
      <c r="H95" s="116"/>
      <c r="I95" s="115"/>
      <c r="J95" s="70"/>
      <c r="K95" s="126" t="str">
        <f t="shared" si="22"/>
        <v>-</v>
      </c>
      <c r="L95" s="38">
        <f t="shared" si="23"/>
        <v>0</v>
      </c>
      <c r="M95" s="39">
        <f t="shared" si="21"/>
        <v>0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6"/>
      <c r="DN95" s="47"/>
    </row>
    <row r="96" spans="5:118" x14ac:dyDescent="0.35">
      <c r="E96" s="111"/>
      <c r="F96" s="112"/>
      <c r="G96" s="112"/>
      <c r="H96" s="116"/>
      <c r="I96" s="115"/>
      <c r="J96" s="70"/>
      <c r="K96" s="126" t="str">
        <f t="shared" si="22"/>
        <v>-</v>
      </c>
      <c r="L96" s="38">
        <f t="shared" si="23"/>
        <v>0</v>
      </c>
      <c r="M96" s="39">
        <f t="shared" si="21"/>
        <v>0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6"/>
      <c r="DN96" s="47"/>
    </row>
    <row r="97" spans="5:118" x14ac:dyDescent="0.35">
      <c r="E97" s="111"/>
      <c r="F97" s="112"/>
      <c r="G97" s="112"/>
      <c r="H97" s="116"/>
      <c r="I97" s="115"/>
      <c r="J97" s="70"/>
      <c r="K97" s="126" t="str">
        <f t="shared" si="22"/>
        <v>-</v>
      </c>
      <c r="L97" s="38">
        <f t="shared" si="23"/>
        <v>0</v>
      </c>
      <c r="M97" s="39">
        <f t="shared" si="21"/>
        <v>0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6"/>
      <c r="DN97" s="47"/>
    </row>
    <row r="98" spans="5:118" x14ac:dyDescent="0.35">
      <c r="E98" s="111"/>
      <c r="F98" s="112"/>
      <c r="G98" s="112"/>
      <c r="H98" s="116"/>
      <c r="I98" s="115"/>
      <c r="J98" s="70"/>
      <c r="K98" s="126" t="str">
        <f t="shared" si="22"/>
        <v>-</v>
      </c>
      <c r="L98" s="38">
        <f t="shared" si="23"/>
        <v>0</v>
      </c>
      <c r="M98" s="39">
        <f t="shared" si="21"/>
        <v>0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6"/>
      <c r="DN98" s="47"/>
    </row>
    <row r="99" spans="5:118" x14ac:dyDescent="0.35">
      <c r="E99" s="111"/>
      <c r="F99" s="112"/>
      <c r="G99" s="112"/>
      <c r="H99" s="116"/>
      <c r="I99" s="115"/>
      <c r="J99" s="70"/>
      <c r="K99" s="126" t="str">
        <f t="shared" si="22"/>
        <v>-</v>
      </c>
      <c r="L99" s="38">
        <f t="shared" si="23"/>
        <v>0</v>
      </c>
      <c r="M99" s="39">
        <f t="shared" si="21"/>
        <v>0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6"/>
      <c r="DN99" s="47"/>
    </row>
    <row r="100" spans="5:118" hidden="1" x14ac:dyDescent="0.35">
      <c r="E100" s="111"/>
      <c r="F100" s="112"/>
      <c r="G100" s="112"/>
      <c r="H100" s="116"/>
      <c r="I100" s="116"/>
      <c r="J100" s="121"/>
      <c r="K100" s="126" t="str">
        <f t="shared" si="22"/>
        <v>-</v>
      </c>
      <c r="L100" s="38">
        <f t="shared" si="23"/>
        <v>0</v>
      </c>
      <c r="M100" s="39">
        <f t="shared" si="21"/>
        <v>0</v>
      </c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6"/>
      <c r="DN100" s="47"/>
    </row>
    <row r="101" spans="5:118" hidden="1" x14ac:dyDescent="0.35">
      <c r="E101" s="111"/>
      <c r="F101" s="112"/>
      <c r="G101" s="112"/>
      <c r="H101" s="116"/>
      <c r="I101" s="116"/>
      <c r="J101" s="122"/>
      <c r="K101" s="126" t="str">
        <f t="shared" si="22"/>
        <v>-</v>
      </c>
      <c r="L101" s="38">
        <f t="shared" si="23"/>
        <v>0</v>
      </c>
      <c r="M101" s="39">
        <f t="shared" si="21"/>
        <v>0</v>
      </c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6"/>
      <c r="DN101" s="47"/>
    </row>
    <row r="102" spans="5:118" hidden="1" x14ac:dyDescent="0.35">
      <c r="E102" s="111"/>
      <c r="F102" s="112"/>
      <c r="G102" s="112"/>
      <c r="H102" s="116"/>
      <c r="I102" s="116"/>
      <c r="J102" s="122"/>
      <c r="K102" s="126" t="str">
        <f t="shared" si="22"/>
        <v>-</v>
      </c>
      <c r="L102" s="38">
        <f t="shared" si="23"/>
        <v>0</v>
      </c>
      <c r="M102" s="39">
        <f t="shared" si="21"/>
        <v>0</v>
      </c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6"/>
      <c r="DN102" s="47"/>
    </row>
    <row r="103" spans="5:118" hidden="1" x14ac:dyDescent="0.35">
      <c r="E103" s="111"/>
      <c r="F103" s="112"/>
      <c r="G103" s="112"/>
      <c r="H103" s="116"/>
      <c r="I103" s="116"/>
      <c r="J103" s="122"/>
      <c r="K103" s="126" t="str">
        <f t="shared" si="22"/>
        <v>-</v>
      </c>
      <c r="L103" s="38">
        <f t="shared" si="23"/>
        <v>0</v>
      </c>
      <c r="M103" s="39">
        <f t="shared" si="21"/>
        <v>0</v>
      </c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6"/>
      <c r="DN103" s="47"/>
    </row>
    <row r="104" spans="5:118" hidden="1" x14ac:dyDescent="0.35">
      <c r="E104" s="111"/>
      <c r="F104" s="112"/>
      <c r="G104" s="112"/>
      <c r="H104" s="116"/>
      <c r="I104" s="116"/>
      <c r="J104" s="122"/>
      <c r="K104" s="126" t="str">
        <f t="shared" si="22"/>
        <v>-</v>
      </c>
      <c r="L104" s="38">
        <f t="shared" si="23"/>
        <v>0</v>
      </c>
      <c r="M104" s="39">
        <f t="shared" si="21"/>
        <v>0</v>
      </c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6"/>
      <c r="DN104" s="47"/>
    </row>
    <row r="105" spans="5:118" hidden="1" x14ac:dyDescent="0.35">
      <c r="E105" s="111"/>
      <c r="F105" s="112"/>
      <c r="G105" s="112"/>
      <c r="H105" s="116"/>
      <c r="I105" s="116"/>
      <c r="J105" s="122"/>
      <c r="K105" s="126" t="str">
        <f t="shared" si="22"/>
        <v>-</v>
      </c>
      <c r="L105" s="38">
        <f t="shared" si="23"/>
        <v>0</v>
      </c>
      <c r="M105" s="39">
        <f t="shared" si="21"/>
        <v>0</v>
      </c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6"/>
      <c r="DN105" s="47"/>
    </row>
    <row r="106" spans="5:118" hidden="1" x14ac:dyDescent="0.35">
      <c r="E106" s="111"/>
      <c r="F106" s="112"/>
      <c r="G106" s="112"/>
      <c r="H106" s="116"/>
      <c r="I106" s="116"/>
      <c r="J106" s="122"/>
      <c r="K106" s="126" t="str">
        <f t="shared" si="22"/>
        <v>-</v>
      </c>
      <c r="L106" s="38">
        <f t="shared" si="23"/>
        <v>0</v>
      </c>
      <c r="M106" s="39">
        <f t="shared" si="21"/>
        <v>0</v>
      </c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6"/>
      <c r="DN106" s="47"/>
    </row>
    <row r="107" spans="5:118" hidden="1" x14ac:dyDescent="0.35">
      <c r="E107" s="111"/>
      <c r="F107" s="112"/>
      <c r="G107" s="112"/>
      <c r="H107" s="116"/>
      <c r="I107" s="116"/>
      <c r="J107" s="122"/>
      <c r="K107" s="126" t="str">
        <f t="shared" si="22"/>
        <v>-</v>
      </c>
      <c r="L107" s="38">
        <f t="shared" si="23"/>
        <v>0</v>
      </c>
      <c r="M107" s="39">
        <f t="shared" si="21"/>
        <v>0</v>
      </c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6"/>
      <c r="DN107" s="47"/>
    </row>
    <row r="108" spans="5:118" hidden="1" x14ac:dyDescent="0.35">
      <c r="E108" s="111"/>
      <c r="F108" s="112"/>
      <c r="G108" s="112"/>
      <c r="H108" s="116"/>
      <c r="I108" s="116"/>
      <c r="J108" s="122"/>
      <c r="K108" s="126" t="str">
        <f t="shared" si="22"/>
        <v>-</v>
      </c>
      <c r="L108" s="38">
        <f t="shared" si="23"/>
        <v>0</v>
      </c>
      <c r="M108" s="39">
        <f t="shared" si="21"/>
        <v>0</v>
      </c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6"/>
      <c r="DN108" s="47"/>
    </row>
    <row r="109" spans="5:118" hidden="1" x14ac:dyDescent="0.35">
      <c r="E109" s="111"/>
      <c r="F109" s="112"/>
      <c r="G109" s="112"/>
      <c r="H109" s="116"/>
      <c r="I109" s="116"/>
      <c r="J109" s="122"/>
      <c r="K109" s="126" t="str">
        <f t="shared" si="22"/>
        <v>-</v>
      </c>
      <c r="L109" s="38">
        <f t="shared" si="23"/>
        <v>0</v>
      </c>
      <c r="M109" s="39">
        <f t="shared" si="21"/>
        <v>0</v>
      </c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6"/>
      <c r="DN109" s="47"/>
    </row>
    <row r="110" spans="5:118" hidden="1" x14ac:dyDescent="0.35">
      <c r="E110" s="111"/>
      <c r="F110" s="112"/>
      <c r="G110" s="112"/>
      <c r="H110" s="116"/>
      <c r="I110" s="116"/>
      <c r="J110" s="122"/>
      <c r="K110" s="126" t="str">
        <f t="shared" si="22"/>
        <v>-</v>
      </c>
      <c r="L110" s="38">
        <f t="shared" si="23"/>
        <v>0</v>
      </c>
      <c r="M110" s="39">
        <f t="shared" si="21"/>
        <v>0</v>
      </c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6"/>
      <c r="DN110" s="47"/>
    </row>
    <row r="111" spans="5:118" hidden="1" x14ac:dyDescent="0.35">
      <c r="E111" s="111"/>
      <c r="F111" s="112"/>
      <c r="G111" s="112"/>
      <c r="H111" s="116"/>
      <c r="I111" s="116"/>
      <c r="J111" s="122"/>
      <c r="K111" s="126" t="str">
        <f t="shared" si="22"/>
        <v>-</v>
      </c>
      <c r="L111" s="38">
        <f t="shared" si="23"/>
        <v>0</v>
      </c>
      <c r="M111" s="39">
        <f t="shared" si="21"/>
        <v>0</v>
      </c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6"/>
      <c r="DN111" s="47"/>
    </row>
    <row r="112" spans="5:118" hidden="1" x14ac:dyDescent="0.35">
      <c r="E112" s="111"/>
      <c r="F112" s="112"/>
      <c r="G112" s="112"/>
      <c r="H112" s="116"/>
      <c r="I112" s="116"/>
      <c r="J112" s="122"/>
      <c r="K112" s="126" t="str">
        <f t="shared" si="22"/>
        <v>-</v>
      </c>
      <c r="L112" s="38">
        <f t="shared" si="23"/>
        <v>0</v>
      </c>
      <c r="M112" s="39">
        <f t="shared" si="21"/>
        <v>0</v>
      </c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6"/>
      <c r="DN112" s="47"/>
    </row>
    <row r="113" spans="5:118" hidden="1" x14ac:dyDescent="0.35">
      <c r="E113" s="111"/>
      <c r="F113" s="112"/>
      <c r="G113" s="112"/>
      <c r="H113" s="116"/>
      <c r="I113" s="116"/>
      <c r="J113" s="122"/>
      <c r="K113" s="126" t="str">
        <f t="shared" si="22"/>
        <v>-</v>
      </c>
      <c r="L113" s="38">
        <f t="shared" si="23"/>
        <v>0</v>
      </c>
      <c r="M113" s="39">
        <f t="shared" si="21"/>
        <v>0</v>
      </c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6"/>
      <c r="DN113" s="47"/>
    </row>
    <row r="114" spans="5:118" hidden="1" x14ac:dyDescent="0.35">
      <c r="E114" s="111"/>
      <c r="F114" s="112"/>
      <c r="G114" s="112"/>
      <c r="H114" s="116"/>
      <c r="I114" s="116"/>
      <c r="J114" s="122"/>
      <c r="K114" s="126" t="str">
        <f t="shared" si="22"/>
        <v>-</v>
      </c>
      <c r="L114" s="38">
        <f t="shared" si="23"/>
        <v>0</v>
      </c>
      <c r="M114" s="39">
        <f t="shared" si="21"/>
        <v>0</v>
      </c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6"/>
      <c r="DN114" s="47"/>
    </row>
    <row r="115" spans="5:118" hidden="1" x14ac:dyDescent="0.35">
      <c r="E115" s="111"/>
      <c r="F115" s="112"/>
      <c r="G115" s="112"/>
      <c r="H115" s="116"/>
      <c r="I115" s="116"/>
      <c r="J115" s="122"/>
      <c r="K115" s="126" t="str">
        <f t="shared" si="22"/>
        <v>-</v>
      </c>
      <c r="L115" s="38">
        <f t="shared" si="23"/>
        <v>0</v>
      </c>
      <c r="M115" s="39">
        <f t="shared" si="21"/>
        <v>0</v>
      </c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6"/>
      <c r="DN115" s="47"/>
    </row>
    <row r="116" spans="5:118" hidden="1" x14ac:dyDescent="0.35">
      <c r="E116" s="111"/>
      <c r="F116" s="112"/>
      <c r="G116" s="112"/>
      <c r="H116" s="116"/>
      <c r="I116" s="116"/>
      <c r="J116" s="122"/>
      <c r="K116" s="126" t="str">
        <f t="shared" si="22"/>
        <v>-</v>
      </c>
      <c r="L116" s="38">
        <f t="shared" si="23"/>
        <v>0</v>
      </c>
      <c r="M116" s="39">
        <f t="shared" si="21"/>
        <v>0</v>
      </c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6"/>
      <c r="DN116" s="47"/>
    </row>
    <row r="117" spans="5:118" hidden="1" x14ac:dyDescent="0.35">
      <c r="E117" s="111"/>
      <c r="F117" s="112"/>
      <c r="G117" s="112"/>
      <c r="H117" s="116"/>
      <c r="I117" s="116"/>
      <c r="J117" s="122"/>
      <c r="K117" s="126" t="str">
        <f t="shared" si="22"/>
        <v>-</v>
      </c>
      <c r="L117" s="38">
        <f t="shared" si="23"/>
        <v>0</v>
      </c>
      <c r="M117" s="39">
        <f t="shared" si="21"/>
        <v>0</v>
      </c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6"/>
      <c r="DN117" s="47"/>
    </row>
    <row r="118" spans="5:118" hidden="1" x14ac:dyDescent="0.35">
      <c r="E118" s="111"/>
      <c r="F118" s="112"/>
      <c r="G118" s="112"/>
      <c r="H118" s="116"/>
      <c r="I118" s="116"/>
      <c r="J118" s="122"/>
      <c r="K118" s="126" t="str">
        <f t="shared" si="22"/>
        <v>-</v>
      </c>
      <c r="L118" s="38">
        <f t="shared" si="23"/>
        <v>0</v>
      </c>
      <c r="M118" s="39">
        <f t="shared" si="21"/>
        <v>0</v>
      </c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6"/>
      <c r="DN118" s="47"/>
    </row>
    <row r="119" spans="5:118" x14ac:dyDescent="0.35">
      <c r="E119" s="111"/>
      <c r="F119" s="112"/>
      <c r="G119" s="112"/>
      <c r="H119" s="116"/>
      <c r="I119" s="116"/>
      <c r="J119" s="122"/>
      <c r="K119" s="126" t="str">
        <f t="shared" si="22"/>
        <v>-</v>
      </c>
      <c r="L119" s="38">
        <f t="shared" si="23"/>
        <v>0</v>
      </c>
      <c r="M119" s="39">
        <f t="shared" si="21"/>
        <v>0</v>
      </c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6"/>
      <c r="DN119" s="47"/>
    </row>
    <row r="120" spans="5:118" ht="15" thickBot="1" x14ac:dyDescent="0.4">
      <c r="E120" s="3" t="s">
        <v>313</v>
      </c>
      <c r="F120" s="41"/>
      <c r="G120" s="41"/>
      <c r="H120" s="41"/>
      <c r="I120" s="133">
        <f>SUMPRODUCT(I90:I119,M90:M119)</f>
        <v>0</v>
      </c>
      <c r="J120" s="123" t="s">
        <v>150</v>
      </c>
      <c r="K120" s="127" t="str">
        <f>IFERROR(1-(L120/SUMPRODUCT(H90:H119,M90:M119)),"-")</f>
        <v>-</v>
      </c>
      <c r="L120" s="98">
        <f>SUM(L90:L119)</f>
        <v>0</v>
      </c>
      <c r="M120" s="99">
        <f>SUM(M90:M119)</f>
        <v>0</v>
      </c>
      <c r="N120" s="4">
        <f>SUM(N90:N119)</f>
        <v>0</v>
      </c>
      <c r="O120" s="4">
        <f t="shared" ref="O120:BZ120" si="24">SUM(O90:O119)</f>
        <v>0</v>
      </c>
      <c r="P120" s="4">
        <f t="shared" si="24"/>
        <v>0</v>
      </c>
      <c r="Q120" s="4">
        <f t="shared" si="24"/>
        <v>0</v>
      </c>
      <c r="R120" s="4">
        <f t="shared" si="24"/>
        <v>0</v>
      </c>
      <c r="S120" s="4">
        <f t="shared" si="24"/>
        <v>0</v>
      </c>
      <c r="T120" s="4">
        <f t="shared" si="24"/>
        <v>0</v>
      </c>
      <c r="U120" s="4">
        <f t="shared" si="24"/>
        <v>0</v>
      </c>
      <c r="V120" s="4">
        <f t="shared" si="24"/>
        <v>0</v>
      </c>
      <c r="W120" s="4">
        <f t="shared" si="24"/>
        <v>0</v>
      </c>
      <c r="X120" s="4">
        <f t="shared" si="24"/>
        <v>0</v>
      </c>
      <c r="Y120" s="4">
        <f t="shared" si="24"/>
        <v>0</v>
      </c>
      <c r="Z120" s="4">
        <f t="shared" si="24"/>
        <v>0</v>
      </c>
      <c r="AA120" s="4">
        <f t="shared" si="24"/>
        <v>0</v>
      </c>
      <c r="AB120" s="4">
        <f t="shared" si="24"/>
        <v>0</v>
      </c>
      <c r="AC120" s="4">
        <f t="shared" si="24"/>
        <v>0</v>
      </c>
      <c r="AD120" s="4">
        <f t="shared" si="24"/>
        <v>0</v>
      </c>
      <c r="AE120" s="4">
        <f t="shared" si="24"/>
        <v>0</v>
      </c>
      <c r="AF120" s="4">
        <f t="shared" si="24"/>
        <v>0</v>
      </c>
      <c r="AG120" s="4">
        <f t="shared" si="24"/>
        <v>0</v>
      </c>
      <c r="AH120" s="4">
        <f t="shared" si="24"/>
        <v>0</v>
      </c>
      <c r="AI120" s="4">
        <f t="shared" si="24"/>
        <v>0</v>
      </c>
      <c r="AJ120" s="4">
        <f t="shared" si="24"/>
        <v>0</v>
      </c>
      <c r="AK120" s="4">
        <f t="shared" si="24"/>
        <v>0</v>
      </c>
      <c r="AL120" s="4">
        <f t="shared" si="24"/>
        <v>0</v>
      </c>
      <c r="AM120" s="4">
        <f t="shared" si="24"/>
        <v>0</v>
      </c>
      <c r="AN120" s="4">
        <f t="shared" si="24"/>
        <v>0</v>
      </c>
      <c r="AO120" s="4">
        <f t="shared" si="24"/>
        <v>0</v>
      </c>
      <c r="AP120" s="4">
        <f t="shared" si="24"/>
        <v>0</v>
      </c>
      <c r="AQ120" s="4">
        <f t="shared" si="24"/>
        <v>0</v>
      </c>
      <c r="AR120" s="4">
        <f t="shared" si="24"/>
        <v>0</v>
      </c>
      <c r="AS120" s="4">
        <f t="shared" si="24"/>
        <v>0</v>
      </c>
      <c r="AT120" s="4">
        <f t="shared" si="24"/>
        <v>0</v>
      </c>
      <c r="AU120" s="4">
        <f t="shared" si="24"/>
        <v>0</v>
      </c>
      <c r="AV120" s="4">
        <f t="shared" si="24"/>
        <v>0</v>
      </c>
      <c r="AW120" s="4">
        <f t="shared" si="24"/>
        <v>0</v>
      </c>
      <c r="AX120" s="4">
        <f t="shared" si="24"/>
        <v>0</v>
      </c>
      <c r="AY120" s="4">
        <f t="shared" si="24"/>
        <v>0</v>
      </c>
      <c r="AZ120" s="4">
        <f t="shared" si="24"/>
        <v>0</v>
      </c>
      <c r="BA120" s="4">
        <f t="shared" si="24"/>
        <v>0</v>
      </c>
      <c r="BB120" s="4">
        <f t="shared" si="24"/>
        <v>0</v>
      </c>
      <c r="BC120" s="4">
        <f t="shared" si="24"/>
        <v>0</v>
      </c>
      <c r="BD120" s="4">
        <f t="shared" si="24"/>
        <v>0</v>
      </c>
      <c r="BE120" s="4">
        <f t="shared" si="24"/>
        <v>0</v>
      </c>
      <c r="BF120" s="4">
        <f t="shared" si="24"/>
        <v>0</v>
      </c>
      <c r="BG120" s="4">
        <f t="shared" si="24"/>
        <v>0</v>
      </c>
      <c r="BH120" s="4">
        <f t="shared" si="24"/>
        <v>0</v>
      </c>
      <c r="BI120" s="4">
        <f t="shared" si="24"/>
        <v>0</v>
      </c>
      <c r="BJ120" s="4">
        <f t="shared" si="24"/>
        <v>0</v>
      </c>
      <c r="BK120" s="4">
        <f t="shared" si="24"/>
        <v>0</v>
      </c>
      <c r="BL120" s="4">
        <f t="shared" si="24"/>
        <v>0</v>
      </c>
      <c r="BM120" s="4">
        <f t="shared" si="24"/>
        <v>0</v>
      </c>
      <c r="BN120" s="4">
        <f t="shared" si="24"/>
        <v>0</v>
      </c>
      <c r="BO120" s="4">
        <f t="shared" si="24"/>
        <v>0</v>
      </c>
      <c r="BP120" s="4">
        <f t="shared" si="24"/>
        <v>0</v>
      </c>
      <c r="BQ120" s="4">
        <f t="shared" si="24"/>
        <v>0</v>
      </c>
      <c r="BR120" s="4">
        <f t="shared" si="24"/>
        <v>0</v>
      </c>
      <c r="BS120" s="4">
        <f t="shared" si="24"/>
        <v>0</v>
      </c>
      <c r="BT120" s="4">
        <f t="shared" si="24"/>
        <v>0</v>
      </c>
      <c r="BU120" s="4">
        <f t="shared" si="24"/>
        <v>0</v>
      </c>
      <c r="BV120" s="4">
        <f t="shared" si="24"/>
        <v>0</v>
      </c>
      <c r="BW120" s="4">
        <f t="shared" si="24"/>
        <v>0</v>
      </c>
      <c r="BX120" s="4">
        <f t="shared" si="24"/>
        <v>0</v>
      </c>
      <c r="BY120" s="4">
        <f t="shared" si="24"/>
        <v>0</v>
      </c>
      <c r="BZ120" s="4">
        <f t="shared" si="24"/>
        <v>0</v>
      </c>
      <c r="CA120" s="4">
        <f t="shared" ref="CA120:DM120" si="25">SUM(CA90:CA119)</f>
        <v>0</v>
      </c>
      <c r="CB120" s="4">
        <f t="shared" si="25"/>
        <v>0</v>
      </c>
      <c r="CC120" s="4">
        <f t="shared" si="25"/>
        <v>0</v>
      </c>
      <c r="CD120" s="4">
        <f t="shared" si="25"/>
        <v>0</v>
      </c>
      <c r="CE120" s="4">
        <f t="shared" si="25"/>
        <v>0</v>
      </c>
      <c r="CF120" s="4">
        <f t="shared" si="25"/>
        <v>0</v>
      </c>
      <c r="CG120" s="4">
        <f t="shared" si="25"/>
        <v>0</v>
      </c>
      <c r="CH120" s="4">
        <f t="shared" si="25"/>
        <v>0</v>
      </c>
      <c r="CI120" s="4">
        <f t="shared" si="25"/>
        <v>0</v>
      </c>
      <c r="CJ120" s="4">
        <f t="shared" si="25"/>
        <v>0</v>
      </c>
      <c r="CK120" s="4">
        <f t="shared" si="25"/>
        <v>0</v>
      </c>
      <c r="CL120" s="4">
        <f t="shared" si="25"/>
        <v>0</v>
      </c>
      <c r="CM120" s="4">
        <f t="shared" si="25"/>
        <v>0</v>
      </c>
      <c r="CN120" s="4">
        <f t="shared" si="25"/>
        <v>0</v>
      </c>
      <c r="CO120" s="4">
        <f t="shared" si="25"/>
        <v>0</v>
      </c>
      <c r="CP120" s="4">
        <f t="shared" si="25"/>
        <v>0</v>
      </c>
      <c r="CQ120" s="4">
        <f t="shared" si="25"/>
        <v>0</v>
      </c>
      <c r="CR120" s="4">
        <f t="shared" si="25"/>
        <v>0</v>
      </c>
      <c r="CS120" s="4">
        <f t="shared" si="25"/>
        <v>0</v>
      </c>
      <c r="CT120" s="4">
        <f t="shared" si="25"/>
        <v>0</v>
      </c>
      <c r="CU120" s="4">
        <f t="shared" si="25"/>
        <v>0</v>
      </c>
      <c r="CV120" s="4">
        <f t="shared" si="25"/>
        <v>0</v>
      </c>
      <c r="CW120" s="4">
        <f t="shared" si="25"/>
        <v>0</v>
      </c>
      <c r="CX120" s="4">
        <f t="shared" si="25"/>
        <v>0</v>
      </c>
      <c r="CY120" s="4">
        <f t="shared" si="25"/>
        <v>0</v>
      </c>
      <c r="CZ120" s="4">
        <f t="shared" si="25"/>
        <v>0</v>
      </c>
      <c r="DA120" s="4">
        <f t="shared" si="25"/>
        <v>0</v>
      </c>
      <c r="DB120" s="4">
        <f t="shared" si="25"/>
        <v>0</v>
      </c>
      <c r="DC120" s="4">
        <f t="shared" si="25"/>
        <v>0</v>
      </c>
      <c r="DD120" s="4">
        <f t="shared" si="25"/>
        <v>0</v>
      </c>
      <c r="DE120" s="4">
        <f t="shared" si="25"/>
        <v>0</v>
      </c>
      <c r="DF120" s="4">
        <f t="shared" si="25"/>
        <v>0</v>
      </c>
      <c r="DG120" s="4">
        <f t="shared" si="25"/>
        <v>0</v>
      </c>
      <c r="DH120" s="4">
        <f t="shared" si="25"/>
        <v>0</v>
      </c>
      <c r="DI120" s="4">
        <f t="shared" si="25"/>
        <v>0</v>
      </c>
      <c r="DJ120" s="4">
        <f t="shared" si="25"/>
        <v>0</v>
      </c>
      <c r="DK120" s="4">
        <f t="shared" si="25"/>
        <v>0</v>
      </c>
      <c r="DL120" s="4">
        <f t="shared" si="25"/>
        <v>0</v>
      </c>
      <c r="DM120" s="4">
        <f t="shared" si="25"/>
        <v>0</v>
      </c>
      <c r="DN120" s="47"/>
    </row>
    <row r="121" spans="5:118" ht="15" thickBot="1" x14ac:dyDescent="0.4"/>
    <row r="122" spans="5:118" ht="15" thickBot="1" x14ac:dyDescent="0.4">
      <c r="E122" s="43" t="s">
        <v>263</v>
      </c>
      <c r="J122" s="48"/>
      <c r="N122" s="48"/>
    </row>
    <row r="123" spans="5:118" x14ac:dyDescent="0.35">
      <c r="E123" s="28" t="s">
        <v>29</v>
      </c>
      <c r="F123" s="32" t="s">
        <v>145</v>
      </c>
      <c r="G123" s="32" t="s">
        <v>265</v>
      </c>
      <c r="H123" s="32" t="s">
        <v>143</v>
      </c>
      <c r="I123" s="66" t="s">
        <v>264</v>
      </c>
      <c r="J123" s="69"/>
      <c r="K123" s="61" t="s">
        <v>258</v>
      </c>
      <c r="L123" s="33" t="s">
        <v>142</v>
      </c>
      <c r="M123" s="33" t="s">
        <v>34</v>
      </c>
      <c r="N123" s="34" t="s">
        <v>35</v>
      </c>
      <c r="O123" s="33" t="s">
        <v>36</v>
      </c>
      <c r="P123" s="33" t="s">
        <v>37</v>
      </c>
      <c r="Q123" s="33" t="s">
        <v>38</v>
      </c>
      <c r="R123" s="33" t="s">
        <v>39</v>
      </c>
      <c r="S123" s="33" t="s">
        <v>40</v>
      </c>
      <c r="T123" s="33" t="s">
        <v>41</v>
      </c>
      <c r="U123" s="33" t="s">
        <v>42</v>
      </c>
      <c r="V123" s="33" t="s">
        <v>43</v>
      </c>
      <c r="W123" s="33" t="s">
        <v>44</v>
      </c>
      <c r="X123" s="33" t="s">
        <v>45</v>
      </c>
      <c r="Y123" s="33" t="s">
        <v>46</v>
      </c>
      <c r="Z123" s="33" t="s">
        <v>47</v>
      </c>
      <c r="AA123" s="33" t="s">
        <v>48</v>
      </c>
      <c r="AB123" s="33" t="s">
        <v>49</v>
      </c>
      <c r="AC123" s="33" t="s">
        <v>50</v>
      </c>
      <c r="AD123" s="33" t="s">
        <v>51</v>
      </c>
      <c r="AE123" s="33" t="s">
        <v>52</v>
      </c>
      <c r="AF123" s="33" t="s">
        <v>53</v>
      </c>
      <c r="AG123" s="33" t="s">
        <v>54</v>
      </c>
      <c r="AH123" s="33" t="s">
        <v>55</v>
      </c>
      <c r="AI123" s="33" t="s">
        <v>56</v>
      </c>
      <c r="AJ123" s="33" t="s">
        <v>57</v>
      </c>
      <c r="AK123" s="33" t="s">
        <v>58</v>
      </c>
      <c r="AL123" s="33" t="s">
        <v>59</v>
      </c>
      <c r="AM123" s="33" t="s">
        <v>60</v>
      </c>
      <c r="AN123" s="33" t="s">
        <v>61</v>
      </c>
      <c r="AO123" s="33" t="s">
        <v>62</v>
      </c>
      <c r="AP123" s="33" t="s">
        <v>63</v>
      </c>
      <c r="AQ123" s="33" t="s">
        <v>64</v>
      </c>
      <c r="AR123" s="33" t="s">
        <v>65</v>
      </c>
      <c r="AS123" s="33" t="s">
        <v>66</v>
      </c>
      <c r="AT123" s="33" t="s">
        <v>67</v>
      </c>
      <c r="AU123" s="33" t="s">
        <v>68</v>
      </c>
      <c r="AV123" s="33" t="s">
        <v>69</v>
      </c>
      <c r="AW123" s="33" t="s">
        <v>70</v>
      </c>
      <c r="AX123" s="33" t="s">
        <v>71</v>
      </c>
      <c r="AY123" s="33" t="s">
        <v>72</v>
      </c>
      <c r="AZ123" s="33" t="s">
        <v>73</v>
      </c>
      <c r="BA123" s="33" t="s">
        <v>74</v>
      </c>
      <c r="BB123" s="33" t="s">
        <v>75</v>
      </c>
      <c r="BC123" s="33" t="s">
        <v>76</v>
      </c>
      <c r="BD123" s="33" t="s">
        <v>77</v>
      </c>
      <c r="BE123" s="33" t="s">
        <v>78</v>
      </c>
      <c r="BF123" s="33" t="s">
        <v>79</v>
      </c>
      <c r="BG123" s="33" t="s">
        <v>80</v>
      </c>
      <c r="BH123" s="33" t="s">
        <v>81</v>
      </c>
      <c r="BI123" s="33" t="s">
        <v>82</v>
      </c>
      <c r="BJ123" s="33" t="s">
        <v>83</v>
      </c>
      <c r="BK123" s="33" t="s">
        <v>84</v>
      </c>
      <c r="BL123" s="33" t="s">
        <v>85</v>
      </c>
      <c r="BM123" s="33" t="s">
        <v>86</v>
      </c>
      <c r="BN123" s="33" t="s">
        <v>87</v>
      </c>
      <c r="BO123" s="33" t="s">
        <v>88</v>
      </c>
      <c r="BP123" s="33" t="s">
        <v>89</v>
      </c>
      <c r="BQ123" s="33" t="s">
        <v>90</v>
      </c>
      <c r="BR123" s="33" t="s">
        <v>91</v>
      </c>
      <c r="BS123" s="33" t="s">
        <v>92</v>
      </c>
      <c r="BT123" s="33" t="s">
        <v>93</v>
      </c>
      <c r="BU123" s="33" t="s">
        <v>94</v>
      </c>
      <c r="BV123" s="33" t="s">
        <v>95</v>
      </c>
      <c r="BW123" s="33" t="s">
        <v>96</v>
      </c>
      <c r="BX123" s="33" t="s">
        <v>97</v>
      </c>
      <c r="BY123" s="33" t="s">
        <v>98</v>
      </c>
      <c r="BZ123" s="33" t="s">
        <v>99</v>
      </c>
      <c r="CA123" s="33" t="s">
        <v>100</v>
      </c>
      <c r="CB123" s="33" t="s">
        <v>101</v>
      </c>
      <c r="CC123" s="33" t="s">
        <v>102</v>
      </c>
      <c r="CD123" s="33" t="s">
        <v>103</v>
      </c>
      <c r="CE123" s="33" t="s">
        <v>104</v>
      </c>
      <c r="CF123" s="33" t="s">
        <v>105</v>
      </c>
      <c r="CG123" s="33" t="s">
        <v>106</v>
      </c>
      <c r="CH123" s="33" t="s">
        <v>107</v>
      </c>
      <c r="CI123" s="33" t="s">
        <v>108</v>
      </c>
      <c r="CJ123" s="33" t="s">
        <v>109</v>
      </c>
      <c r="CK123" s="33" t="s">
        <v>110</v>
      </c>
      <c r="CL123" s="33" t="s">
        <v>111</v>
      </c>
      <c r="CM123" s="33" t="s">
        <v>112</v>
      </c>
      <c r="CN123" s="33" t="s">
        <v>113</v>
      </c>
      <c r="CO123" s="33" t="s">
        <v>114</v>
      </c>
      <c r="CP123" s="33" t="s">
        <v>115</v>
      </c>
      <c r="CQ123" s="33" t="s">
        <v>116</v>
      </c>
      <c r="CR123" s="33" t="s">
        <v>117</v>
      </c>
      <c r="CS123" s="33" t="s">
        <v>118</v>
      </c>
      <c r="CT123" s="33" t="s">
        <v>119</v>
      </c>
      <c r="CU123" s="33" t="s">
        <v>120</v>
      </c>
      <c r="CV123" s="33" t="s">
        <v>121</v>
      </c>
      <c r="CW123" s="33" t="s">
        <v>122</v>
      </c>
      <c r="CX123" s="33" t="s">
        <v>123</v>
      </c>
      <c r="CY123" s="33" t="s">
        <v>124</v>
      </c>
      <c r="CZ123" s="33" t="s">
        <v>125</v>
      </c>
      <c r="DA123" s="33" t="s">
        <v>126</v>
      </c>
      <c r="DB123" s="33" t="s">
        <v>127</v>
      </c>
      <c r="DC123" s="33" t="s">
        <v>128</v>
      </c>
      <c r="DD123" s="33" t="s">
        <v>129</v>
      </c>
      <c r="DE123" s="33" t="s">
        <v>130</v>
      </c>
      <c r="DF123" s="33" t="s">
        <v>131</v>
      </c>
      <c r="DG123" s="33" t="s">
        <v>132</v>
      </c>
      <c r="DH123" s="33" t="s">
        <v>133</v>
      </c>
      <c r="DI123" s="33" t="s">
        <v>134</v>
      </c>
      <c r="DJ123" s="33" t="s">
        <v>135</v>
      </c>
      <c r="DK123" s="33" t="s">
        <v>136</v>
      </c>
      <c r="DL123" s="33" t="s">
        <v>137</v>
      </c>
      <c r="DM123" s="33" t="s">
        <v>138</v>
      </c>
      <c r="DN123" s="45"/>
    </row>
    <row r="124" spans="5:118" x14ac:dyDescent="0.35">
      <c r="E124" s="111"/>
      <c r="F124" s="112"/>
      <c r="G124" s="112"/>
      <c r="H124" s="116"/>
      <c r="I124" s="115"/>
      <c r="J124" s="70"/>
      <c r="K124" s="68">
        <f>H124*N124</f>
        <v>0</v>
      </c>
      <c r="L124" s="38">
        <f>I124*M124</f>
        <v>0</v>
      </c>
      <c r="M124" s="39">
        <f t="shared" ref="M124:M153" si="26">SUM(N124:DM124)</f>
        <v>0</v>
      </c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3"/>
      <c r="DM124" s="114"/>
      <c r="DN124" s="47"/>
    </row>
    <row r="125" spans="5:118" x14ac:dyDescent="0.35">
      <c r="E125" s="111"/>
      <c r="F125" s="112"/>
      <c r="G125" s="112"/>
      <c r="H125" s="116"/>
      <c r="I125" s="115"/>
      <c r="J125" s="70"/>
      <c r="K125" s="68">
        <f t="shared" ref="K125:K153" si="27">H125*N125</f>
        <v>0</v>
      </c>
      <c r="L125" s="38">
        <f t="shared" ref="L125:L153" si="28">I125*M125</f>
        <v>0</v>
      </c>
      <c r="M125" s="39">
        <f t="shared" si="26"/>
        <v>0</v>
      </c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3"/>
      <c r="DM125" s="114"/>
      <c r="DN125" s="47"/>
    </row>
    <row r="126" spans="5:118" x14ac:dyDescent="0.35">
      <c r="E126" s="111"/>
      <c r="F126" s="112"/>
      <c r="G126" s="112"/>
      <c r="H126" s="116"/>
      <c r="I126" s="115"/>
      <c r="J126" s="70"/>
      <c r="K126" s="68">
        <f t="shared" si="27"/>
        <v>0</v>
      </c>
      <c r="L126" s="38">
        <f t="shared" si="28"/>
        <v>0</v>
      </c>
      <c r="M126" s="39">
        <f t="shared" si="26"/>
        <v>0</v>
      </c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3"/>
      <c r="DM126" s="114"/>
      <c r="DN126" s="47"/>
    </row>
    <row r="127" spans="5:118" x14ac:dyDescent="0.35">
      <c r="E127" s="111"/>
      <c r="F127" s="112"/>
      <c r="G127" s="112"/>
      <c r="H127" s="116"/>
      <c r="I127" s="115"/>
      <c r="J127" s="70"/>
      <c r="K127" s="68">
        <f t="shared" si="27"/>
        <v>0</v>
      </c>
      <c r="L127" s="38">
        <f t="shared" si="28"/>
        <v>0</v>
      </c>
      <c r="M127" s="39">
        <f t="shared" si="26"/>
        <v>0</v>
      </c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3"/>
      <c r="DM127" s="114"/>
      <c r="DN127" s="47"/>
    </row>
    <row r="128" spans="5:118" x14ac:dyDescent="0.35">
      <c r="E128" s="111"/>
      <c r="F128" s="112"/>
      <c r="G128" s="112"/>
      <c r="H128" s="116"/>
      <c r="I128" s="115"/>
      <c r="J128" s="70"/>
      <c r="K128" s="68">
        <f t="shared" si="27"/>
        <v>0</v>
      </c>
      <c r="L128" s="38">
        <f t="shared" si="28"/>
        <v>0</v>
      </c>
      <c r="M128" s="39">
        <f t="shared" si="26"/>
        <v>0</v>
      </c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3"/>
      <c r="DM128" s="114"/>
      <c r="DN128" s="47"/>
    </row>
    <row r="129" spans="5:118" x14ac:dyDescent="0.35">
      <c r="E129" s="111"/>
      <c r="F129" s="112"/>
      <c r="G129" s="112"/>
      <c r="H129" s="116"/>
      <c r="I129" s="115"/>
      <c r="J129" s="70"/>
      <c r="K129" s="68">
        <f t="shared" si="27"/>
        <v>0</v>
      </c>
      <c r="L129" s="38">
        <f t="shared" si="28"/>
        <v>0</v>
      </c>
      <c r="M129" s="39">
        <f t="shared" si="26"/>
        <v>0</v>
      </c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3"/>
      <c r="DM129" s="114"/>
      <c r="DN129" s="47"/>
    </row>
    <row r="130" spans="5:118" x14ac:dyDescent="0.35">
      <c r="E130" s="111"/>
      <c r="F130" s="112"/>
      <c r="G130" s="112"/>
      <c r="H130" s="116"/>
      <c r="I130" s="115"/>
      <c r="J130" s="70"/>
      <c r="K130" s="68">
        <f t="shared" si="27"/>
        <v>0</v>
      </c>
      <c r="L130" s="38">
        <f t="shared" si="28"/>
        <v>0</v>
      </c>
      <c r="M130" s="39">
        <f t="shared" si="26"/>
        <v>0</v>
      </c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3"/>
      <c r="DM130" s="114"/>
      <c r="DN130" s="47"/>
    </row>
    <row r="131" spans="5:118" x14ac:dyDescent="0.35">
      <c r="E131" s="111"/>
      <c r="F131" s="112"/>
      <c r="G131" s="112"/>
      <c r="H131" s="116"/>
      <c r="I131" s="115"/>
      <c r="J131" s="70"/>
      <c r="K131" s="68">
        <f t="shared" si="27"/>
        <v>0</v>
      </c>
      <c r="L131" s="38">
        <f t="shared" si="28"/>
        <v>0</v>
      </c>
      <c r="M131" s="39">
        <f t="shared" si="26"/>
        <v>0</v>
      </c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3"/>
      <c r="DM131" s="114"/>
      <c r="DN131" s="47"/>
    </row>
    <row r="132" spans="5:118" x14ac:dyDescent="0.35">
      <c r="E132" s="111"/>
      <c r="F132" s="112"/>
      <c r="G132" s="112"/>
      <c r="H132" s="116"/>
      <c r="I132" s="115"/>
      <c r="J132" s="70"/>
      <c r="K132" s="68">
        <f t="shared" si="27"/>
        <v>0</v>
      </c>
      <c r="L132" s="38">
        <f t="shared" si="28"/>
        <v>0</v>
      </c>
      <c r="M132" s="39">
        <f t="shared" si="26"/>
        <v>0</v>
      </c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3"/>
      <c r="DM132" s="114"/>
      <c r="DN132" s="47"/>
    </row>
    <row r="133" spans="5:118" x14ac:dyDescent="0.35">
      <c r="E133" s="111"/>
      <c r="F133" s="112"/>
      <c r="G133" s="112"/>
      <c r="H133" s="116"/>
      <c r="I133" s="115"/>
      <c r="J133" s="70"/>
      <c r="K133" s="68">
        <f t="shared" si="27"/>
        <v>0</v>
      </c>
      <c r="L133" s="38">
        <f t="shared" si="28"/>
        <v>0</v>
      </c>
      <c r="M133" s="39">
        <f t="shared" si="26"/>
        <v>0</v>
      </c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3"/>
      <c r="DM133" s="114"/>
      <c r="DN133" s="47"/>
    </row>
    <row r="134" spans="5:118" x14ac:dyDescent="0.35">
      <c r="E134" s="111"/>
      <c r="F134" s="112"/>
      <c r="G134" s="112"/>
      <c r="H134" s="116"/>
      <c r="I134" s="115"/>
      <c r="J134" s="70"/>
      <c r="K134" s="68">
        <f t="shared" si="27"/>
        <v>0</v>
      </c>
      <c r="L134" s="38">
        <f t="shared" si="28"/>
        <v>0</v>
      </c>
      <c r="M134" s="39">
        <f t="shared" si="26"/>
        <v>0</v>
      </c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3"/>
      <c r="DM134" s="114"/>
      <c r="DN134" s="47"/>
    </row>
    <row r="135" spans="5:118" hidden="1" x14ac:dyDescent="0.35">
      <c r="E135" s="111"/>
      <c r="F135" s="112"/>
      <c r="G135" s="112"/>
      <c r="H135" s="116"/>
      <c r="I135" s="116"/>
      <c r="J135" s="121"/>
      <c r="K135" s="38">
        <f t="shared" si="27"/>
        <v>0</v>
      </c>
      <c r="L135" s="38">
        <f t="shared" si="28"/>
        <v>0</v>
      </c>
      <c r="M135" s="39">
        <f t="shared" si="26"/>
        <v>0</v>
      </c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3"/>
      <c r="DM135" s="114"/>
      <c r="DN135" s="47"/>
    </row>
    <row r="136" spans="5:118" hidden="1" x14ac:dyDescent="0.35">
      <c r="E136" s="111"/>
      <c r="F136" s="112"/>
      <c r="G136" s="112"/>
      <c r="H136" s="116"/>
      <c r="I136" s="116"/>
      <c r="J136" s="122"/>
      <c r="K136" s="38">
        <f t="shared" si="27"/>
        <v>0</v>
      </c>
      <c r="L136" s="38">
        <f t="shared" si="28"/>
        <v>0</v>
      </c>
      <c r="M136" s="39">
        <f t="shared" si="26"/>
        <v>0</v>
      </c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3"/>
      <c r="DM136" s="114"/>
      <c r="DN136" s="47"/>
    </row>
    <row r="137" spans="5:118" hidden="1" x14ac:dyDescent="0.35">
      <c r="E137" s="111"/>
      <c r="F137" s="112"/>
      <c r="G137" s="112"/>
      <c r="H137" s="116"/>
      <c r="I137" s="116"/>
      <c r="J137" s="122"/>
      <c r="K137" s="38">
        <f t="shared" si="27"/>
        <v>0</v>
      </c>
      <c r="L137" s="38">
        <f t="shared" si="28"/>
        <v>0</v>
      </c>
      <c r="M137" s="39">
        <f t="shared" si="26"/>
        <v>0</v>
      </c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3"/>
      <c r="DM137" s="114"/>
      <c r="DN137" s="47"/>
    </row>
    <row r="138" spans="5:118" hidden="1" x14ac:dyDescent="0.35">
      <c r="E138" s="111"/>
      <c r="F138" s="112"/>
      <c r="G138" s="112"/>
      <c r="H138" s="116"/>
      <c r="I138" s="116"/>
      <c r="J138" s="122"/>
      <c r="K138" s="38">
        <f t="shared" si="27"/>
        <v>0</v>
      </c>
      <c r="L138" s="38">
        <f t="shared" si="28"/>
        <v>0</v>
      </c>
      <c r="M138" s="39">
        <f t="shared" si="26"/>
        <v>0</v>
      </c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3"/>
      <c r="DM138" s="114"/>
      <c r="DN138" s="47"/>
    </row>
    <row r="139" spans="5:118" hidden="1" x14ac:dyDescent="0.35">
      <c r="E139" s="111"/>
      <c r="F139" s="112"/>
      <c r="G139" s="112"/>
      <c r="H139" s="116"/>
      <c r="I139" s="116"/>
      <c r="J139" s="122"/>
      <c r="K139" s="38">
        <f t="shared" si="27"/>
        <v>0</v>
      </c>
      <c r="L139" s="38">
        <f t="shared" si="28"/>
        <v>0</v>
      </c>
      <c r="M139" s="39">
        <f t="shared" si="26"/>
        <v>0</v>
      </c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3"/>
      <c r="DM139" s="114"/>
      <c r="DN139" s="47"/>
    </row>
    <row r="140" spans="5:118" hidden="1" x14ac:dyDescent="0.35">
      <c r="E140" s="111"/>
      <c r="F140" s="112"/>
      <c r="G140" s="112"/>
      <c r="H140" s="116"/>
      <c r="I140" s="116"/>
      <c r="J140" s="122"/>
      <c r="K140" s="38">
        <f t="shared" si="27"/>
        <v>0</v>
      </c>
      <c r="L140" s="38">
        <f t="shared" si="28"/>
        <v>0</v>
      </c>
      <c r="M140" s="39">
        <f t="shared" si="26"/>
        <v>0</v>
      </c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3"/>
      <c r="DM140" s="114"/>
      <c r="DN140" s="47"/>
    </row>
    <row r="141" spans="5:118" hidden="1" x14ac:dyDescent="0.35">
      <c r="E141" s="111"/>
      <c r="F141" s="112"/>
      <c r="G141" s="112"/>
      <c r="H141" s="116"/>
      <c r="I141" s="116"/>
      <c r="J141" s="122"/>
      <c r="K141" s="38">
        <f t="shared" si="27"/>
        <v>0</v>
      </c>
      <c r="L141" s="38">
        <f t="shared" si="28"/>
        <v>0</v>
      </c>
      <c r="M141" s="39">
        <f t="shared" si="26"/>
        <v>0</v>
      </c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3"/>
      <c r="DM141" s="114"/>
      <c r="DN141" s="47"/>
    </row>
    <row r="142" spans="5:118" hidden="1" x14ac:dyDescent="0.35">
      <c r="E142" s="111"/>
      <c r="F142" s="112"/>
      <c r="G142" s="112"/>
      <c r="H142" s="116"/>
      <c r="I142" s="116"/>
      <c r="J142" s="122"/>
      <c r="K142" s="38">
        <f t="shared" si="27"/>
        <v>0</v>
      </c>
      <c r="L142" s="38">
        <f t="shared" si="28"/>
        <v>0</v>
      </c>
      <c r="M142" s="39">
        <f t="shared" si="26"/>
        <v>0</v>
      </c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3"/>
      <c r="DM142" s="114"/>
      <c r="DN142" s="47"/>
    </row>
    <row r="143" spans="5:118" hidden="1" x14ac:dyDescent="0.35">
      <c r="E143" s="111"/>
      <c r="F143" s="112"/>
      <c r="G143" s="112"/>
      <c r="H143" s="116"/>
      <c r="I143" s="116"/>
      <c r="J143" s="122"/>
      <c r="K143" s="38">
        <f t="shared" si="27"/>
        <v>0</v>
      </c>
      <c r="L143" s="38">
        <f t="shared" si="28"/>
        <v>0</v>
      </c>
      <c r="M143" s="39">
        <f t="shared" si="26"/>
        <v>0</v>
      </c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3"/>
      <c r="DM143" s="114"/>
      <c r="DN143" s="47"/>
    </row>
    <row r="144" spans="5:118" hidden="1" x14ac:dyDescent="0.35">
      <c r="E144" s="111"/>
      <c r="F144" s="112"/>
      <c r="G144" s="112"/>
      <c r="H144" s="116"/>
      <c r="I144" s="116"/>
      <c r="J144" s="122"/>
      <c r="K144" s="38">
        <f t="shared" si="27"/>
        <v>0</v>
      </c>
      <c r="L144" s="38">
        <f t="shared" si="28"/>
        <v>0</v>
      </c>
      <c r="M144" s="39">
        <f t="shared" si="26"/>
        <v>0</v>
      </c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3"/>
      <c r="DM144" s="114"/>
      <c r="DN144" s="47"/>
    </row>
    <row r="145" spans="5:118" hidden="1" x14ac:dyDescent="0.35">
      <c r="E145" s="111"/>
      <c r="F145" s="112"/>
      <c r="G145" s="112"/>
      <c r="H145" s="116"/>
      <c r="I145" s="116"/>
      <c r="J145" s="122"/>
      <c r="K145" s="38">
        <f t="shared" si="27"/>
        <v>0</v>
      </c>
      <c r="L145" s="38">
        <f t="shared" si="28"/>
        <v>0</v>
      </c>
      <c r="M145" s="39">
        <f t="shared" si="26"/>
        <v>0</v>
      </c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3"/>
      <c r="DM145" s="114"/>
      <c r="DN145" s="47"/>
    </row>
    <row r="146" spans="5:118" hidden="1" x14ac:dyDescent="0.35">
      <c r="E146" s="111"/>
      <c r="F146" s="112"/>
      <c r="G146" s="112"/>
      <c r="H146" s="116"/>
      <c r="I146" s="116"/>
      <c r="J146" s="122"/>
      <c r="K146" s="38">
        <f t="shared" si="27"/>
        <v>0</v>
      </c>
      <c r="L146" s="38">
        <f t="shared" si="28"/>
        <v>0</v>
      </c>
      <c r="M146" s="39">
        <f t="shared" si="26"/>
        <v>0</v>
      </c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3"/>
      <c r="DM146" s="114"/>
      <c r="DN146" s="47"/>
    </row>
    <row r="147" spans="5:118" hidden="1" x14ac:dyDescent="0.35">
      <c r="E147" s="111"/>
      <c r="F147" s="112"/>
      <c r="G147" s="112"/>
      <c r="H147" s="116"/>
      <c r="I147" s="116"/>
      <c r="J147" s="122"/>
      <c r="K147" s="38">
        <f t="shared" si="27"/>
        <v>0</v>
      </c>
      <c r="L147" s="38">
        <f t="shared" si="28"/>
        <v>0</v>
      </c>
      <c r="M147" s="39">
        <f t="shared" si="26"/>
        <v>0</v>
      </c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3"/>
      <c r="DM147" s="114"/>
      <c r="DN147" s="47"/>
    </row>
    <row r="148" spans="5:118" hidden="1" x14ac:dyDescent="0.35">
      <c r="E148" s="111"/>
      <c r="F148" s="112"/>
      <c r="G148" s="112"/>
      <c r="H148" s="116"/>
      <c r="I148" s="116"/>
      <c r="J148" s="122"/>
      <c r="K148" s="38">
        <f t="shared" si="27"/>
        <v>0</v>
      </c>
      <c r="L148" s="38">
        <f t="shared" si="28"/>
        <v>0</v>
      </c>
      <c r="M148" s="39">
        <f t="shared" si="26"/>
        <v>0</v>
      </c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3"/>
      <c r="DM148" s="114"/>
      <c r="DN148" s="47"/>
    </row>
    <row r="149" spans="5:118" hidden="1" x14ac:dyDescent="0.35">
      <c r="E149" s="111"/>
      <c r="F149" s="112"/>
      <c r="G149" s="112"/>
      <c r="H149" s="116"/>
      <c r="I149" s="116"/>
      <c r="J149" s="122"/>
      <c r="K149" s="38">
        <f t="shared" si="27"/>
        <v>0</v>
      </c>
      <c r="L149" s="38">
        <f t="shared" si="28"/>
        <v>0</v>
      </c>
      <c r="M149" s="39">
        <f t="shared" si="26"/>
        <v>0</v>
      </c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3"/>
      <c r="DM149" s="114"/>
      <c r="DN149" s="47"/>
    </row>
    <row r="150" spans="5:118" hidden="1" x14ac:dyDescent="0.35">
      <c r="E150" s="111"/>
      <c r="F150" s="112"/>
      <c r="G150" s="112"/>
      <c r="H150" s="116"/>
      <c r="I150" s="116"/>
      <c r="J150" s="122"/>
      <c r="K150" s="38">
        <f t="shared" si="27"/>
        <v>0</v>
      </c>
      <c r="L150" s="38">
        <f t="shared" si="28"/>
        <v>0</v>
      </c>
      <c r="M150" s="39">
        <f t="shared" si="26"/>
        <v>0</v>
      </c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3"/>
      <c r="DM150" s="114"/>
      <c r="DN150" s="47"/>
    </row>
    <row r="151" spans="5:118" hidden="1" x14ac:dyDescent="0.35">
      <c r="E151" s="111"/>
      <c r="F151" s="112"/>
      <c r="G151" s="112"/>
      <c r="H151" s="116"/>
      <c r="I151" s="116"/>
      <c r="J151" s="122"/>
      <c r="K151" s="38">
        <f t="shared" si="27"/>
        <v>0</v>
      </c>
      <c r="L151" s="38">
        <f t="shared" si="28"/>
        <v>0</v>
      </c>
      <c r="M151" s="39">
        <f t="shared" si="26"/>
        <v>0</v>
      </c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3"/>
      <c r="DM151" s="114"/>
      <c r="DN151" s="47"/>
    </row>
    <row r="152" spans="5:118" hidden="1" x14ac:dyDescent="0.35">
      <c r="E152" s="111"/>
      <c r="F152" s="112"/>
      <c r="G152" s="112"/>
      <c r="H152" s="116"/>
      <c r="I152" s="116"/>
      <c r="J152" s="122"/>
      <c r="K152" s="38">
        <f t="shared" si="27"/>
        <v>0</v>
      </c>
      <c r="L152" s="38">
        <f t="shared" si="28"/>
        <v>0</v>
      </c>
      <c r="M152" s="39">
        <f t="shared" si="26"/>
        <v>0</v>
      </c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  <c r="BU152" s="113"/>
      <c r="BV152" s="113"/>
      <c r="BW152" s="113"/>
      <c r="BX152" s="113"/>
      <c r="BY152" s="113"/>
      <c r="BZ152" s="113"/>
      <c r="CA152" s="113"/>
      <c r="CB152" s="113"/>
      <c r="CC152" s="113"/>
      <c r="CD152" s="113"/>
      <c r="CE152" s="113"/>
      <c r="CF152" s="113"/>
      <c r="CG152" s="113"/>
      <c r="CH152" s="113"/>
      <c r="CI152" s="113"/>
      <c r="CJ152" s="113"/>
      <c r="CK152" s="113"/>
      <c r="CL152" s="113"/>
      <c r="CM152" s="113"/>
      <c r="CN152" s="113"/>
      <c r="CO152" s="113"/>
      <c r="CP152" s="113"/>
      <c r="CQ152" s="113"/>
      <c r="CR152" s="113"/>
      <c r="CS152" s="113"/>
      <c r="CT152" s="113"/>
      <c r="CU152" s="113"/>
      <c r="CV152" s="113"/>
      <c r="CW152" s="113"/>
      <c r="CX152" s="113"/>
      <c r="CY152" s="113"/>
      <c r="CZ152" s="113"/>
      <c r="DA152" s="113"/>
      <c r="DB152" s="113"/>
      <c r="DC152" s="113"/>
      <c r="DD152" s="113"/>
      <c r="DE152" s="113"/>
      <c r="DF152" s="113"/>
      <c r="DG152" s="113"/>
      <c r="DH152" s="113"/>
      <c r="DI152" s="113"/>
      <c r="DJ152" s="113"/>
      <c r="DK152" s="113"/>
      <c r="DL152" s="113"/>
      <c r="DM152" s="114"/>
      <c r="DN152" s="47"/>
    </row>
    <row r="153" spans="5:118" hidden="1" x14ac:dyDescent="0.35">
      <c r="E153" s="111"/>
      <c r="F153" s="112"/>
      <c r="G153" s="112"/>
      <c r="H153" s="116"/>
      <c r="I153" s="116"/>
      <c r="J153" s="122"/>
      <c r="K153" s="38">
        <f t="shared" si="27"/>
        <v>0</v>
      </c>
      <c r="L153" s="38">
        <f t="shared" si="28"/>
        <v>0</v>
      </c>
      <c r="M153" s="39">
        <f t="shared" si="26"/>
        <v>0</v>
      </c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  <c r="BU153" s="113"/>
      <c r="BV153" s="113"/>
      <c r="BW153" s="113"/>
      <c r="BX153" s="113"/>
      <c r="BY153" s="113"/>
      <c r="BZ153" s="113"/>
      <c r="CA153" s="113"/>
      <c r="CB153" s="113"/>
      <c r="CC153" s="113"/>
      <c r="CD153" s="113"/>
      <c r="CE153" s="113"/>
      <c r="CF153" s="113"/>
      <c r="CG153" s="113"/>
      <c r="CH153" s="113"/>
      <c r="CI153" s="113"/>
      <c r="CJ153" s="113"/>
      <c r="CK153" s="113"/>
      <c r="CL153" s="113"/>
      <c r="CM153" s="113"/>
      <c r="CN153" s="113"/>
      <c r="CO153" s="113"/>
      <c r="CP153" s="113"/>
      <c r="CQ153" s="113"/>
      <c r="CR153" s="113"/>
      <c r="CS153" s="113"/>
      <c r="CT153" s="113"/>
      <c r="CU153" s="113"/>
      <c r="CV153" s="113"/>
      <c r="CW153" s="113"/>
      <c r="CX153" s="113"/>
      <c r="CY153" s="113"/>
      <c r="CZ153" s="113"/>
      <c r="DA153" s="113"/>
      <c r="DB153" s="113"/>
      <c r="DC153" s="113"/>
      <c r="DD153" s="113"/>
      <c r="DE153" s="113"/>
      <c r="DF153" s="113"/>
      <c r="DG153" s="113"/>
      <c r="DH153" s="113"/>
      <c r="DI153" s="113"/>
      <c r="DJ153" s="113"/>
      <c r="DK153" s="113"/>
      <c r="DL153" s="113"/>
      <c r="DM153" s="114"/>
      <c r="DN153" s="47"/>
    </row>
    <row r="154" spans="5:118" ht="15" thickBot="1" x14ac:dyDescent="0.4">
      <c r="E154" s="3" t="s">
        <v>314</v>
      </c>
      <c r="F154" s="41"/>
      <c r="G154" s="41"/>
      <c r="H154" s="41"/>
      <c r="I154" s="8"/>
      <c r="J154" s="8" t="s">
        <v>150</v>
      </c>
      <c r="K154" s="98">
        <f>SUM(K124:K153)</f>
        <v>0</v>
      </c>
      <c r="L154" s="98">
        <f>SUM(L124:L153)</f>
        <v>0</v>
      </c>
      <c r="M154" s="99">
        <f>SUM(M124:M153)</f>
        <v>0</v>
      </c>
      <c r="N154" s="4">
        <f>SUM(N124:N153)</f>
        <v>0</v>
      </c>
      <c r="O154" s="4">
        <f t="shared" ref="O154:BZ154" si="29">SUM(O124:O153)</f>
        <v>0</v>
      </c>
      <c r="P154" s="4">
        <f t="shared" si="29"/>
        <v>0</v>
      </c>
      <c r="Q154" s="4">
        <f t="shared" si="29"/>
        <v>0</v>
      </c>
      <c r="R154" s="4">
        <f t="shared" si="29"/>
        <v>0</v>
      </c>
      <c r="S154" s="4">
        <f t="shared" si="29"/>
        <v>0</v>
      </c>
      <c r="T154" s="4">
        <f t="shared" si="29"/>
        <v>0</v>
      </c>
      <c r="U154" s="4">
        <f t="shared" si="29"/>
        <v>0</v>
      </c>
      <c r="V154" s="4">
        <f t="shared" si="29"/>
        <v>0</v>
      </c>
      <c r="W154" s="4">
        <f t="shared" si="29"/>
        <v>0</v>
      </c>
      <c r="X154" s="4">
        <f t="shared" si="29"/>
        <v>0</v>
      </c>
      <c r="Y154" s="4">
        <f t="shared" si="29"/>
        <v>0</v>
      </c>
      <c r="Z154" s="4">
        <f t="shared" si="29"/>
        <v>0</v>
      </c>
      <c r="AA154" s="4">
        <f t="shared" si="29"/>
        <v>0</v>
      </c>
      <c r="AB154" s="4">
        <f t="shared" si="29"/>
        <v>0</v>
      </c>
      <c r="AC154" s="4">
        <f t="shared" si="29"/>
        <v>0</v>
      </c>
      <c r="AD154" s="4">
        <f t="shared" si="29"/>
        <v>0</v>
      </c>
      <c r="AE154" s="4">
        <f t="shared" si="29"/>
        <v>0</v>
      </c>
      <c r="AF154" s="4">
        <f t="shared" si="29"/>
        <v>0</v>
      </c>
      <c r="AG154" s="4">
        <f t="shared" si="29"/>
        <v>0</v>
      </c>
      <c r="AH154" s="4">
        <f t="shared" si="29"/>
        <v>0</v>
      </c>
      <c r="AI154" s="4">
        <f t="shared" si="29"/>
        <v>0</v>
      </c>
      <c r="AJ154" s="4">
        <f t="shared" si="29"/>
        <v>0</v>
      </c>
      <c r="AK154" s="4">
        <f t="shared" si="29"/>
        <v>0</v>
      </c>
      <c r="AL154" s="4">
        <f t="shared" si="29"/>
        <v>0</v>
      </c>
      <c r="AM154" s="4">
        <f t="shared" si="29"/>
        <v>0</v>
      </c>
      <c r="AN154" s="4">
        <f t="shared" si="29"/>
        <v>0</v>
      </c>
      <c r="AO154" s="4">
        <f t="shared" si="29"/>
        <v>0</v>
      </c>
      <c r="AP154" s="4">
        <f t="shared" si="29"/>
        <v>0</v>
      </c>
      <c r="AQ154" s="4">
        <f t="shared" si="29"/>
        <v>0</v>
      </c>
      <c r="AR154" s="4">
        <f t="shared" si="29"/>
        <v>0</v>
      </c>
      <c r="AS154" s="4">
        <f t="shared" si="29"/>
        <v>0</v>
      </c>
      <c r="AT154" s="4">
        <f t="shared" si="29"/>
        <v>0</v>
      </c>
      <c r="AU154" s="4">
        <f t="shared" si="29"/>
        <v>0</v>
      </c>
      <c r="AV154" s="4">
        <f t="shared" si="29"/>
        <v>0</v>
      </c>
      <c r="AW154" s="4">
        <f t="shared" si="29"/>
        <v>0</v>
      </c>
      <c r="AX154" s="4">
        <f t="shared" si="29"/>
        <v>0</v>
      </c>
      <c r="AY154" s="4">
        <f t="shared" si="29"/>
        <v>0</v>
      </c>
      <c r="AZ154" s="4">
        <f t="shared" si="29"/>
        <v>0</v>
      </c>
      <c r="BA154" s="4">
        <f t="shared" si="29"/>
        <v>0</v>
      </c>
      <c r="BB154" s="4">
        <f t="shared" si="29"/>
        <v>0</v>
      </c>
      <c r="BC154" s="4">
        <f t="shared" si="29"/>
        <v>0</v>
      </c>
      <c r="BD154" s="4">
        <f t="shared" si="29"/>
        <v>0</v>
      </c>
      <c r="BE154" s="4">
        <f t="shared" si="29"/>
        <v>0</v>
      </c>
      <c r="BF154" s="4">
        <f t="shared" si="29"/>
        <v>0</v>
      </c>
      <c r="BG154" s="4">
        <f t="shared" si="29"/>
        <v>0</v>
      </c>
      <c r="BH154" s="4">
        <f t="shared" si="29"/>
        <v>0</v>
      </c>
      <c r="BI154" s="4">
        <f t="shared" si="29"/>
        <v>0</v>
      </c>
      <c r="BJ154" s="4">
        <f t="shared" si="29"/>
        <v>0</v>
      </c>
      <c r="BK154" s="4">
        <f t="shared" si="29"/>
        <v>0</v>
      </c>
      <c r="BL154" s="4">
        <f t="shared" si="29"/>
        <v>0</v>
      </c>
      <c r="BM154" s="4">
        <f t="shared" si="29"/>
        <v>0</v>
      </c>
      <c r="BN154" s="4">
        <f t="shared" si="29"/>
        <v>0</v>
      </c>
      <c r="BO154" s="4">
        <f t="shared" si="29"/>
        <v>0</v>
      </c>
      <c r="BP154" s="4">
        <f t="shared" si="29"/>
        <v>0</v>
      </c>
      <c r="BQ154" s="4">
        <f t="shared" si="29"/>
        <v>0</v>
      </c>
      <c r="BR154" s="4">
        <f t="shared" si="29"/>
        <v>0</v>
      </c>
      <c r="BS154" s="4">
        <f t="shared" si="29"/>
        <v>0</v>
      </c>
      <c r="BT154" s="4">
        <f t="shared" si="29"/>
        <v>0</v>
      </c>
      <c r="BU154" s="4">
        <f t="shared" si="29"/>
        <v>0</v>
      </c>
      <c r="BV154" s="4">
        <f t="shared" si="29"/>
        <v>0</v>
      </c>
      <c r="BW154" s="4">
        <f t="shared" si="29"/>
        <v>0</v>
      </c>
      <c r="BX154" s="4">
        <f t="shared" si="29"/>
        <v>0</v>
      </c>
      <c r="BY154" s="4">
        <f t="shared" si="29"/>
        <v>0</v>
      </c>
      <c r="BZ154" s="4">
        <f t="shared" si="29"/>
        <v>0</v>
      </c>
      <c r="CA154" s="4">
        <f t="shared" ref="CA154:DM154" si="30">SUM(CA124:CA153)</f>
        <v>0</v>
      </c>
      <c r="CB154" s="4">
        <f t="shared" si="30"/>
        <v>0</v>
      </c>
      <c r="CC154" s="4">
        <f t="shared" si="30"/>
        <v>0</v>
      </c>
      <c r="CD154" s="4">
        <f t="shared" si="30"/>
        <v>0</v>
      </c>
      <c r="CE154" s="4">
        <f t="shared" si="30"/>
        <v>0</v>
      </c>
      <c r="CF154" s="4">
        <f t="shared" si="30"/>
        <v>0</v>
      </c>
      <c r="CG154" s="4">
        <f t="shared" si="30"/>
        <v>0</v>
      </c>
      <c r="CH154" s="4">
        <f t="shared" si="30"/>
        <v>0</v>
      </c>
      <c r="CI154" s="4">
        <f t="shared" si="30"/>
        <v>0</v>
      </c>
      <c r="CJ154" s="4">
        <f t="shared" si="30"/>
        <v>0</v>
      </c>
      <c r="CK154" s="4">
        <f t="shared" si="30"/>
        <v>0</v>
      </c>
      <c r="CL154" s="4">
        <f t="shared" si="30"/>
        <v>0</v>
      </c>
      <c r="CM154" s="4">
        <f t="shared" si="30"/>
        <v>0</v>
      </c>
      <c r="CN154" s="4">
        <f t="shared" si="30"/>
        <v>0</v>
      </c>
      <c r="CO154" s="4">
        <f t="shared" si="30"/>
        <v>0</v>
      </c>
      <c r="CP154" s="4">
        <f t="shared" si="30"/>
        <v>0</v>
      </c>
      <c r="CQ154" s="4">
        <f t="shared" si="30"/>
        <v>0</v>
      </c>
      <c r="CR154" s="4">
        <f t="shared" si="30"/>
        <v>0</v>
      </c>
      <c r="CS154" s="4">
        <f t="shared" si="30"/>
        <v>0</v>
      </c>
      <c r="CT154" s="4">
        <f t="shared" si="30"/>
        <v>0</v>
      </c>
      <c r="CU154" s="4">
        <f t="shared" si="30"/>
        <v>0</v>
      </c>
      <c r="CV154" s="4">
        <f t="shared" si="30"/>
        <v>0</v>
      </c>
      <c r="CW154" s="4">
        <f t="shared" si="30"/>
        <v>0</v>
      </c>
      <c r="CX154" s="4">
        <f t="shared" si="30"/>
        <v>0</v>
      </c>
      <c r="CY154" s="4">
        <f t="shared" si="30"/>
        <v>0</v>
      </c>
      <c r="CZ154" s="4">
        <f t="shared" si="30"/>
        <v>0</v>
      </c>
      <c r="DA154" s="4">
        <f t="shared" si="30"/>
        <v>0</v>
      </c>
      <c r="DB154" s="4">
        <f t="shared" si="30"/>
        <v>0</v>
      </c>
      <c r="DC154" s="4">
        <f t="shared" si="30"/>
        <v>0</v>
      </c>
      <c r="DD154" s="4">
        <f t="shared" si="30"/>
        <v>0</v>
      </c>
      <c r="DE154" s="4">
        <f t="shared" si="30"/>
        <v>0</v>
      </c>
      <c r="DF154" s="4">
        <f t="shared" si="30"/>
        <v>0</v>
      </c>
      <c r="DG154" s="4">
        <f t="shared" si="30"/>
        <v>0</v>
      </c>
      <c r="DH154" s="4">
        <f t="shared" si="30"/>
        <v>0</v>
      </c>
      <c r="DI154" s="4">
        <f t="shared" si="30"/>
        <v>0</v>
      </c>
      <c r="DJ154" s="4">
        <f t="shared" si="30"/>
        <v>0</v>
      </c>
      <c r="DK154" s="4">
        <f t="shared" si="30"/>
        <v>0</v>
      </c>
      <c r="DL154" s="4">
        <f t="shared" si="30"/>
        <v>0</v>
      </c>
      <c r="DM154" s="4">
        <f t="shared" si="30"/>
        <v>0</v>
      </c>
      <c r="DN154" s="47"/>
    </row>
    <row r="155" spans="5:118" ht="15" thickBot="1" x14ac:dyDescent="0.4"/>
    <row r="156" spans="5:118" ht="15" thickBot="1" x14ac:dyDescent="0.4">
      <c r="E156" s="43" t="s">
        <v>266</v>
      </c>
      <c r="J156" s="48"/>
      <c r="N156" s="48"/>
    </row>
    <row r="157" spans="5:118" x14ac:dyDescent="0.35">
      <c r="E157" s="28" t="s">
        <v>29</v>
      </c>
      <c r="F157" s="32" t="s">
        <v>145</v>
      </c>
      <c r="G157" s="32" t="s">
        <v>267</v>
      </c>
      <c r="H157" s="32" t="s">
        <v>268</v>
      </c>
      <c r="I157" s="66" t="s">
        <v>264</v>
      </c>
      <c r="J157" s="69"/>
      <c r="K157" s="61" t="s">
        <v>258</v>
      </c>
      <c r="L157" s="33" t="s">
        <v>142</v>
      </c>
      <c r="M157" s="33" t="s">
        <v>34</v>
      </c>
      <c r="N157" s="34" t="s">
        <v>35</v>
      </c>
      <c r="O157" s="33" t="s">
        <v>36</v>
      </c>
      <c r="P157" s="33" t="s">
        <v>37</v>
      </c>
      <c r="Q157" s="33" t="s">
        <v>38</v>
      </c>
      <c r="R157" s="33" t="s">
        <v>39</v>
      </c>
      <c r="S157" s="33" t="s">
        <v>40</v>
      </c>
      <c r="T157" s="33" t="s">
        <v>41</v>
      </c>
      <c r="U157" s="33" t="s">
        <v>42</v>
      </c>
      <c r="V157" s="33" t="s">
        <v>43</v>
      </c>
      <c r="W157" s="33" t="s">
        <v>44</v>
      </c>
      <c r="X157" s="33" t="s">
        <v>45</v>
      </c>
      <c r="Y157" s="33" t="s">
        <v>46</v>
      </c>
      <c r="Z157" s="33" t="s">
        <v>47</v>
      </c>
      <c r="AA157" s="33" t="s">
        <v>48</v>
      </c>
      <c r="AB157" s="33" t="s">
        <v>49</v>
      </c>
      <c r="AC157" s="33" t="s">
        <v>50</v>
      </c>
      <c r="AD157" s="33" t="s">
        <v>51</v>
      </c>
      <c r="AE157" s="33" t="s">
        <v>52</v>
      </c>
      <c r="AF157" s="33" t="s">
        <v>53</v>
      </c>
      <c r="AG157" s="33" t="s">
        <v>54</v>
      </c>
      <c r="AH157" s="33" t="s">
        <v>55</v>
      </c>
      <c r="AI157" s="33" t="s">
        <v>56</v>
      </c>
      <c r="AJ157" s="33" t="s">
        <v>57</v>
      </c>
      <c r="AK157" s="33" t="s">
        <v>58</v>
      </c>
      <c r="AL157" s="33" t="s">
        <v>59</v>
      </c>
      <c r="AM157" s="33" t="s">
        <v>60</v>
      </c>
      <c r="AN157" s="33" t="s">
        <v>61</v>
      </c>
      <c r="AO157" s="33" t="s">
        <v>62</v>
      </c>
      <c r="AP157" s="33" t="s">
        <v>63</v>
      </c>
      <c r="AQ157" s="33" t="s">
        <v>64</v>
      </c>
      <c r="AR157" s="33" t="s">
        <v>65</v>
      </c>
      <c r="AS157" s="33" t="s">
        <v>66</v>
      </c>
      <c r="AT157" s="33" t="s">
        <v>67</v>
      </c>
      <c r="AU157" s="33" t="s">
        <v>68</v>
      </c>
      <c r="AV157" s="33" t="s">
        <v>69</v>
      </c>
      <c r="AW157" s="33" t="s">
        <v>70</v>
      </c>
      <c r="AX157" s="33" t="s">
        <v>71</v>
      </c>
      <c r="AY157" s="33" t="s">
        <v>72</v>
      </c>
      <c r="AZ157" s="33" t="s">
        <v>73</v>
      </c>
      <c r="BA157" s="33" t="s">
        <v>74</v>
      </c>
      <c r="BB157" s="33" t="s">
        <v>75</v>
      </c>
      <c r="BC157" s="33" t="s">
        <v>76</v>
      </c>
      <c r="BD157" s="33" t="s">
        <v>77</v>
      </c>
      <c r="BE157" s="33" t="s">
        <v>78</v>
      </c>
      <c r="BF157" s="33" t="s">
        <v>79</v>
      </c>
      <c r="BG157" s="33" t="s">
        <v>80</v>
      </c>
      <c r="BH157" s="33" t="s">
        <v>81</v>
      </c>
      <c r="BI157" s="33" t="s">
        <v>82</v>
      </c>
      <c r="BJ157" s="33" t="s">
        <v>83</v>
      </c>
      <c r="BK157" s="33" t="s">
        <v>84</v>
      </c>
      <c r="BL157" s="33" t="s">
        <v>85</v>
      </c>
      <c r="BM157" s="33" t="s">
        <v>86</v>
      </c>
      <c r="BN157" s="33" t="s">
        <v>87</v>
      </c>
      <c r="BO157" s="33" t="s">
        <v>88</v>
      </c>
      <c r="BP157" s="33" t="s">
        <v>89</v>
      </c>
      <c r="BQ157" s="33" t="s">
        <v>90</v>
      </c>
      <c r="BR157" s="33" t="s">
        <v>91</v>
      </c>
      <c r="BS157" s="33" t="s">
        <v>92</v>
      </c>
      <c r="BT157" s="33" t="s">
        <v>93</v>
      </c>
      <c r="BU157" s="33" t="s">
        <v>94</v>
      </c>
      <c r="BV157" s="33" t="s">
        <v>95</v>
      </c>
      <c r="BW157" s="33" t="s">
        <v>96</v>
      </c>
      <c r="BX157" s="33" t="s">
        <v>97</v>
      </c>
      <c r="BY157" s="33" t="s">
        <v>98</v>
      </c>
      <c r="BZ157" s="33" t="s">
        <v>99</v>
      </c>
      <c r="CA157" s="33" t="s">
        <v>100</v>
      </c>
      <c r="CB157" s="33" t="s">
        <v>101</v>
      </c>
      <c r="CC157" s="33" t="s">
        <v>102</v>
      </c>
      <c r="CD157" s="33" t="s">
        <v>103</v>
      </c>
      <c r="CE157" s="33" t="s">
        <v>104</v>
      </c>
      <c r="CF157" s="33" t="s">
        <v>105</v>
      </c>
      <c r="CG157" s="33" t="s">
        <v>106</v>
      </c>
      <c r="CH157" s="33" t="s">
        <v>107</v>
      </c>
      <c r="CI157" s="33" t="s">
        <v>108</v>
      </c>
      <c r="CJ157" s="33" t="s">
        <v>109</v>
      </c>
      <c r="CK157" s="33" t="s">
        <v>110</v>
      </c>
      <c r="CL157" s="33" t="s">
        <v>111</v>
      </c>
      <c r="CM157" s="33" t="s">
        <v>112</v>
      </c>
      <c r="CN157" s="33" t="s">
        <v>113</v>
      </c>
      <c r="CO157" s="33" t="s">
        <v>114</v>
      </c>
      <c r="CP157" s="33" t="s">
        <v>115</v>
      </c>
      <c r="CQ157" s="33" t="s">
        <v>116</v>
      </c>
      <c r="CR157" s="33" t="s">
        <v>117</v>
      </c>
      <c r="CS157" s="33" t="s">
        <v>118</v>
      </c>
      <c r="CT157" s="33" t="s">
        <v>119</v>
      </c>
      <c r="CU157" s="33" t="s">
        <v>120</v>
      </c>
      <c r="CV157" s="33" t="s">
        <v>121</v>
      </c>
      <c r="CW157" s="33" t="s">
        <v>122</v>
      </c>
      <c r="CX157" s="33" t="s">
        <v>123</v>
      </c>
      <c r="CY157" s="33" t="s">
        <v>124</v>
      </c>
      <c r="CZ157" s="33" t="s">
        <v>125</v>
      </c>
      <c r="DA157" s="33" t="s">
        <v>126</v>
      </c>
      <c r="DB157" s="33" t="s">
        <v>127</v>
      </c>
      <c r="DC157" s="33" t="s">
        <v>128</v>
      </c>
      <c r="DD157" s="33" t="s">
        <v>129</v>
      </c>
      <c r="DE157" s="33" t="s">
        <v>130</v>
      </c>
      <c r="DF157" s="33" t="s">
        <v>131</v>
      </c>
      <c r="DG157" s="33" t="s">
        <v>132</v>
      </c>
      <c r="DH157" s="33" t="s">
        <v>133</v>
      </c>
      <c r="DI157" s="33" t="s">
        <v>134</v>
      </c>
      <c r="DJ157" s="33" t="s">
        <v>135</v>
      </c>
      <c r="DK157" s="33" t="s">
        <v>136</v>
      </c>
      <c r="DL157" s="33" t="s">
        <v>137</v>
      </c>
      <c r="DM157" s="33" t="s">
        <v>138</v>
      </c>
      <c r="DN157" s="45"/>
    </row>
    <row r="158" spans="5:118" x14ac:dyDescent="0.35">
      <c r="E158" s="111"/>
      <c r="F158" s="112"/>
      <c r="G158" s="112"/>
      <c r="H158" s="116"/>
      <c r="I158" s="115"/>
      <c r="J158" s="70"/>
      <c r="K158" s="68">
        <f>H158*N158</f>
        <v>0</v>
      </c>
      <c r="L158" s="38">
        <f>I158*M158</f>
        <v>0</v>
      </c>
      <c r="M158" s="39">
        <f t="shared" ref="M158:M187" si="31">SUM(N158:DM158)</f>
        <v>0</v>
      </c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3"/>
      <c r="DM158" s="114"/>
      <c r="DN158" s="47"/>
    </row>
    <row r="159" spans="5:118" x14ac:dyDescent="0.35">
      <c r="E159" s="111"/>
      <c r="F159" s="112"/>
      <c r="G159" s="112"/>
      <c r="H159" s="116"/>
      <c r="I159" s="115"/>
      <c r="J159" s="70"/>
      <c r="K159" s="68">
        <f t="shared" ref="K159:K187" si="32">H159*N159</f>
        <v>0</v>
      </c>
      <c r="L159" s="38">
        <f t="shared" ref="L159:L187" si="33">I159*M159</f>
        <v>0</v>
      </c>
      <c r="M159" s="39">
        <f t="shared" si="31"/>
        <v>0</v>
      </c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3"/>
      <c r="DM159" s="114"/>
      <c r="DN159" s="47"/>
    </row>
    <row r="160" spans="5:118" x14ac:dyDescent="0.35">
      <c r="E160" s="111"/>
      <c r="F160" s="112"/>
      <c r="G160" s="112"/>
      <c r="H160" s="116"/>
      <c r="I160" s="115"/>
      <c r="J160" s="70"/>
      <c r="K160" s="68">
        <f t="shared" si="32"/>
        <v>0</v>
      </c>
      <c r="L160" s="38">
        <f t="shared" si="33"/>
        <v>0</v>
      </c>
      <c r="M160" s="39">
        <f t="shared" si="31"/>
        <v>0</v>
      </c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3"/>
      <c r="DM160" s="114"/>
      <c r="DN160" s="47"/>
    </row>
    <row r="161" spans="5:118" x14ac:dyDescent="0.35">
      <c r="E161" s="111"/>
      <c r="F161" s="112"/>
      <c r="G161" s="112"/>
      <c r="H161" s="116"/>
      <c r="I161" s="115"/>
      <c r="J161" s="70"/>
      <c r="K161" s="68">
        <f t="shared" si="32"/>
        <v>0</v>
      </c>
      <c r="L161" s="38">
        <f t="shared" si="33"/>
        <v>0</v>
      </c>
      <c r="M161" s="39">
        <f t="shared" si="31"/>
        <v>0</v>
      </c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3"/>
      <c r="DM161" s="114"/>
      <c r="DN161" s="47"/>
    </row>
    <row r="162" spans="5:118" x14ac:dyDescent="0.35">
      <c r="E162" s="111"/>
      <c r="F162" s="112"/>
      <c r="G162" s="112"/>
      <c r="H162" s="116"/>
      <c r="I162" s="115"/>
      <c r="J162" s="70"/>
      <c r="K162" s="68">
        <f t="shared" si="32"/>
        <v>0</v>
      </c>
      <c r="L162" s="38">
        <f t="shared" si="33"/>
        <v>0</v>
      </c>
      <c r="M162" s="39">
        <f t="shared" si="31"/>
        <v>0</v>
      </c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3"/>
      <c r="DM162" s="114"/>
      <c r="DN162" s="47"/>
    </row>
    <row r="163" spans="5:118" x14ac:dyDescent="0.35">
      <c r="E163" s="111"/>
      <c r="F163" s="112"/>
      <c r="G163" s="112"/>
      <c r="H163" s="116"/>
      <c r="I163" s="115"/>
      <c r="J163" s="70"/>
      <c r="K163" s="68">
        <f t="shared" si="32"/>
        <v>0</v>
      </c>
      <c r="L163" s="38">
        <f t="shared" si="33"/>
        <v>0</v>
      </c>
      <c r="M163" s="39">
        <f t="shared" si="31"/>
        <v>0</v>
      </c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3"/>
      <c r="DM163" s="114"/>
      <c r="DN163" s="47"/>
    </row>
    <row r="164" spans="5:118" x14ac:dyDescent="0.35">
      <c r="E164" s="111"/>
      <c r="F164" s="112"/>
      <c r="G164" s="112"/>
      <c r="H164" s="116"/>
      <c r="I164" s="115"/>
      <c r="J164" s="70"/>
      <c r="K164" s="68">
        <f t="shared" si="32"/>
        <v>0</v>
      </c>
      <c r="L164" s="38">
        <f t="shared" si="33"/>
        <v>0</v>
      </c>
      <c r="M164" s="39">
        <f t="shared" si="31"/>
        <v>0</v>
      </c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3"/>
      <c r="DM164" s="114"/>
      <c r="DN164" s="47"/>
    </row>
    <row r="165" spans="5:118" x14ac:dyDescent="0.35">
      <c r="E165" s="111"/>
      <c r="F165" s="112"/>
      <c r="G165" s="112"/>
      <c r="H165" s="116"/>
      <c r="I165" s="115"/>
      <c r="J165" s="70"/>
      <c r="K165" s="68">
        <f t="shared" si="32"/>
        <v>0</v>
      </c>
      <c r="L165" s="38">
        <f t="shared" si="33"/>
        <v>0</v>
      </c>
      <c r="M165" s="39">
        <f t="shared" si="31"/>
        <v>0</v>
      </c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3"/>
      <c r="DM165" s="114"/>
      <c r="DN165" s="47"/>
    </row>
    <row r="166" spans="5:118" x14ac:dyDescent="0.35">
      <c r="E166" s="111"/>
      <c r="F166" s="112"/>
      <c r="G166" s="112"/>
      <c r="H166" s="116"/>
      <c r="I166" s="115"/>
      <c r="J166" s="70"/>
      <c r="K166" s="68">
        <f t="shared" si="32"/>
        <v>0</v>
      </c>
      <c r="L166" s="38">
        <f t="shared" si="33"/>
        <v>0</v>
      </c>
      <c r="M166" s="39">
        <f t="shared" si="31"/>
        <v>0</v>
      </c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3"/>
      <c r="DM166" s="114"/>
      <c r="DN166" s="47"/>
    </row>
    <row r="167" spans="5:118" x14ac:dyDescent="0.35">
      <c r="E167" s="111"/>
      <c r="F167" s="112"/>
      <c r="G167" s="112"/>
      <c r="H167" s="116"/>
      <c r="I167" s="115"/>
      <c r="J167" s="70"/>
      <c r="K167" s="68">
        <f t="shared" si="32"/>
        <v>0</v>
      </c>
      <c r="L167" s="38">
        <f t="shared" si="33"/>
        <v>0</v>
      </c>
      <c r="M167" s="39">
        <f t="shared" si="31"/>
        <v>0</v>
      </c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3"/>
      <c r="DM167" s="114"/>
      <c r="DN167" s="47"/>
    </row>
    <row r="168" spans="5:118" x14ac:dyDescent="0.35">
      <c r="E168" s="111"/>
      <c r="F168" s="112"/>
      <c r="G168" s="112"/>
      <c r="H168" s="116"/>
      <c r="I168" s="115"/>
      <c r="J168" s="70"/>
      <c r="K168" s="68">
        <f t="shared" si="32"/>
        <v>0</v>
      </c>
      <c r="L168" s="38">
        <f t="shared" si="33"/>
        <v>0</v>
      </c>
      <c r="M168" s="39">
        <f t="shared" si="31"/>
        <v>0</v>
      </c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3"/>
      <c r="DM168" s="114"/>
      <c r="DN168" s="47"/>
    </row>
    <row r="169" spans="5:118" hidden="1" x14ac:dyDescent="0.35">
      <c r="E169" s="111"/>
      <c r="F169" s="112"/>
      <c r="G169" s="112"/>
      <c r="H169" s="116"/>
      <c r="I169" s="116"/>
      <c r="J169" s="121"/>
      <c r="K169" s="38">
        <f t="shared" si="32"/>
        <v>0</v>
      </c>
      <c r="L169" s="38">
        <f t="shared" si="33"/>
        <v>0</v>
      </c>
      <c r="M169" s="39">
        <f t="shared" si="31"/>
        <v>0</v>
      </c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3"/>
      <c r="DM169" s="114"/>
      <c r="DN169" s="47"/>
    </row>
    <row r="170" spans="5:118" hidden="1" x14ac:dyDescent="0.35">
      <c r="E170" s="111"/>
      <c r="F170" s="112"/>
      <c r="G170" s="112"/>
      <c r="H170" s="116"/>
      <c r="I170" s="116"/>
      <c r="J170" s="122"/>
      <c r="K170" s="38">
        <f t="shared" si="32"/>
        <v>0</v>
      </c>
      <c r="L170" s="38">
        <f t="shared" si="33"/>
        <v>0</v>
      </c>
      <c r="M170" s="39">
        <f t="shared" si="31"/>
        <v>0</v>
      </c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3"/>
      <c r="DM170" s="114"/>
      <c r="DN170" s="47"/>
    </row>
    <row r="171" spans="5:118" hidden="1" x14ac:dyDescent="0.35">
      <c r="E171" s="111"/>
      <c r="F171" s="112"/>
      <c r="G171" s="112"/>
      <c r="H171" s="116"/>
      <c r="I171" s="116"/>
      <c r="J171" s="122"/>
      <c r="K171" s="38">
        <f t="shared" si="32"/>
        <v>0</v>
      </c>
      <c r="L171" s="38">
        <f t="shared" si="33"/>
        <v>0</v>
      </c>
      <c r="M171" s="39">
        <f t="shared" si="31"/>
        <v>0</v>
      </c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3"/>
      <c r="DM171" s="114"/>
      <c r="DN171" s="47"/>
    </row>
    <row r="172" spans="5:118" hidden="1" x14ac:dyDescent="0.35">
      <c r="E172" s="111"/>
      <c r="F172" s="112"/>
      <c r="G172" s="112"/>
      <c r="H172" s="116"/>
      <c r="I172" s="116"/>
      <c r="J172" s="122"/>
      <c r="K172" s="38">
        <f t="shared" si="32"/>
        <v>0</v>
      </c>
      <c r="L172" s="38">
        <f t="shared" si="33"/>
        <v>0</v>
      </c>
      <c r="M172" s="39">
        <f t="shared" si="31"/>
        <v>0</v>
      </c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3"/>
      <c r="DM172" s="114"/>
      <c r="DN172" s="47"/>
    </row>
    <row r="173" spans="5:118" hidden="1" x14ac:dyDescent="0.35">
      <c r="E173" s="111"/>
      <c r="F173" s="112"/>
      <c r="G173" s="112"/>
      <c r="H173" s="116"/>
      <c r="I173" s="116"/>
      <c r="J173" s="122"/>
      <c r="K173" s="38">
        <f t="shared" si="32"/>
        <v>0</v>
      </c>
      <c r="L173" s="38">
        <f t="shared" si="33"/>
        <v>0</v>
      </c>
      <c r="M173" s="39">
        <f t="shared" si="31"/>
        <v>0</v>
      </c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3"/>
      <c r="DM173" s="114"/>
      <c r="DN173" s="47"/>
    </row>
    <row r="174" spans="5:118" hidden="1" x14ac:dyDescent="0.35">
      <c r="E174" s="111"/>
      <c r="F174" s="112"/>
      <c r="G174" s="112"/>
      <c r="H174" s="116"/>
      <c r="I174" s="116"/>
      <c r="J174" s="122"/>
      <c r="K174" s="38">
        <f t="shared" si="32"/>
        <v>0</v>
      </c>
      <c r="L174" s="38">
        <f t="shared" si="33"/>
        <v>0</v>
      </c>
      <c r="M174" s="39">
        <f t="shared" si="31"/>
        <v>0</v>
      </c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3"/>
      <c r="DM174" s="114"/>
      <c r="DN174" s="47"/>
    </row>
    <row r="175" spans="5:118" hidden="1" x14ac:dyDescent="0.35">
      <c r="E175" s="111"/>
      <c r="F175" s="112"/>
      <c r="G175" s="112"/>
      <c r="H175" s="116"/>
      <c r="I175" s="116"/>
      <c r="J175" s="122"/>
      <c r="K175" s="38">
        <f t="shared" si="32"/>
        <v>0</v>
      </c>
      <c r="L175" s="38">
        <f t="shared" si="33"/>
        <v>0</v>
      </c>
      <c r="M175" s="39">
        <f t="shared" si="31"/>
        <v>0</v>
      </c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3"/>
      <c r="DM175" s="114"/>
      <c r="DN175" s="47"/>
    </row>
    <row r="176" spans="5:118" hidden="1" x14ac:dyDescent="0.35">
      <c r="E176" s="111"/>
      <c r="F176" s="112"/>
      <c r="G176" s="112"/>
      <c r="H176" s="116"/>
      <c r="I176" s="116"/>
      <c r="J176" s="122"/>
      <c r="K176" s="38">
        <f t="shared" si="32"/>
        <v>0</v>
      </c>
      <c r="L176" s="38">
        <f t="shared" si="33"/>
        <v>0</v>
      </c>
      <c r="M176" s="39">
        <f t="shared" si="31"/>
        <v>0</v>
      </c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3"/>
      <c r="DM176" s="114"/>
      <c r="DN176" s="47"/>
    </row>
    <row r="177" spans="5:118" hidden="1" x14ac:dyDescent="0.35">
      <c r="E177" s="111"/>
      <c r="F177" s="112"/>
      <c r="G177" s="112"/>
      <c r="H177" s="116"/>
      <c r="I177" s="116"/>
      <c r="J177" s="122"/>
      <c r="K177" s="38">
        <f t="shared" si="32"/>
        <v>0</v>
      </c>
      <c r="L177" s="38">
        <f t="shared" si="33"/>
        <v>0</v>
      </c>
      <c r="M177" s="39">
        <f t="shared" si="31"/>
        <v>0</v>
      </c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3"/>
      <c r="DM177" s="114"/>
      <c r="DN177" s="47"/>
    </row>
    <row r="178" spans="5:118" hidden="1" x14ac:dyDescent="0.35">
      <c r="E178" s="111"/>
      <c r="F178" s="112"/>
      <c r="G178" s="112"/>
      <c r="H178" s="116"/>
      <c r="I178" s="116"/>
      <c r="J178" s="122"/>
      <c r="K178" s="38">
        <f t="shared" si="32"/>
        <v>0</v>
      </c>
      <c r="L178" s="38">
        <f t="shared" si="33"/>
        <v>0</v>
      </c>
      <c r="M178" s="39">
        <f t="shared" si="31"/>
        <v>0</v>
      </c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3"/>
      <c r="DM178" s="114"/>
      <c r="DN178" s="47"/>
    </row>
    <row r="179" spans="5:118" hidden="1" x14ac:dyDescent="0.35">
      <c r="E179" s="111"/>
      <c r="F179" s="112"/>
      <c r="G179" s="112"/>
      <c r="H179" s="116"/>
      <c r="I179" s="116"/>
      <c r="J179" s="122"/>
      <c r="K179" s="38">
        <f t="shared" si="32"/>
        <v>0</v>
      </c>
      <c r="L179" s="38">
        <f t="shared" si="33"/>
        <v>0</v>
      </c>
      <c r="M179" s="39">
        <f t="shared" si="31"/>
        <v>0</v>
      </c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3"/>
      <c r="DM179" s="114"/>
      <c r="DN179" s="47"/>
    </row>
    <row r="180" spans="5:118" hidden="1" x14ac:dyDescent="0.35">
      <c r="E180" s="111"/>
      <c r="F180" s="112"/>
      <c r="G180" s="112"/>
      <c r="H180" s="116"/>
      <c r="I180" s="116"/>
      <c r="J180" s="122"/>
      <c r="K180" s="38">
        <f t="shared" si="32"/>
        <v>0</v>
      </c>
      <c r="L180" s="38">
        <f t="shared" si="33"/>
        <v>0</v>
      </c>
      <c r="M180" s="39">
        <f t="shared" si="31"/>
        <v>0</v>
      </c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3"/>
      <c r="DM180" s="114"/>
      <c r="DN180" s="47"/>
    </row>
    <row r="181" spans="5:118" hidden="1" x14ac:dyDescent="0.35">
      <c r="E181" s="111"/>
      <c r="F181" s="112"/>
      <c r="G181" s="112"/>
      <c r="H181" s="116"/>
      <c r="I181" s="116"/>
      <c r="J181" s="122"/>
      <c r="K181" s="38">
        <f t="shared" si="32"/>
        <v>0</v>
      </c>
      <c r="L181" s="38">
        <f t="shared" si="33"/>
        <v>0</v>
      </c>
      <c r="M181" s="39">
        <f t="shared" si="31"/>
        <v>0</v>
      </c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3"/>
      <c r="DM181" s="114"/>
      <c r="DN181" s="47"/>
    </row>
    <row r="182" spans="5:118" hidden="1" x14ac:dyDescent="0.35">
      <c r="E182" s="111"/>
      <c r="F182" s="112"/>
      <c r="G182" s="112"/>
      <c r="H182" s="116"/>
      <c r="I182" s="116"/>
      <c r="J182" s="122"/>
      <c r="K182" s="38">
        <f t="shared" si="32"/>
        <v>0</v>
      </c>
      <c r="L182" s="38">
        <f t="shared" si="33"/>
        <v>0</v>
      </c>
      <c r="M182" s="39">
        <f t="shared" si="31"/>
        <v>0</v>
      </c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3"/>
      <c r="DM182" s="114"/>
      <c r="DN182" s="47"/>
    </row>
    <row r="183" spans="5:118" hidden="1" x14ac:dyDescent="0.35">
      <c r="E183" s="111"/>
      <c r="F183" s="112"/>
      <c r="G183" s="112"/>
      <c r="H183" s="116"/>
      <c r="I183" s="116"/>
      <c r="J183" s="122"/>
      <c r="K183" s="38">
        <f t="shared" si="32"/>
        <v>0</v>
      </c>
      <c r="L183" s="38">
        <f t="shared" si="33"/>
        <v>0</v>
      </c>
      <c r="M183" s="39">
        <f t="shared" si="31"/>
        <v>0</v>
      </c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3"/>
      <c r="DM183" s="114"/>
      <c r="DN183" s="47"/>
    </row>
    <row r="184" spans="5:118" hidden="1" x14ac:dyDescent="0.35">
      <c r="E184" s="111"/>
      <c r="F184" s="112"/>
      <c r="G184" s="112"/>
      <c r="H184" s="116"/>
      <c r="I184" s="116"/>
      <c r="J184" s="122"/>
      <c r="K184" s="38">
        <f t="shared" si="32"/>
        <v>0</v>
      </c>
      <c r="L184" s="38">
        <f t="shared" si="33"/>
        <v>0</v>
      </c>
      <c r="M184" s="39">
        <f t="shared" si="31"/>
        <v>0</v>
      </c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3"/>
      <c r="DM184" s="114"/>
      <c r="DN184" s="47"/>
    </row>
    <row r="185" spans="5:118" hidden="1" x14ac:dyDescent="0.35">
      <c r="E185" s="111"/>
      <c r="F185" s="112"/>
      <c r="G185" s="112"/>
      <c r="H185" s="116"/>
      <c r="I185" s="116"/>
      <c r="J185" s="122"/>
      <c r="K185" s="38">
        <f t="shared" si="32"/>
        <v>0</v>
      </c>
      <c r="L185" s="38">
        <f t="shared" si="33"/>
        <v>0</v>
      </c>
      <c r="M185" s="39">
        <f t="shared" si="31"/>
        <v>0</v>
      </c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3"/>
      <c r="DM185" s="114"/>
      <c r="DN185" s="47"/>
    </row>
    <row r="186" spans="5:118" hidden="1" x14ac:dyDescent="0.35">
      <c r="E186" s="111"/>
      <c r="F186" s="112"/>
      <c r="G186" s="112"/>
      <c r="H186" s="116"/>
      <c r="I186" s="116"/>
      <c r="J186" s="122"/>
      <c r="K186" s="38">
        <f t="shared" si="32"/>
        <v>0</v>
      </c>
      <c r="L186" s="38">
        <f t="shared" si="33"/>
        <v>0</v>
      </c>
      <c r="M186" s="39">
        <f t="shared" si="31"/>
        <v>0</v>
      </c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  <c r="AB186" s="113"/>
      <c r="AC186" s="113"/>
      <c r="AD186" s="113"/>
      <c r="AE186" s="113"/>
      <c r="AF186" s="113"/>
      <c r="AG186" s="113"/>
      <c r="AH186" s="113"/>
      <c r="AI186" s="113"/>
      <c r="AJ186" s="113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  <c r="AU186" s="113"/>
      <c r="AV186" s="113"/>
      <c r="AW186" s="113"/>
      <c r="AX186" s="113"/>
      <c r="AY186" s="113"/>
      <c r="AZ186" s="113"/>
      <c r="BA186" s="113"/>
      <c r="BB186" s="113"/>
      <c r="BC186" s="113"/>
      <c r="BD186" s="113"/>
      <c r="BE186" s="113"/>
      <c r="BF186" s="113"/>
      <c r="BG186" s="113"/>
      <c r="BH186" s="113"/>
      <c r="BI186" s="113"/>
      <c r="BJ186" s="113"/>
      <c r="BK186" s="113"/>
      <c r="BL186" s="113"/>
      <c r="BM186" s="113"/>
      <c r="BN186" s="113"/>
      <c r="BO186" s="113"/>
      <c r="BP186" s="113"/>
      <c r="BQ186" s="113"/>
      <c r="BR186" s="113"/>
      <c r="BS186" s="113"/>
      <c r="BT186" s="113"/>
      <c r="BU186" s="113"/>
      <c r="BV186" s="113"/>
      <c r="BW186" s="113"/>
      <c r="BX186" s="113"/>
      <c r="BY186" s="113"/>
      <c r="BZ186" s="113"/>
      <c r="CA186" s="113"/>
      <c r="CB186" s="113"/>
      <c r="CC186" s="113"/>
      <c r="CD186" s="113"/>
      <c r="CE186" s="113"/>
      <c r="CF186" s="113"/>
      <c r="CG186" s="113"/>
      <c r="CH186" s="113"/>
      <c r="CI186" s="113"/>
      <c r="CJ186" s="113"/>
      <c r="CK186" s="113"/>
      <c r="CL186" s="113"/>
      <c r="CM186" s="113"/>
      <c r="CN186" s="113"/>
      <c r="CO186" s="113"/>
      <c r="CP186" s="113"/>
      <c r="CQ186" s="113"/>
      <c r="CR186" s="113"/>
      <c r="CS186" s="113"/>
      <c r="CT186" s="113"/>
      <c r="CU186" s="113"/>
      <c r="CV186" s="113"/>
      <c r="CW186" s="113"/>
      <c r="CX186" s="113"/>
      <c r="CY186" s="113"/>
      <c r="CZ186" s="113"/>
      <c r="DA186" s="113"/>
      <c r="DB186" s="113"/>
      <c r="DC186" s="113"/>
      <c r="DD186" s="113"/>
      <c r="DE186" s="113"/>
      <c r="DF186" s="113"/>
      <c r="DG186" s="113"/>
      <c r="DH186" s="113"/>
      <c r="DI186" s="113"/>
      <c r="DJ186" s="113"/>
      <c r="DK186" s="113"/>
      <c r="DL186" s="113"/>
      <c r="DM186" s="114"/>
      <c r="DN186" s="47"/>
    </row>
    <row r="187" spans="5:118" hidden="1" x14ac:dyDescent="0.35">
      <c r="E187" s="111"/>
      <c r="F187" s="112"/>
      <c r="G187" s="112"/>
      <c r="H187" s="116"/>
      <c r="I187" s="116"/>
      <c r="J187" s="122"/>
      <c r="K187" s="38">
        <f t="shared" si="32"/>
        <v>0</v>
      </c>
      <c r="L187" s="38">
        <f t="shared" si="33"/>
        <v>0</v>
      </c>
      <c r="M187" s="39">
        <f t="shared" si="31"/>
        <v>0</v>
      </c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  <c r="AH187" s="113"/>
      <c r="AI187" s="113"/>
      <c r="AJ187" s="113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  <c r="AU187" s="113"/>
      <c r="AV187" s="113"/>
      <c r="AW187" s="113"/>
      <c r="AX187" s="113"/>
      <c r="AY187" s="113"/>
      <c r="AZ187" s="113"/>
      <c r="BA187" s="113"/>
      <c r="BB187" s="113"/>
      <c r="BC187" s="113"/>
      <c r="BD187" s="113"/>
      <c r="BE187" s="113"/>
      <c r="BF187" s="113"/>
      <c r="BG187" s="113"/>
      <c r="BH187" s="113"/>
      <c r="BI187" s="113"/>
      <c r="BJ187" s="113"/>
      <c r="BK187" s="113"/>
      <c r="BL187" s="113"/>
      <c r="BM187" s="113"/>
      <c r="BN187" s="113"/>
      <c r="BO187" s="113"/>
      <c r="BP187" s="113"/>
      <c r="BQ187" s="113"/>
      <c r="BR187" s="113"/>
      <c r="BS187" s="113"/>
      <c r="BT187" s="113"/>
      <c r="BU187" s="113"/>
      <c r="BV187" s="113"/>
      <c r="BW187" s="113"/>
      <c r="BX187" s="113"/>
      <c r="BY187" s="113"/>
      <c r="BZ187" s="113"/>
      <c r="CA187" s="113"/>
      <c r="CB187" s="113"/>
      <c r="CC187" s="113"/>
      <c r="CD187" s="113"/>
      <c r="CE187" s="113"/>
      <c r="CF187" s="113"/>
      <c r="CG187" s="113"/>
      <c r="CH187" s="113"/>
      <c r="CI187" s="113"/>
      <c r="CJ187" s="113"/>
      <c r="CK187" s="113"/>
      <c r="CL187" s="113"/>
      <c r="CM187" s="113"/>
      <c r="CN187" s="113"/>
      <c r="CO187" s="113"/>
      <c r="CP187" s="113"/>
      <c r="CQ187" s="113"/>
      <c r="CR187" s="113"/>
      <c r="CS187" s="113"/>
      <c r="CT187" s="113"/>
      <c r="CU187" s="113"/>
      <c r="CV187" s="113"/>
      <c r="CW187" s="113"/>
      <c r="CX187" s="113"/>
      <c r="CY187" s="113"/>
      <c r="CZ187" s="113"/>
      <c r="DA187" s="113"/>
      <c r="DB187" s="113"/>
      <c r="DC187" s="113"/>
      <c r="DD187" s="113"/>
      <c r="DE187" s="113"/>
      <c r="DF187" s="113"/>
      <c r="DG187" s="113"/>
      <c r="DH187" s="113"/>
      <c r="DI187" s="113"/>
      <c r="DJ187" s="113"/>
      <c r="DK187" s="113"/>
      <c r="DL187" s="113"/>
      <c r="DM187" s="114"/>
      <c r="DN187" s="47"/>
    </row>
    <row r="188" spans="5:118" ht="15" thickBot="1" x14ac:dyDescent="0.4">
      <c r="E188" s="3" t="s">
        <v>315</v>
      </c>
      <c r="F188" s="41"/>
      <c r="G188" s="41"/>
      <c r="H188" s="41"/>
      <c r="I188" s="8"/>
      <c r="J188" s="8" t="s">
        <v>150</v>
      </c>
      <c r="K188" s="98">
        <f>SUM(K158:K187)</f>
        <v>0</v>
      </c>
      <c r="L188" s="98">
        <f>SUM(L158:L187)</f>
        <v>0</v>
      </c>
      <c r="M188" s="99">
        <f>SUM(M158:M187)</f>
        <v>0</v>
      </c>
      <c r="N188" s="4">
        <f>SUM(N158:N187)</f>
        <v>0</v>
      </c>
      <c r="O188" s="4">
        <f t="shared" ref="O188:BZ188" si="34">SUM(O158:O187)</f>
        <v>0</v>
      </c>
      <c r="P188" s="4">
        <f t="shared" si="34"/>
        <v>0</v>
      </c>
      <c r="Q188" s="4">
        <f t="shared" si="34"/>
        <v>0</v>
      </c>
      <c r="R188" s="4">
        <f t="shared" si="34"/>
        <v>0</v>
      </c>
      <c r="S188" s="4">
        <f t="shared" si="34"/>
        <v>0</v>
      </c>
      <c r="T188" s="4">
        <f t="shared" si="34"/>
        <v>0</v>
      </c>
      <c r="U188" s="4">
        <f t="shared" si="34"/>
        <v>0</v>
      </c>
      <c r="V188" s="4">
        <f t="shared" si="34"/>
        <v>0</v>
      </c>
      <c r="W188" s="4">
        <f t="shared" si="34"/>
        <v>0</v>
      </c>
      <c r="X188" s="4">
        <f t="shared" si="34"/>
        <v>0</v>
      </c>
      <c r="Y188" s="4">
        <f t="shared" si="34"/>
        <v>0</v>
      </c>
      <c r="Z188" s="4">
        <f t="shared" si="34"/>
        <v>0</v>
      </c>
      <c r="AA188" s="4">
        <f t="shared" si="34"/>
        <v>0</v>
      </c>
      <c r="AB188" s="4">
        <f t="shared" si="34"/>
        <v>0</v>
      </c>
      <c r="AC188" s="4">
        <f t="shared" si="34"/>
        <v>0</v>
      </c>
      <c r="AD188" s="4">
        <f t="shared" si="34"/>
        <v>0</v>
      </c>
      <c r="AE188" s="4">
        <f t="shared" si="34"/>
        <v>0</v>
      </c>
      <c r="AF188" s="4">
        <f t="shared" si="34"/>
        <v>0</v>
      </c>
      <c r="AG188" s="4">
        <f t="shared" si="34"/>
        <v>0</v>
      </c>
      <c r="AH188" s="4">
        <f t="shared" si="34"/>
        <v>0</v>
      </c>
      <c r="AI188" s="4">
        <f t="shared" si="34"/>
        <v>0</v>
      </c>
      <c r="AJ188" s="4">
        <f t="shared" si="34"/>
        <v>0</v>
      </c>
      <c r="AK188" s="4">
        <f t="shared" si="34"/>
        <v>0</v>
      </c>
      <c r="AL188" s="4">
        <f t="shared" si="34"/>
        <v>0</v>
      </c>
      <c r="AM188" s="4">
        <f t="shared" si="34"/>
        <v>0</v>
      </c>
      <c r="AN188" s="4">
        <f t="shared" si="34"/>
        <v>0</v>
      </c>
      <c r="AO188" s="4">
        <f t="shared" si="34"/>
        <v>0</v>
      </c>
      <c r="AP188" s="4">
        <f t="shared" si="34"/>
        <v>0</v>
      </c>
      <c r="AQ188" s="4">
        <f t="shared" si="34"/>
        <v>0</v>
      </c>
      <c r="AR188" s="4">
        <f t="shared" si="34"/>
        <v>0</v>
      </c>
      <c r="AS188" s="4">
        <f t="shared" si="34"/>
        <v>0</v>
      </c>
      <c r="AT188" s="4">
        <f t="shared" si="34"/>
        <v>0</v>
      </c>
      <c r="AU188" s="4">
        <f t="shared" si="34"/>
        <v>0</v>
      </c>
      <c r="AV188" s="4">
        <f t="shared" si="34"/>
        <v>0</v>
      </c>
      <c r="AW188" s="4">
        <f t="shared" si="34"/>
        <v>0</v>
      </c>
      <c r="AX188" s="4">
        <f t="shared" si="34"/>
        <v>0</v>
      </c>
      <c r="AY188" s="4">
        <f t="shared" si="34"/>
        <v>0</v>
      </c>
      <c r="AZ188" s="4">
        <f t="shared" si="34"/>
        <v>0</v>
      </c>
      <c r="BA188" s="4">
        <f t="shared" si="34"/>
        <v>0</v>
      </c>
      <c r="BB188" s="4">
        <f t="shared" si="34"/>
        <v>0</v>
      </c>
      <c r="BC188" s="4">
        <f t="shared" si="34"/>
        <v>0</v>
      </c>
      <c r="BD188" s="4">
        <f t="shared" si="34"/>
        <v>0</v>
      </c>
      <c r="BE188" s="4">
        <f t="shared" si="34"/>
        <v>0</v>
      </c>
      <c r="BF188" s="4">
        <f t="shared" si="34"/>
        <v>0</v>
      </c>
      <c r="BG188" s="4">
        <f t="shared" si="34"/>
        <v>0</v>
      </c>
      <c r="BH188" s="4">
        <f t="shared" si="34"/>
        <v>0</v>
      </c>
      <c r="BI188" s="4">
        <f t="shared" si="34"/>
        <v>0</v>
      </c>
      <c r="BJ188" s="4">
        <f t="shared" si="34"/>
        <v>0</v>
      </c>
      <c r="BK188" s="4">
        <f t="shared" si="34"/>
        <v>0</v>
      </c>
      <c r="BL188" s="4">
        <f t="shared" si="34"/>
        <v>0</v>
      </c>
      <c r="BM188" s="4">
        <f t="shared" si="34"/>
        <v>0</v>
      </c>
      <c r="BN188" s="4">
        <f t="shared" si="34"/>
        <v>0</v>
      </c>
      <c r="BO188" s="4">
        <f t="shared" si="34"/>
        <v>0</v>
      </c>
      <c r="BP188" s="4">
        <f t="shared" si="34"/>
        <v>0</v>
      </c>
      <c r="BQ188" s="4">
        <f t="shared" si="34"/>
        <v>0</v>
      </c>
      <c r="BR188" s="4">
        <f t="shared" si="34"/>
        <v>0</v>
      </c>
      <c r="BS188" s="4">
        <f t="shared" si="34"/>
        <v>0</v>
      </c>
      <c r="BT188" s="4">
        <f t="shared" si="34"/>
        <v>0</v>
      </c>
      <c r="BU188" s="4">
        <f t="shared" si="34"/>
        <v>0</v>
      </c>
      <c r="BV188" s="4">
        <f t="shared" si="34"/>
        <v>0</v>
      </c>
      <c r="BW188" s="4">
        <f t="shared" si="34"/>
        <v>0</v>
      </c>
      <c r="BX188" s="4">
        <f t="shared" si="34"/>
        <v>0</v>
      </c>
      <c r="BY188" s="4">
        <f t="shared" si="34"/>
        <v>0</v>
      </c>
      <c r="BZ188" s="4">
        <f t="shared" si="34"/>
        <v>0</v>
      </c>
      <c r="CA188" s="4">
        <f t="shared" ref="CA188:DM188" si="35">SUM(CA158:CA187)</f>
        <v>0</v>
      </c>
      <c r="CB188" s="4">
        <f t="shared" si="35"/>
        <v>0</v>
      </c>
      <c r="CC188" s="4">
        <f t="shared" si="35"/>
        <v>0</v>
      </c>
      <c r="CD188" s="4">
        <f t="shared" si="35"/>
        <v>0</v>
      </c>
      <c r="CE188" s="4">
        <f t="shared" si="35"/>
        <v>0</v>
      </c>
      <c r="CF188" s="4">
        <f t="shared" si="35"/>
        <v>0</v>
      </c>
      <c r="CG188" s="4">
        <f t="shared" si="35"/>
        <v>0</v>
      </c>
      <c r="CH188" s="4">
        <f t="shared" si="35"/>
        <v>0</v>
      </c>
      <c r="CI188" s="4">
        <f t="shared" si="35"/>
        <v>0</v>
      </c>
      <c r="CJ188" s="4">
        <f t="shared" si="35"/>
        <v>0</v>
      </c>
      <c r="CK188" s="4">
        <f t="shared" si="35"/>
        <v>0</v>
      </c>
      <c r="CL188" s="4">
        <f t="shared" si="35"/>
        <v>0</v>
      </c>
      <c r="CM188" s="4">
        <f t="shared" si="35"/>
        <v>0</v>
      </c>
      <c r="CN188" s="4">
        <f t="shared" si="35"/>
        <v>0</v>
      </c>
      <c r="CO188" s="4">
        <f t="shared" si="35"/>
        <v>0</v>
      </c>
      <c r="CP188" s="4">
        <f t="shared" si="35"/>
        <v>0</v>
      </c>
      <c r="CQ188" s="4">
        <f t="shared" si="35"/>
        <v>0</v>
      </c>
      <c r="CR188" s="4">
        <f t="shared" si="35"/>
        <v>0</v>
      </c>
      <c r="CS188" s="4">
        <f t="shared" si="35"/>
        <v>0</v>
      </c>
      <c r="CT188" s="4">
        <f t="shared" si="35"/>
        <v>0</v>
      </c>
      <c r="CU188" s="4">
        <f t="shared" si="35"/>
        <v>0</v>
      </c>
      <c r="CV188" s="4">
        <f t="shared" si="35"/>
        <v>0</v>
      </c>
      <c r="CW188" s="4">
        <f t="shared" si="35"/>
        <v>0</v>
      </c>
      <c r="CX188" s="4">
        <f t="shared" si="35"/>
        <v>0</v>
      </c>
      <c r="CY188" s="4">
        <f t="shared" si="35"/>
        <v>0</v>
      </c>
      <c r="CZ188" s="4">
        <f t="shared" si="35"/>
        <v>0</v>
      </c>
      <c r="DA188" s="4">
        <f t="shared" si="35"/>
        <v>0</v>
      </c>
      <c r="DB188" s="4">
        <f t="shared" si="35"/>
        <v>0</v>
      </c>
      <c r="DC188" s="4">
        <f t="shared" si="35"/>
        <v>0</v>
      </c>
      <c r="DD188" s="4">
        <f t="shared" si="35"/>
        <v>0</v>
      </c>
      <c r="DE188" s="4">
        <f t="shared" si="35"/>
        <v>0</v>
      </c>
      <c r="DF188" s="4">
        <f t="shared" si="35"/>
        <v>0</v>
      </c>
      <c r="DG188" s="4">
        <f t="shared" si="35"/>
        <v>0</v>
      </c>
      <c r="DH188" s="4">
        <f t="shared" si="35"/>
        <v>0</v>
      </c>
      <c r="DI188" s="4">
        <f t="shared" si="35"/>
        <v>0</v>
      </c>
      <c r="DJ188" s="4">
        <f t="shared" si="35"/>
        <v>0</v>
      </c>
      <c r="DK188" s="4">
        <f t="shared" si="35"/>
        <v>0</v>
      </c>
      <c r="DL188" s="4">
        <f t="shared" si="35"/>
        <v>0</v>
      </c>
      <c r="DM188" s="4">
        <f t="shared" si="35"/>
        <v>0</v>
      </c>
      <c r="DN188" s="47"/>
    </row>
    <row r="189" spans="5:118" ht="15" thickBot="1" x14ac:dyDescent="0.4"/>
    <row r="190" spans="5:118" ht="15" thickBot="1" x14ac:dyDescent="0.4">
      <c r="K190" s="48"/>
      <c r="L190" s="49" t="s">
        <v>272</v>
      </c>
      <c r="M190" s="50" t="s">
        <v>34</v>
      </c>
      <c r="N190" s="51" t="s">
        <v>35</v>
      </c>
      <c r="O190" s="51" t="s">
        <v>36</v>
      </c>
      <c r="P190" s="51" t="s">
        <v>37</v>
      </c>
      <c r="Q190" s="51" t="s">
        <v>38</v>
      </c>
      <c r="R190" s="51" t="s">
        <v>39</v>
      </c>
      <c r="S190" s="51" t="s">
        <v>40</v>
      </c>
      <c r="T190" s="51" t="s">
        <v>41</v>
      </c>
      <c r="U190" s="51" t="s">
        <v>42</v>
      </c>
      <c r="V190" s="51" t="s">
        <v>43</v>
      </c>
      <c r="W190" s="51" t="s">
        <v>44</v>
      </c>
      <c r="X190" s="51" t="s">
        <v>45</v>
      </c>
      <c r="Y190" s="51" t="s">
        <v>46</v>
      </c>
      <c r="Z190" s="51" t="s">
        <v>47</v>
      </c>
      <c r="AA190" s="51" t="s">
        <v>48</v>
      </c>
      <c r="AB190" s="51" t="s">
        <v>49</v>
      </c>
      <c r="AC190" s="51" t="s">
        <v>50</v>
      </c>
      <c r="AD190" s="51" t="s">
        <v>51</v>
      </c>
      <c r="AE190" s="51" t="s">
        <v>52</v>
      </c>
      <c r="AF190" s="51" t="s">
        <v>53</v>
      </c>
      <c r="AG190" s="51" t="s">
        <v>54</v>
      </c>
      <c r="AH190" s="51" t="s">
        <v>55</v>
      </c>
      <c r="AI190" s="51" t="s">
        <v>56</v>
      </c>
      <c r="AJ190" s="51" t="s">
        <v>57</v>
      </c>
      <c r="AK190" s="51" t="s">
        <v>58</v>
      </c>
      <c r="AL190" s="51" t="s">
        <v>59</v>
      </c>
      <c r="AM190" s="51" t="s">
        <v>60</v>
      </c>
      <c r="AN190" s="51" t="s">
        <v>61</v>
      </c>
      <c r="AO190" s="51" t="s">
        <v>62</v>
      </c>
      <c r="AP190" s="51" t="s">
        <v>63</v>
      </c>
      <c r="AQ190" s="51" t="s">
        <v>64</v>
      </c>
      <c r="AR190" s="51" t="s">
        <v>65</v>
      </c>
      <c r="AS190" s="51" t="s">
        <v>66</v>
      </c>
      <c r="AT190" s="51" t="s">
        <v>67</v>
      </c>
      <c r="AU190" s="51" t="s">
        <v>68</v>
      </c>
      <c r="AV190" s="51" t="s">
        <v>69</v>
      </c>
      <c r="AW190" s="51" t="s">
        <v>70</v>
      </c>
      <c r="AX190" s="51" t="s">
        <v>71</v>
      </c>
      <c r="AY190" s="51" t="s">
        <v>72</v>
      </c>
      <c r="AZ190" s="51" t="s">
        <v>73</v>
      </c>
      <c r="BA190" s="51" t="s">
        <v>74</v>
      </c>
      <c r="BB190" s="51" t="s">
        <v>75</v>
      </c>
      <c r="BC190" s="51" t="s">
        <v>76</v>
      </c>
      <c r="BD190" s="51" t="s">
        <v>77</v>
      </c>
      <c r="BE190" s="51" t="s">
        <v>78</v>
      </c>
      <c r="BF190" s="51" t="s">
        <v>79</v>
      </c>
      <c r="BG190" s="51" t="s">
        <v>80</v>
      </c>
      <c r="BH190" s="51" t="s">
        <v>81</v>
      </c>
      <c r="BI190" s="51" t="s">
        <v>82</v>
      </c>
      <c r="BJ190" s="51" t="s">
        <v>83</v>
      </c>
      <c r="BK190" s="51" t="s">
        <v>84</v>
      </c>
      <c r="BL190" s="51" t="s">
        <v>85</v>
      </c>
      <c r="BM190" s="51" t="s">
        <v>86</v>
      </c>
      <c r="BN190" s="51" t="s">
        <v>87</v>
      </c>
      <c r="BO190" s="51" t="s">
        <v>88</v>
      </c>
      <c r="BP190" s="51" t="s">
        <v>89</v>
      </c>
      <c r="BQ190" s="51" t="s">
        <v>90</v>
      </c>
      <c r="BR190" s="51" t="s">
        <v>91</v>
      </c>
      <c r="BS190" s="51" t="s">
        <v>92</v>
      </c>
      <c r="BT190" s="51" t="s">
        <v>93</v>
      </c>
      <c r="BU190" s="51" t="s">
        <v>94</v>
      </c>
      <c r="BV190" s="51" t="s">
        <v>95</v>
      </c>
      <c r="BW190" s="51" t="s">
        <v>96</v>
      </c>
      <c r="BX190" s="51" t="s">
        <v>97</v>
      </c>
      <c r="BY190" s="51" t="s">
        <v>98</v>
      </c>
      <c r="BZ190" s="51" t="s">
        <v>99</v>
      </c>
      <c r="CA190" s="51" t="s">
        <v>100</v>
      </c>
      <c r="CB190" s="51" t="s">
        <v>101</v>
      </c>
      <c r="CC190" s="51" t="s">
        <v>102</v>
      </c>
      <c r="CD190" s="51" t="s">
        <v>103</v>
      </c>
      <c r="CE190" s="51" t="s">
        <v>104</v>
      </c>
      <c r="CF190" s="51" t="s">
        <v>105</v>
      </c>
      <c r="CG190" s="51" t="s">
        <v>106</v>
      </c>
      <c r="CH190" s="51" t="s">
        <v>107</v>
      </c>
      <c r="CI190" s="51" t="s">
        <v>108</v>
      </c>
      <c r="CJ190" s="51" t="s">
        <v>109</v>
      </c>
      <c r="CK190" s="51" t="s">
        <v>110</v>
      </c>
      <c r="CL190" s="51" t="s">
        <v>111</v>
      </c>
      <c r="CM190" s="51" t="s">
        <v>112</v>
      </c>
      <c r="CN190" s="51" t="s">
        <v>113</v>
      </c>
      <c r="CO190" s="51" t="s">
        <v>114</v>
      </c>
      <c r="CP190" s="51" t="s">
        <v>115</v>
      </c>
      <c r="CQ190" s="51" t="s">
        <v>116</v>
      </c>
      <c r="CR190" s="51" t="s">
        <v>117</v>
      </c>
      <c r="CS190" s="51" t="s">
        <v>118</v>
      </c>
      <c r="CT190" s="51" t="s">
        <v>119</v>
      </c>
      <c r="CU190" s="51" t="s">
        <v>120</v>
      </c>
      <c r="CV190" s="51" t="s">
        <v>121</v>
      </c>
      <c r="CW190" s="51" t="s">
        <v>122</v>
      </c>
      <c r="CX190" s="51" t="s">
        <v>123</v>
      </c>
      <c r="CY190" s="51" t="s">
        <v>124</v>
      </c>
      <c r="CZ190" s="51" t="s">
        <v>125</v>
      </c>
      <c r="DA190" s="51" t="s">
        <v>126</v>
      </c>
      <c r="DB190" s="51" t="s">
        <v>127</v>
      </c>
      <c r="DC190" s="51" t="s">
        <v>128</v>
      </c>
      <c r="DD190" s="51" t="s">
        <v>129</v>
      </c>
      <c r="DE190" s="51" t="s">
        <v>130</v>
      </c>
      <c r="DF190" s="51" t="s">
        <v>131</v>
      </c>
      <c r="DG190" s="51" t="s">
        <v>132</v>
      </c>
      <c r="DH190" s="51" t="s">
        <v>133</v>
      </c>
      <c r="DI190" s="51" t="s">
        <v>134</v>
      </c>
      <c r="DJ190" s="51" t="s">
        <v>135</v>
      </c>
      <c r="DK190" s="51" t="s">
        <v>136</v>
      </c>
      <c r="DL190" s="51" t="s">
        <v>137</v>
      </c>
      <c r="DM190" s="52" t="s">
        <v>138</v>
      </c>
    </row>
    <row r="191" spans="5:118" x14ac:dyDescent="0.35">
      <c r="K191" s="7" t="s">
        <v>144</v>
      </c>
      <c r="L191" s="53">
        <f>SUM(L188,L154,L70)</f>
        <v>581532</v>
      </c>
      <c r="M191" s="39">
        <f>SUM(M188,M154,M70)</f>
        <v>168</v>
      </c>
      <c r="N191" s="5">
        <f>SUM(N188,N154,N70)</f>
        <v>32</v>
      </c>
      <c r="O191" s="5">
        <f t="shared" ref="O191:BZ191" si="36">SUM(O188,O154,O70)</f>
        <v>40</v>
      </c>
      <c r="P191" s="5">
        <f t="shared" si="36"/>
        <v>40</v>
      </c>
      <c r="Q191" s="5">
        <f t="shared" si="36"/>
        <v>40</v>
      </c>
      <c r="R191" s="5">
        <f t="shared" si="36"/>
        <v>16</v>
      </c>
      <c r="S191" s="5">
        <f t="shared" si="36"/>
        <v>0</v>
      </c>
      <c r="T191" s="5">
        <f t="shared" si="36"/>
        <v>0</v>
      </c>
      <c r="U191" s="5">
        <f t="shared" si="36"/>
        <v>0</v>
      </c>
      <c r="V191" s="5">
        <f t="shared" si="36"/>
        <v>0</v>
      </c>
      <c r="W191" s="5">
        <f t="shared" si="36"/>
        <v>0</v>
      </c>
      <c r="X191" s="5">
        <f t="shared" si="36"/>
        <v>0</v>
      </c>
      <c r="Y191" s="5">
        <f t="shared" si="36"/>
        <v>0</v>
      </c>
      <c r="Z191" s="5">
        <f t="shared" si="36"/>
        <v>0</v>
      </c>
      <c r="AA191" s="5">
        <f t="shared" si="36"/>
        <v>0</v>
      </c>
      <c r="AB191" s="5">
        <f t="shared" si="36"/>
        <v>0</v>
      </c>
      <c r="AC191" s="5">
        <f t="shared" si="36"/>
        <v>0</v>
      </c>
      <c r="AD191" s="5">
        <f t="shared" si="36"/>
        <v>0</v>
      </c>
      <c r="AE191" s="5">
        <f t="shared" si="36"/>
        <v>0</v>
      </c>
      <c r="AF191" s="5">
        <f t="shared" si="36"/>
        <v>0</v>
      </c>
      <c r="AG191" s="5">
        <f t="shared" si="36"/>
        <v>0</v>
      </c>
      <c r="AH191" s="5">
        <f t="shared" si="36"/>
        <v>0</v>
      </c>
      <c r="AI191" s="5">
        <f t="shared" si="36"/>
        <v>0</v>
      </c>
      <c r="AJ191" s="5">
        <f t="shared" si="36"/>
        <v>0</v>
      </c>
      <c r="AK191" s="5">
        <f t="shared" si="36"/>
        <v>0</v>
      </c>
      <c r="AL191" s="5">
        <f t="shared" si="36"/>
        <v>0</v>
      </c>
      <c r="AM191" s="5">
        <f t="shared" si="36"/>
        <v>0</v>
      </c>
      <c r="AN191" s="5">
        <f t="shared" si="36"/>
        <v>0</v>
      </c>
      <c r="AO191" s="5">
        <f t="shared" si="36"/>
        <v>0</v>
      </c>
      <c r="AP191" s="5">
        <f t="shared" si="36"/>
        <v>0</v>
      </c>
      <c r="AQ191" s="5">
        <f t="shared" si="36"/>
        <v>0</v>
      </c>
      <c r="AR191" s="5">
        <f t="shared" si="36"/>
        <v>0</v>
      </c>
      <c r="AS191" s="5">
        <f t="shared" si="36"/>
        <v>0</v>
      </c>
      <c r="AT191" s="5">
        <f t="shared" si="36"/>
        <v>0</v>
      </c>
      <c r="AU191" s="5">
        <f t="shared" si="36"/>
        <v>0</v>
      </c>
      <c r="AV191" s="5">
        <f t="shared" si="36"/>
        <v>0</v>
      </c>
      <c r="AW191" s="5">
        <f t="shared" si="36"/>
        <v>0</v>
      </c>
      <c r="AX191" s="5">
        <f t="shared" si="36"/>
        <v>0</v>
      </c>
      <c r="AY191" s="5">
        <f t="shared" si="36"/>
        <v>0</v>
      </c>
      <c r="AZ191" s="5">
        <f t="shared" si="36"/>
        <v>0</v>
      </c>
      <c r="BA191" s="5">
        <f t="shared" si="36"/>
        <v>0</v>
      </c>
      <c r="BB191" s="5">
        <f t="shared" si="36"/>
        <v>0</v>
      </c>
      <c r="BC191" s="5">
        <f t="shared" si="36"/>
        <v>0</v>
      </c>
      <c r="BD191" s="5">
        <f t="shared" si="36"/>
        <v>0</v>
      </c>
      <c r="BE191" s="5">
        <f t="shared" si="36"/>
        <v>0</v>
      </c>
      <c r="BF191" s="5">
        <f t="shared" si="36"/>
        <v>0</v>
      </c>
      <c r="BG191" s="5">
        <f t="shared" si="36"/>
        <v>0</v>
      </c>
      <c r="BH191" s="5">
        <f t="shared" si="36"/>
        <v>0</v>
      </c>
      <c r="BI191" s="5">
        <f t="shared" si="36"/>
        <v>0</v>
      </c>
      <c r="BJ191" s="5">
        <f t="shared" si="36"/>
        <v>0</v>
      </c>
      <c r="BK191" s="5">
        <f t="shared" si="36"/>
        <v>0</v>
      </c>
      <c r="BL191" s="5">
        <f t="shared" si="36"/>
        <v>0</v>
      </c>
      <c r="BM191" s="5">
        <f t="shared" si="36"/>
        <v>0</v>
      </c>
      <c r="BN191" s="5">
        <f t="shared" si="36"/>
        <v>0</v>
      </c>
      <c r="BO191" s="5">
        <f t="shared" si="36"/>
        <v>0</v>
      </c>
      <c r="BP191" s="5">
        <f t="shared" si="36"/>
        <v>0</v>
      </c>
      <c r="BQ191" s="5">
        <f t="shared" si="36"/>
        <v>0</v>
      </c>
      <c r="BR191" s="5">
        <f t="shared" si="36"/>
        <v>0</v>
      </c>
      <c r="BS191" s="5">
        <f t="shared" si="36"/>
        <v>0</v>
      </c>
      <c r="BT191" s="5">
        <f t="shared" si="36"/>
        <v>0</v>
      </c>
      <c r="BU191" s="5">
        <f t="shared" si="36"/>
        <v>0</v>
      </c>
      <c r="BV191" s="5">
        <f t="shared" si="36"/>
        <v>0</v>
      </c>
      <c r="BW191" s="5">
        <f t="shared" si="36"/>
        <v>0</v>
      </c>
      <c r="BX191" s="5">
        <f t="shared" si="36"/>
        <v>0</v>
      </c>
      <c r="BY191" s="5">
        <f t="shared" si="36"/>
        <v>0</v>
      </c>
      <c r="BZ191" s="5">
        <f t="shared" si="36"/>
        <v>0</v>
      </c>
      <c r="CA191" s="5">
        <f t="shared" ref="CA191:DM191" si="37">SUM(CA188,CA154,CA70)</f>
        <v>0</v>
      </c>
      <c r="CB191" s="5">
        <f t="shared" si="37"/>
        <v>0</v>
      </c>
      <c r="CC191" s="5">
        <f t="shared" si="37"/>
        <v>0</v>
      </c>
      <c r="CD191" s="5">
        <f t="shared" si="37"/>
        <v>0</v>
      </c>
      <c r="CE191" s="5">
        <f t="shared" si="37"/>
        <v>0</v>
      </c>
      <c r="CF191" s="5">
        <f t="shared" si="37"/>
        <v>0</v>
      </c>
      <c r="CG191" s="5">
        <f t="shared" si="37"/>
        <v>0</v>
      </c>
      <c r="CH191" s="5">
        <f t="shared" si="37"/>
        <v>0</v>
      </c>
      <c r="CI191" s="5">
        <f t="shared" si="37"/>
        <v>0</v>
      </c>
      <c r="CJ191" s="5">
        <f t="shared" si="37"/>
        <v>0</v>
      </c>
      <c r="CK191" s="5">
        <f t="shared" si="37"/>
        <v>0</v>
      </c>
      <c r="CL191" s="5">
        <f t="shared" si="37"/>
        <v>0</v>
      </c>
      <c r="CM191" s="5">
        <f t="shared" si="37"/>
        <v>0</v>
      </c>
      <c r="CN191" s="5">
        <f t="shared" si="37"/>
        <v>0</v>
      </c>
      <c r="CO191" s="5">
        <f t="shared" si="37"/>
        <v>0</v>
      </c>
      <c r="CP191" s="5">
        <f t="shared" si="37"/>
        <v>0</v>
      </c>
      <c r="CQ191" s="5">
        <f t="shared" si="37"/>
        <v>0</v>
      </c>
      <c r="CR191" s="5">
        <f t="shared" si="37"/>
        <v>0</v>
      </c>
      <c r="CS191" s="5">
        <f t="shared" si="37"/>
        <v>0</v>
      </c>
      <c r="CT191" s="5">
        <f t="shared" si="37"/>
        <v>0</v>
      </c>
      <c r="CU191" s="5">
        <f t="shared" si="37"/>
        <v>0</v>
      </c>
      <c r="CV191" s="5">
        <f t="shared" si="37"/>
        <v>0</v>
      </c>
      <c r="CW191" s="5">
        <f t="shared" si="37"/>
        <v>0</v>
      </c>
      <c r="CX191" s="5">
        <f t="shared" si="37"/>
        <v>0</v>
      </c>
      <c r="CY191" s="5">
        <f t="shared" si="37"/>
        <v>0</v>
      </c>
      <c r="CZ191" s="5">
        <f t="shared" si="37"/>
        <v>0</v>
      </c>
      <c r="DA191" s="5">
        <f t="shared" si="37"/>
        <v>0</v>
      </c>
      <c r="DB191" s="5">
        <f t="shared" si="37"/>
        <v>0</v>
      </c>
      <c r="DC191" s="5">
        <f t="shared" si="37"/>
        <v>0</v>
      </c>
      <c r="DD191" s="5">
        <f t="shared" si="37"/>
        <v>0</v>
      </c>
      <c r="DE191" s="5">
        <f t="shared" si="37"/>
        <v>0</v>
      </c>
      <c r="DF191" s="5">
        <f t="shared" si="37"/>
        <v>0</v>
      </c>
      <c r="DG191" s="5">
        <f t="shared" si="37"/>
        <v>0</v>
      </c>
      <c r="DH191" s="5">
        <f t="shared" si="37"/>
        <v>0</v>
      </c>
      <c r="DI191" s="5">
        <f t="shared" si="37"/>
        <v>0</v>
      </c>
      <c r="DJ191" s="5">
        <f t="shared" si="37"/>
        <v>0</v>
      </c>
      <c r="DK191" s="5">
        <f t="shared" si="37"/>
        <v>0</v>
      </c>
      <c r="DL191" s="5">
        <f t="shared" si="37"/>
        <v>0</v>
      </c>
      <c r="DM191" s="6">
        <f t="shared" si="37"/>
        <v>0</v>
      </c>
    </row>
    <row r="192" spans="5:118" ht="15" thickBot="1" x14ac:dyDescent="0.4">
      <c r="K192" s="225" t="s">
        <v>273</v>
      </c>
      <c r="L192" s="226"/>
      <c r="M192" s="227"/>
      <c r="N192" s="54">
        <f>SUMPRODUCT(N158:N187,$I$158:$I$187)+SUMPRODUCT(N124:N153,$I$124:$I$153)+SUMPRODUCT(N20:N69,$I$20:$I$69)</f>
        <v>110768</v>
      </c>
      <c r="O192" s="54">
        <f t="shared" ref="O192:BZ192" si="38">SUMPRODUCT(O158:O187,$I$158:$I$187)+SUMPRODUCT(O124:O153,$I$124:$I$153)+SUMPRODUCT(O20:O69,$I$20:$I$69)</f>
        <v>138460</v>
      </c>
      <c r="P192" s="54">
        <f t="shared" si="38"/>
        <v>138460</v>
      </c>
      <c r="Q192" s="54">
        <f t="shared" si="38"/>
        <v>138460</v>
      </c>
      <c r="R192" s="54">
        <f t="shared" si="38"/>
        <v>55384</v>
      </c>
      <c r="S192" s="54">
        <f t="shared" si="38"/>
        <v>0</v>
      </c>
      <c r="T192" s="54">
        <f t="shared" si="38"/>
        <v>0</v>
      </c>
      <c r="U192" s="54">
        <f t="shared" si="38"/>
        <v>0</v>
      </c>
      <c r="V192" s="54">
        <f t="shared" si="38"/>
        <v>0</v>
      </c>
      <c r="W192" s="54">
        <f t="shared" si="38"/>
        <v>0</v>
      </c>
      <c r="X192" s="54">
        <f t="shared" si="38"/>
        <v>0</v>
      </c>
      <c r="Y192" s="54">
        <f t="shared" si="38"/>
        <v>0</v>
      </c>
      <c r="Z192" s="54">
        <f t="shared" si="38"/>
        <v>0</v>
      </c>
      <c r="AA192" s="54">
        <f t="shared" si="38"/>
        <v>0</v>
      </c>
      <c r="AB192" s="54">
        <f t="shared" si="38"/>
        <v>0</v>
      </c>
      <c r="AC192" s="54">
        <f t="shared" si="38"/>
        <v>0</v>
      </c>
      <c r="AD192" s="54">
        <f t="shared" si="38"/>
        <v>0</v>
      </c>
      <c r="AE192" s="54">
        <f t="shared" si="38"/>
        <v>0</v>
      </c>
      <c r="AF192" s="54">
        <f t="shared" si="38"/>
        <v>0</v>
      </c>
      <c r="AG192" s="54">
        <f t="shared" si="38"/>
        <v>0</v>
      </c>
      <c r="AH192" s="54">
        <f t="shared" si="38"/>
        <v>0</v>
      </c>
      <c r="AI192" s="54">
        <f t="shared" si="38"/>
        <v>0</v>
      </c>
      <c r="AJ192" s="54">
        <f t="shared" si="38"/>
        <v>0</v>
      </c>
      <c r="AK192" s="54">
        <f t="shared" si="38"/>
        <v>0</v>
      </c>
      <c r="AL192" s="54">
        <f t="shared" si="38"/>
        <v>0</v>
      </c>
      <c r="AM192" s="54">
        <f t="shared" si="38"/>
        <v>0</v>
      </c>
      <c r="AN192" s="54">
        <f t="shared" si="38"/>
        <v>0</v>
      </c>
      <c r="AO192" s="54">
        <f t="shared" si="38"/>
        <v>0</v>
      </c>
      <c r="AP192" s="54">
        <f t="shared" si="38"/>
        <v>0</v>
      </c>
      <c r="AQ192" s="54">
        <f t="shared" si="38"/>
        <v>0</v>
      </c>
      <c r="AR192" s="54">
        <f t="shared" si="38"/>
        <v>0</v>
      </c>
      <c r="AS192" s="54">
        <f t="shared" si="38"/>
        <v>0</v>
      </c>
      <c r="AT192" s="54">
        <f t="shared" si="38"/>
        <v>0</v>
      </c>
      <c r="AU192" s="54">
        <f t="shared" si="38"/>
        <v>0</v>
      </c>
      <c r="AV192" s="54">
        <f t="shared" si="38"/>
        <v>0</v>
      </c>
      <c r="AW192" s="54">
        <f t="shared" si="38"/>
        <v>0</v>
      </c>
      <c r="AX192" s="54">
        <f t="shared" si="38"/>
        <v>0</v>
      </c>
      <c r="AY192" s="54">
        <f t="shared" si="38"/>
        <v>0</v>
      </c>
      <c r="AZ192" s="54">
        <f t="shared" si="38"/>
        <v>0</v>
      </c>
      <c r="BA192" s="54">
        <f t="shared" si="38"/>
        <v>0</v>
      </c>
      <c r="BB192" s="54">
        <f t="shared" si="38"/>
        <v>0</v>
      </c>
      <c r="BC192" s="54">
        <f t="shared" si="38"/>
        <v>0</v>
      </c>
      <c r="BD192" s="54">
        <f t="shared" si="38"/>
        <v>0</v>
      </c>
      <c r="BE192" s="54">
        <f t="shared" si="38"/>
        <v>0</v>
      </c>
      <c r="BF192" s="54">
        <f t="shared" si="38"/>
        <v>0</v>
      </c>
      <c r="BG192" s="54">
        <f t="shared" si="38"/>
        <v>0</v>
      </c>
      <c r="BH192" s="54">
        <f t="shared" si="38"/>
        <v>0</v>
      </c>
      <c r="BI192" s="54">
        <f t="shared" si="38"/>
        <v>0</v>
      </c>
      <c r="BJ192" s="54">
        <f t="shared" si="38"/>
        <v>0</v>
      </c>
      <c r="BK192" s="54">
        <f t="shared" si="38"/>
        <v>0</v>
      </c>
      <c r="BL192" s="54">
        <f t="shared" si="38"/>
        <v>0</v>
      </c>
      <c r="BM192" s="54">
        <f t="shared" si="38"/>
        <v>0</v>
      </c>
      <c r="BN192" s="54">
        <f t="shared" si="38"/>
        <v>0</v>
      </c>
      <c r="BO192" s="54">
        <f t="shared" si="38"/>
        <v>0</v>
      </c>
      <c r="BP192" s="54">
        <f t="shared" si="38"/>
        <v>0</v>
      </c>
      <c r="BQ192" s="54">
        <f t="shared" si="38"/>
        <v>0</v>
      </c>
      <c r="BR192" s="54">
        <f t="shared" si="38"/>
        <v>0</v>
      </c>
      <c r="BS192" s="54">
        <f t="shared" si="38"/>
        <v>0</v>
      </c>
      <c r="BT192" s="54">
        <f t="shared" si="38"/>
        <v>0</v>
      </c>
      <c r="BU192" s="54">
        <f t="shared" si="38"/>
        <v>0</v>
      </c>
      <c r="BV192" s="54">
        <f t="shared" si="38"/>
        <v>0</v>
      </c>
      <c r="BW192" s="54">
        <f t="shared" si="38"/>
        <v>0</v>
      </c>
      <c r="BX192" s="54">
        <f t="shared" si="38"/>
        <v>0</v>
      </c>
      <c r="BY192" s="54">
        <f t="shared" si="38"/>
        <v>0</v>
      </c>
      <c r="BZ192" s="54">
        <f t="shared" si="38"/>
        <v>0</v>
      </c>
      <c r="CA192" s="54">
        <f t="shared" ref="CA192:DM192" si="39">SUMPRODUCT(CA158:CA187,$I$158:$I$187)+SUMPRODUCT(CA124:CA153,$I$124:$I$153)+SUMPRODUCT(CA20:CA69,$I$20:$I$69)</f>
        <v>0</v>
      </c>
      <c r="CB192" s="54">
        <f t="shared" si="39"/>
        <v>0</v>
      </c>
      <c r="CC192" s="54">
        <f t="shared" si="39"/>
        <v>0</v>
      </c>
      <c r="CD192" s="54">
        <f t="shared" si="39"/>
        <v>0</v>
      </c>
      <c r="CE192" s="54">
        <f t="shared" si="39"/>
        <v>0</v>
      </c>
      <c r="CF192" s="54">
        <f t="shared" si="39"/>
        <v>0</v>
      </c>
      <c r="CG192" s="54">
        <f t="shared" si="39"/>
        <v>0</v>
      </c>
      <c r="CH192" s="54">
        <f t="shared" si="39"/>
        <v>0</v>
      </c>
      <c r="CI192" s="54">
        <f t="shared" si="39"/>
        <v>0</v>
      </c>
      <c r="CJ192" s="54">
        <f t="shared" si="39"/>
        <v>0</v>
      </c>
      <c r="CK192" s="54">
        <f t="shared" si="39"/>
        <v>0</v>
      </c>
      <c r="CL192" s="54">
        <f t="shared" si="39"/>
        <v>0</v>
      </c>
      <c r="CM192" s="54">
        <f t="shared" si="39"/>
        <v>0</v>
      </c>
      <c r="CN192" s="54">
        <f t="shared" si="39"/>
        <v>0</v>
      </c>
      <c r="CO192" s="54">
        <f t="shared" si="39"/>
        <v>0</v>
      </c>
      <c r="CP192" s="54">
        <f t="shared" si="39"/>
        <v>0</v>
      </c>
      <c r="CQ192" s="54">
        <f t="shared" si="39"/>
        <v>0</v>
      </c>
      <c r="CR192" s="54">
        <f t="shared" si="39"/>
        <v>0</v>
      </c>
      <c r="CS192" s="54">
        <f t="shared" si="39"/>
        <v>0</v>
      </c>
      <c r="CT192" s="54">
        <f t="shared" si="39"/>
        <v>0</v>
      </c>
      <c r="CU192" s="54">
        <f t="shared" si="39"/>
        <v>0</v>
      </c>
      <c r="CV192" s="54">
        <f t="shared" si="39"/>
        <v>0</v>
      </c>
      <c r="CW192" s="54">
        <f t="shared" si="39"/>
        <v>0</v>
      </c>
      <c r="CX192" s="54">
        <f t="shared" si="39"/>
        <v>0</v>
      </c>
      <c r="CY192" s="54">
        <f t="shared" si="39"/>
        <v>0</v>
      </c>
      <c r="CZ192" s="54">
        <f t="shared" si="39"/>
        <v>0</v>
      </c>
      <c r="DA192" s="54">
        <f t="shared" si="39"/>
        <v>0</v>
      </c>
      <c r="DB192" s="54">
        <f t="shared" si="39"/>
        <v>0</v>
      </c>
      <c r="DC192" s="54">
        <f t="shared" si="39"/>
        <v>0</v>
      </c>
      <c r="DD192" s="54">
        <f t="shared" si="39"/>
        <v>0</v>
      </c>
      <c r="DE192" s="54">
        <f t="shared" si="39"/>
        <v>0</v>
      </c>
      <c r="DF192" s="54">
        <f t="shared" si="39"/>
        <v>0</v>
      </c>
      <c r="DG192" s="54">
        <f t="shared" si="39"/>
        <v>0</v>
      </c>
      <c r="DH192" s="54">
        <f t="shared" si="39"/>
        <v>0</v>
      </c>
      <c r="DI192" s="54">
        <f t="shared" si="39"/>
        <v>0</v>
      </c>
      <c r="DJ192" s="54">
        <f t="shared" si="39"/>
        <v>0</v>
      </c>
      <c r="DK192" s="54">
        <f t="shared" si="39"/>
        <v>0</v>
      </c>
      <c r="DL192" s="54">
        <f t="shared" si="39"/>
        <v>0</v>
      </c>
      <c r="DM192" s="21">
        <f t="shared" si="39"/>
        <v>0</v>
      </c>
    </row>
  </sheetData>
  <sheetProtection formatRows="0" sort="0" autoFilter="0" pivotTables="0"/>
  <mergeCells count="2">
    <mergeCell ref="K192:M192"/>
    <mergeCell ref="K8:N8"/>
  </mergeCells>
  <conditionalFormatting sqref="A3:B3">
    <cfRule type="cellIs" dxfId="4" priority="1" operator="lessThan">
      <formula>0.4</formula>
    </cfRule>
    <cfRule type="cellIs" dxfId="3" priority="2" operator="between">
      <formula>0.4</formula>
      <formula>0.45</formula>
    </cfRule>
    <cfRule type="cellIs" dxfId="2" priority="3" operator="between">
      <formula>0.451</formula>
      <formula>0.52</formula>
    </cfRule>
    <cfRule type="cellIs" dxfId="1" priority="4" operator="between">
      <formula>0.521</formula>
      <formula>0.6</formula>
    </cfRule>
    <cfRule type="cellIs" dxfId="0" priority="5" operator="greaterThan">
      <formula>0.6</formula>
    </cfRule>
  </conditionalFormatting>
  <dataValidations count="3">
    <dataValidation allowBlank="1" error="Please enter a value between 0 and 40 hours." sqref="N90:DM119 N124:DM153 N158:DM187" xr:uid="{E74A6A47-D4C8-4CAE-BD02-677D8B3189C7}"/>
    <dataValidation type="whole" allowBlank="1" showErrorMessage="1" error="Please enter a value between 0 and 40 hours." sqref="N20:DM69" xr:uid="{85D0D74A-6A4E-427A-A5A5-30E6D607A4EA}">
      <formula1>0</formula1>
      <formula2>40</formula2>
    </dataValidation>
    <dataValidation type="decimal" operator="greaterThan" allowBlank="1" showErrorMessage="1" error="Please enter a value greater than 0." sqref="N74:DM83" xr:uid="{46A4F2F3-412D-4996-BB7A-5BDC7D02E47E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07DC97-AC85-4ABA-810F-5B7A4C1B3434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DD97-2B67-4DC8-B788-523578850FD5}">
  <sheetPr codeName="Sheet4"/>
  <dimension ref="B1:E6"/>
  <sheetViews>
    <sheetView workbookViewId="0">
      <selection activeCell="E6" sqref="E6"/>
    </sheetView>
  </sheetViews>
  <sheetFormatPr defaultRowHeight="14.5" x14ac:dyDescent="0.35"/>
  <cols>
    <col min="1" max="1" width="4.90625" bestFit="1" customWidth="1"/>
    <col min="2" max="2" width="20.36328125" bestFit="1" customWidth="1"/>
    <col min="3" max="3" width="23.6328125" bestFit="1" customWidth="1"/>
    <col min="4" max="4" width="15.6328125" bestFit="1" customWidth="1"/>
    <col min="5" max="5" width="33.08984375" bestFit="1" customWidth="1"/>
  </cols>
  <sheetData>
    <row r="1" spans="2:5" ht="15" thickBot="1" x14ac:dyDescent="0.4"/>
    <row r="2" spans="2:5" ht="15" thickBot="1" x14ac:dyDescent="0.4">
      <c r="B2" s="1" t="s">
        <v>149</v>
      </c>
      <c r="C2" s="2" t="s">
        <v>147</v>
      </c>
      <c r="D2" s="2" t="s">
        <v>148</v>
      </c>
      <c r="E2" s="135" t="s">
        <v>323</v>
      </c>
    </row>
    <row r="3" spans="2:5" x14ac:dyDescent="0.35">
      <c r="B3" s="129" t="s">
        <v>322</v>
      </c>
      <c r="C3" s="130">
        <v>6150</v>
      </c>
      <c r="D3" s="131">
        <v>4123.0769230769238</v>
      </c>
      <c r="E3" s="134">
        <f>C3*0.013</f>
        <v>79.95</v>
      </c>
    </row>
    <row r="4" spans="2:5" x14ac:dyDescent="0.35">
      <c r="B4" s="129" t="s">
        <v>320</v>
      </c>
      <c r="C4" s="130">
        <v>1450</v>
      </c>
      <c r="D4" s="131">
        <v>1000</v>
      </c>
      <c r="E4" s="134">
        <f>C4*0.013</f>
        <v>18.849999999999998</v>
      </c>
    </row>
    <row r="5" spans="2:5" x14ac:dyDescent="0.35">
      <c r="B5" s="129" t="s">
        <v>316</v>
      </c>
      <c r="C5" s="131"/>
      <c r="D5" s="131">
        <v>12353.846153846154</v>
      </c>
      <c r="E5" s="134"/>
    </row>
    <row r="6" spans="2:5" x14ac:dyDescent="0.35">
      <c r="B6" s="129" t="s">
        <v>321</v>
      </c>
      <c r="C6" s="130">
        <v>2580</v>
      </c>
      <c r="D6" s="131">
        <v>1769.2307692307693</v>
      </c>
      <c r="E6" s="134">
        <f>C6*0.013</f>
        <v>33.54</v>
      </c>
    </row>
  </sheetData>
  <sheetProtection formatRows="0" sort="0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AB05-F532-43FD-9974-263978606ECD}">
  <sheetPr codeName="Sheet5"/>
  <dimension ref="B2:D4"/>
  <sheetViews>
    <sheetView workbookViewId="0">
      <selection activeCell="D6" sqref="D6"/>
    </sheetView>
  </sheetViews>
  <sheetFormatPr defaultRowHeight="14.5" x14ac:dyDescent="0.35"/>
  <cols>
    <col min="2" max="2" width="12.453125" bestFit="1" customWidth="1"/>
  </cols>
  <sheetData>
    <row r="2" spans="2:4" x14ac:dyDescent="0.35">
      <c r="B2" t="s">
        <v>9</v>
      </c>
      <c r="D2" t="s">
        <v>282</v>
      </c>
    </row>
    <row r="3" spans="2:4" x14ac:dyDescent="0.35">
      <c r="B3" t="s">
        <v>10</v>
      </c>
      <c r="D3" s="63">
        <v>1.2999999999999999E-2</v>
      </c>
    </row>
    <row r="4" spans="2:4" x14ac:dyDescent="0.35">
      <c r="B4" t="s">
        <v>11</v>
      </c>
    </row>
  </sheetData>
  <sheetProtection algorithmName="SHA-512" hashValue="HqnFz7R0atzGIBsF2jLhNBHThd9mQeDvaiHu1wcH8diY5Jnkt9Q4y2ufvoHYTgNgLpfgCWzC8nVMSMxUC1aG1g==" saltValue="EfQ6tIGtA6ZGM7g3v1/C7Q==" spinCount="100000" sheet="1" objects="1" scenarios="1" formatRows="0"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33"/>
  <sheetViews>
    <sheetView tabSelected="1" topLeftCell="B1" workbookViewId="0">
      <selection activeCell="D13" sqref="D13"/>
    </sheetView>
  </sheetViews>
  <sheetFormatPr defaultRowHeight="14.5" x14ac:dyDescent="0.35"/>
  <cols>
    <col min="1" max="1" width="6" customWidth="1"/>
    <col min="2" max="2" width="28" customWidth="1"/>
    <col min="3" max="3" width="14" customWidth="1"/>
    <col min="4" max="4" width="12" customWidth="1"/>
    <col min="5" max="5" width="16" customWidth="1"/>
    <col min="6" max="8" width="18" customWidth="1"/>
    <col min="9" max="9" width="24" customWidth="1"/>
    <col min="10" max="10" width="50" customWidth="1"/>
  </cols>
  <sheetData>
    <row r="1" spans="1:10" ht="17" x14ac:dyDescent="0.4">
      <c r="A1" s="136" t="s">
        <v>332</v>
      </c>
    </row>
    <row r="2" spans="1:10" x14ac:dyDescent="0.35">
      <c r="A2" s="137" t="s">
        <v>333</v>
      </c>
    </row>
    <row r="4" spans="1:10" x14ac:dyDescent="0.35">
      <c r="A4" s="138" t="s">
        <v>334</v>
      </c>
    </row>
    <row r="5" spans="1:10" x14ac:dyDescent="0.35">
      <c r="A5" s="139" t="s">
        <v>335</v>
      </c>
      <c r="B5" s="222" t="s">
        <v>336</v>
      </c>
      <c r="C5" s="140" t="s">
        <v>337</v>
      </c>
      <c r="D5" s="141" t="s">
        <v>338</v>
      </c>
      <c r="E5" s="142" t="s">
        <v>339</v>
      </c>
      <c r="F5" s="143" t="s">
        <v>340</v>
      </c>
      <c r="G5" s="144" t="s">
        <v>341</v>
      </c>
      <c r="H5" s="145" t="s">
        <v>342</v>
      </c>
      <c r="I5" s="146" t="s">
        <v>343</v>
      </c>
      <c r="J5" s="147" t="s">
        <v>344</v>
      </c>
    </row>
    <row r="6" spans="1:10" x14ac:dyDescent="0.35">
      <c r="A6" s="148">
        <v>1</v>
      </c>
      <c r="B6" s="149" t="s">
        <v>345</v>
      </c>
      <c r="C6" s="150" t="s">
        <v>331</v>
      </c>
      <c r="D6" s="151" t="s">
        <v>321</v>
      </c>
      <c r="E6" s="152" t="s">
        <v>346</v>
      </c>
      <c r="F6" s="153">
        <v>27692</v>
      </c>
      <c r="G6" s="154">
        <v>3461.5</v>
      </c>
      <c r="H6" s="155" t="s">
        <v>347</v>
      </c>
      <c r="I6" s="156" t="s">
        <v>348</v>
      </c>
      <c r="J6" s="157">
        <v>168</v>
      </c>
    </row>
    <row r="9" spans="1:10" x14ac:dyDescent="0.35">
      <c r="A9" s="158" t="s">
        <v>349</v>
      </c>
    </row>
    <row r="10" spans="1:10" x14ac:dyDescent="0.35">
      <c r="A10" s="159" t="s">
        <v>335</v>
      </c>
      <c r="B10" s="160" t="s">
        <v>337</v>
      </c>
      <c r="C10" s="161" t="s">
        <v>350</v>
      </c>
      <c r="D10" s="162" t="s">
        <v>351</v>
      </c>
      <c r="E10" s="163" t="s">
        <v>352</v>
      </c>
      <c r="F10" s="164" t="s">
        <v>353</v>
      </c>
      <c r="G10" s="165" t="s">
        <v>354</v>
      </c>
      <c r="H10" s="166" t="s">
        <v>355</v>
      </c>
      <c r="I10" s="167" t="s">
        <v>356</v>
      </c>
      <c r="J10" s="168" t="s">
        <v>357</v>
      </c>
    </row>
    <row r="11" spans="1:10" x14ac:dyDescent="0.35">
      <c r="A11" s="169">
        <v>1</v>
      </c>
      <c r="B11" s="170" t="s">
        <v>331</v>
      </c>
      <c r="C11" s="171" t="s">
        <v>358</v>
      </c>
      <c r="D11" s="172">
        <v>22</v>
      </c>
      <c r="E11" s="173">
        <v>0</v>
      </c>
      <c r="F11" s="174">
        <v>1</v>
      </c>
      <c r="G11" s="175">
        <v>21</v>
      </c>
      <c r="H11" s="176">
        <v>168</v>
      </c>
      <c r="I11" s="177" t="s">
        <v>359</v>
      </c>
      <c r="J11" s="178" t="s">
        <v>360</v>
      </c>
    </row>
    <row r="12" spans="1:10" x14ac:dyDescent="0.35">
      <c r="A12" s="179" t="s">
        <v>361</v>
      </c>
      <c r="B12" s="180" t="s">
        <v>362</v>
      </c>
      <c r="C12" s="181" t="s">
        <v>361</v>
      </c>
      <c r="D12" s="182">
        <v>22</v>
      </c>
      <c r="E12" s="183">
        <v>0</v>
      </c>
      <c r="F12" s="184">
        <v>1</v>
      </c>
      <c r="G12" s="185">
        <v>21</v>
      </c>
      <c r="H12" s="186">
        <v>168</v>
      </c>
      <c r="I12" s="187" t="s">
        <v>361</v>
      </c>
      <c r="J12" s="188" t="s">
        <v>361</v>
      </c>
    </row>
    <row r="15" spans="1:10" x14ac:dyDescent="0.35">
      <c r="A15" s="189" t="s">
        <v>363</v>
      </c>
    </row>
    <row r="16" spans="1:10" x14ac:dyDescent="0.35">
      <c r="A16" s="190" t="s">
        <v>364</v>
      </c>
      <c r="B16" s="191" t="s">
        <v>365</v>
      </c>
      <c r="C16" s="192" t="s">
        <v>366</v>
      </c>
    </row>
    <row r="17" spans="1:3" x14ac:dyDescent="0.35">
      <c r="A17" s="193" t="s">
        <v>367</v>
      </c>
      <c r="B17" s="194" t="s">
        <v>368</v>
      </c>
      <c r="C17" s="195" t="s">
        <v>369</v>
      </c>
    </row>
    <row r="18" spans="1:3" x14ac:dyDescent="0.35">
      <c r="A18" s="196" t="s">
        <v>370</v>
      </c>
      <c r="B18" s="197" t="s">
        <v>371</v>
      </c>
      <c r="C18" s="198" t="s">
        <v>372</v>
      </c>
    </row>
    <row r="19" spans="1:3" x14ac:dyDescent="0.35">
      <c r="A19" s="199" t="s">
        <v>373</v>
      </c>
      <c r="B19" s="200" t="s">
        <v>374</v>
      </c>
      <c r="C19" s="201" t="s">
        <v>375</v>
      </c>
    </row>
    <row r="20" spans="1:3" x14ac:dyDescent="0.35">
      <c r="A20" s="202" t="s">
        <v>376</v>
      </c>
      <c r="B20" s="203" t="s">
        <v>377</v>
      </c>
      <c r="C20" s="204" t="s">
        <v>375</v>
      </c>
    </row>
    <row r="21" spans="1:3" x14ac:dyDescent="0.35">
      <c r="A21" s="205" t="s">
        <v>378</v>
      </c>
      <c r="B21" s="206" t="s">
        <v>379</v>
      </c>
      <c r="C21" s="207" t="s">
        <v>380</v>
      </c>
    </row>
    <row r="22" spans="1:3" x14ac:dyDescent="0.35">
      <c r="A22" s="208" t="s">
        <v>381</v>
      </c>
      <c r="B22" s="209" t="s">
        <v>382</v>
      </c>
      <c r="C22" s="210" t="s">
        <v>380</v>
      </c>
    </row>
    <row r="23" spans="1:3" x14ac:dyDescent="0.35">
      <c r="A23" s="211" t="s">
        <v>383</v>
      </c>
      <c r="B23" s="212" t="s">
        <v>384</v>
      </c>
      <c r="C23" s="213" t="s">
        <v>375</v>
      </c>
    </row>
    <row r="26" spans="1:3" x14ac:dyDescent="0.35">
      <c r="A26" s="214" t="s">
        <v>385</v>
      </c>
    </row>
    <row r="27" spans="1:3" x14ac:dyDescent="0.35">
      <c r="A27" s="215" t="s">
        <v>386</v>
      </c>
    </row>
    <row r="28" spans="1:3" x14ac:dyDescent="0.35">
      <c r="A28" s="216" t="s">
        <v>387</v>
      </c>
    </row>
    <row r="29" spans="1:3" x14ac:dyDescent="0.35">
      <c r="A29" s="217" t="s">
        <v>388</v>
      </c>
    </row>
    <row r="30" spans="1:3" x14ac:dyDescent="0.35">
      <c r="A30" s="218" t="s">
        <v>389</v>
      </c>
    </row>
    <row r="31" spans="1:3" x14ac:dyDescent="0.35">
      <c r="A31" s="219" t="s">
        <v>390</v>
      </c>
    </row>
    <row r="32" spans="1:3" x14ac:dyDescent="0.35">
      <c r="A32" s="220" t="s">
        <v>391</v>
      </c>
    </row>
    <row r="33" spans="1:1" x14ac:dyDescent="0.35">
      <c r="A33" s="221" t="s">
        <v>392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2504168DD55845932BC2E505299595" ma:contentTypeVersion="7" ma:contentTypeDescription="Create a new document." ma:contentTypeScope="" ma:versionID="581a1c8a44a2e1a6259f3b323bc21a26">
  <xsd:schema xmlns:xsd="http://www.w3.org/2001/XMLSchema" xmlns:xs="http://www.w3.org/2001/XMLSchema" xmlns:p="http://schemas.microsoft.com/office/2006/metadata/properties" xmlns:ns2="64dccf47-912d-4673-88f0-bf4752349a47" targetNamespace="http://schemas.microsoft.com/office/2006/metadata/properties" ma:root="true" ma:fieldsID="f8b426282f98436f2c43600c004dcd68" ns2:_="">
    <xsd:import namespace="64dccf47-912d-4673-88f0-bf4752349a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dccf47-912d-4673-88f0-bf4752349a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E38DB1F-CF87-46A4-827D-1AE8E7473D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F4FD87-C7FB-4453-B1B7-A2300708A3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dccf47-912d-4673-88f0-bf4752349a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18D3FB-35D4-4921-A3C7-B04166C357AB}">
  <ds:schemaRefs>
    <ds:schemaRef ds:uri="2be7533a-df7f-419f-aca7-b54da3a5a166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18fdfcd2-1be0-475c-a96f-a382e24f6818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FrontPage</vt:lpstr>
      <vt:lpstr>Calculation</vt:lpstr>
      <vt:lpstr>ProjectContractType</vt:lpstr>
      <vt:lpstr>Resource_List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Anjana Sharma</dc:creator>
  <cp:lastModifiedBy>Anjana Sharma</cp:lastModifiedBy>
  <dcterms:created xsi:type="dcterms:W3CDTF">2023-12-08T19:09:16Z</dcterms:created>
  <dcterms:modified xsi:type="dcterms:W3CDTF">2026-06-19T11:44:16Z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2023-12-11T22:02:46Z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a3cd8481-1c97-45c6-a76c-aefeb6db0903</vt:lpwstr>
  </property>
  <property fmtid="{D5CDD505-2E9C-101B-9397-08002B2CF9AE}" pid="8" name="MSIP_Label_e14c1950-b3a8-4278-88f1-6df69d73b9d5_ContentBits">
    <vt:lpwstr>0</vt:lpwstr>
  </property>
  <property fmtid="{D5CDD505-2E9C-101B-9397-08002B2CF9AE}" pid="9" name="ContentTypeId">
    <vt:lpwstr>0x010100262504168DD55845932BC2E505299595</vt:lpwstr>
  </property>
  <property fmtid="{D5CDD505-2E9C-101B-9397-08002B2CF9AE}" pid="10" name="MediaServiceImageTags">
    <vt:lpwstr/>
  </property>
</Properties>
</file>