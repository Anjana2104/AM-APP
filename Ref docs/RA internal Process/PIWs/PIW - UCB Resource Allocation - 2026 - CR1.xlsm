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.sharepoint.com/sites/CDM-GCC-Management-ZSAccountManagement/Shared Documents/Client/UCB/"/>
    </mc:Choice>
  </mc:AlternateContent>
  <xr:revisionPtr revIDLastSave="174" documentId="13_ncr:1_{495ECCE2-597C-45F2-811C-031DA0B3A21F}" xr6:coauthVersionLast="47" xr6:coauthVersionMax="47" xr10:uidLastSave="{80679CBA-0911-48E4-975A-EBA2BC5B463A}"/>
  <bookViews>
    <workbookView xWindow="-110" yWindow="-110" windowWidth="19420" windowHeight="11500" activeTab="1" xr2:uid="{03127074-84F6-4729-B4B5-73360BFC3C21}"/>
  </bookViews>
  <sheets>
    <sheet name="FrontPage" sheetId="1" r:id="rId1"/>
    <sheet name="Fixed Fee" sheetId="5" r:id="rId2"/>
    <sheet name="T&amp;M" sheetId="6" state="veryHidden" r:id="rId3"/>
    <sheet name="Calculations" sheetId="11" r:id="rId4"/>
    <sheet name="KL Resource List" sheetId="4" state="veryHidden" r:id="rId5"/>
    <sheet name="Data Validation" sheetId="2" state="veryHidden" r:id="rId6"/>
  </sheets>
  <externalReferences>
    <externalReference r:id="rId7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U11" i="11"/>
  <c r="K8" i="11"/>
  <c r="U9" i="11"/>
  <c r="U10" i="11"/>
  <c r="U12" i="11"/>
  <c r="U13" i="11"/>
  <c r="U14" i="11"/>
  <c r="U15" i="11"/>
  <c r="U16" i="11"/>
  <c r="U17" i="11"/>
  <c r="U18" i="11"/>
  <c r="U19" i="11"/>
  <c r="U20" i="11"/>
  <c r="U8" i="11"/>
  <c r="S21" i="11"/>
  <c r="Q21" i="11"/>
  <c r="P21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U21" i="11" l="1"/>
  <c r="T21" i="11"/>
  <c r="F17" i="11" l="1"/>
  <c r="L8" i="11"/>
  <c r="L9" i="11" s="1"/>
  <c r="I9" i="11"/>
  <c r="F14" i="11" s="1"/>
  <c r="I8" i="11"/>
  <c r="E6" i="4" l="1"/>
  <c r="E4" i="4"/>
  <c r="E3" i="4"/>
  <c r="J122" i="5" l="1"/>
  <c r="J88" i="5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90" i="6"/>
  <c r="L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M74" i="6"/>
  <c r="L74" i="6" s="1"/>
  <c r="M83" i="6"/>
  <c r="L83" i="6" s="1"/>
  <c r="M82" i="6"/>
  <c r="L82" i="6" s="1"/>
  <c r="M81" i="6"/>
  <c r="L81" i="6" s="1"/>
  <c r="M80" i="6"/>
  <c r="L80" i="6" s="1"/>
  <c r="M79" i="6"/>
  <c r="L79" i="6" s="1"/>
  <c r="M78" i="6"/>
  <c r="L78" i="6" s="1"/>
  <c r="M77" i="6"/>
  <c r="L77" i="6" s="1"/>
  <c r="M76" i="6"/>
  <c r="L76" i="6" s="1"/>
  <c r="M75" i="6"/>
  <c r="L75" i="6" s="1"/>
  <c r="N72" i="6"/>
  <c r="M72" i="5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AC72" i="5" s="1"/>
  <c r="AD72" i="5" s="1"/>
  <c r="AE72" i="5" s="1"/>
  <c r="AF72" i="5" s="1"/>
  <c r="AG72" i="5" s="1"/>
  <c r="AH72" i="5" s="1"/>
  <c r="AI72" i="5" s="1"/>
  <c r="AJ72" i="5" s="1"/>
  <c r="AK72" i="5" s="1"/>
  <c r="AL72" i="5" s="1"/>
  <c r="AM72" i="5" s="1"/>
  <c r="AN72" i="5" s="1"/>
  <c r="AO72" i="5" s="1"/>
  <c r="AP72" i="5" s="1"/>
  <c r="AQ72" i="5" s="1"/>
  <c r="AR72" i="5" s="1"/>
  <c r="AS72" i="5" s="1"/>
  <c r="AT72" i="5" s="1"/>
  <c r="AU72" i="5" s="1"/>
  <c r="AV72" i="5" s="1"/>
  <c r="AW72" i="5" s="1"/>
  <c r="AX72" i="5" s="1"/>
  <c r="AY72" i="5" s="1"/>
  <c r="AZ72" i="5" s="1"/>
  <c r="BA72" i="5" s="1"/>
  <c r="BB72" i="5" s="1"/>
  <c r="BC72" i="5" s="1"/>
  <c r="BD72" i="5" s="1"/>
  <c r="BE72" i="5" s="1"/>
  <c r="BF72" i="5" s="1"/>
  <c r="BG72" i="5" s="1"/>
  <c r="BH72" i="5" s="1"/>
  <c r="BI72" i="5" s="1"/>
  <c r="BJ72" i="5" s="1"/>
  <c r="BK72" i="5" s="1"/>
  <c r="BL72" i="5" s="1"/>
  <c r="BM72" i="5" s="1"/>
  <c r="BN72" i="5" s="1"/>
  <c r="BO72" i="5" s="1"/>
  <c r="BP72" i="5" s="1"/>
  <c r="BQ72" i="5" s="1"/>
  <c r="BR72" i="5" s="1"/>
  <c r="BS72" i="5" s="1"/>
  <c r="BT72" i="5" s="1"/>
  <c r="BU72" i="5" s="1"/>
  <c r="BV72" i="5" s="1"/>
  <c r="BW72" i="5" s="1"/>
  <c r="BX72" i="5" s="1"/>
  <c r="BY72" i="5" s="1"/>
  <c r="BZ72" i="5" s="1"/>
  <c r="CA72" i="5" s="1"/>
  <c r="CB72" i="5" s="1"/>
  <c r="CC72" i="5" s="1"/>
  <c r="CD72" i="5" s="1"/>
  <c r="CE72" i="5" s="1"/>
  <c r="CF72" i="5" s="1"/>
  <c r="CG72" i="5" s="1"/>
  <c r="CH72" i="5" s="1"/>
  <c r="CI72" i="5" s="1"/>
  <c r="CJ72" i="5" s="1"/>
  <c r="CK72" i="5" s="1"/>
  <c r="CL72" i="5" s="1"/>
  <c r="CM72" i="5" s="1"/>
  <c r="CN72" i="5" s="1"/>
  <c r="CO72" i="5" s="1"/>
  <c r="CP72" i="5" s="1"/>
  <c r="CQ72" i="5" s="1"/>
  <c r="CR72" i="5" s="1"/>
  <c r="CS72" i="5" s="1"/>
  <c r="CT72" i="5" s="1"/>
  <c r="CU72" i="5" s="1"/>
  <c r="CV72" i="5" s="1"/>
  <c r="CW72" i="5" s="1"/>
  <c r="CX72" i="5" s="1"/>
  <c r="CY72" i="5" s="1"/>
  <c r="CZ72" i="5" s="1"/>
  <c r="DA72" i="5" s="1"/>
  <c r="DB72" i="5" s="1"/>
  <c r="DC72" i="5" s="1"/>
  <c r="DD72" i="5" s="1"/>
  <c r="DE72" i="5" s="1"/>
  <c r="DF72" i="5" s="1"/>
  <c r="DG72" i="5" s="1"/>
  <c r="DH72" i="5" s="1"/>
  <c r="DI72" i="5" s="1"/>
  <c r="DJ72" i="5" s="1"/>
  <c r="DK72" i="5" s="1"/>
  <c r="DL72" i="5" s="1"/>
  <c r="L83" i="5"/>
  <c r="K83" i="5" s="1"/>
  <c r="L82" i="5"/>
  <c r="K82" i="5" s="1"/>
  <c r="L81" i="5"/>
  <c r="K81" i="5" s="1"/>
  <c r="L80" i="5"/>
  <c r="K80" i="5" s="1"/>
  <c r="L79" i="5"/>
  <c r="K79" i="5" s="1"/>
  <c r="L78" i="5"/>
  <c r="K78" i="5" s="1"/>
  <c r="L77" i="5"/>
  <c r="K77" i="5" s="1"/>
  <c r="L76" i="5"/>
  <c r="K76" i="5" s="1"/>
  <c r="L75" i="5"/>
  <c r="K75" i="5" s="1"/>
  <c r="L74" i="5"/>
  <c r="K74" i="5" s="1"/>
  <c r="DM192" i="6"/>
  <c r="DL192" i="6"/>
  <c r="DK192" i="6"/>
  <c r="DJ192" i="6"/>
  <c r="DI192" i="6"/>
  <c r="DH192" i="6"/>
  <c r="DG192" i="6"/>
  <c r="DF192" i="6"/>
  <c r="DE192" i="6"/>
  <c r="DD192" i="6"/>
  <c r="DC192" i="6"/>
  <c r="DB192" i="6"/>
  <c r="DA192" i="6"/>
  <c r="CZ192" i="6"/>
  <c r="CY192" i="6"/>
  <c r="CX192" i="6"/>
  <c r="CW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DM188" i="6"/>
  <c r="DL188" i="6"/>
  <c r="DK188" i="6"/>
  <c r="DJ188" i="6"/>
  <c r="DI188" i="6"/>
  <c r="DH188" i="6"/>
  <c r="DG188" i="6"/>
  <c r="DF188" i="6"/>
  <c r="DE188" i="6"/>
  <c r="DD188" i="6"/>
  <c r="DC188" i="6"/>
  <c r="DB188" i="6"/>
  <c r="DA188" i="6"/>
  <c r="CZ188" i="6"/>
  <c r="CY188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7" i="6"/>
  <c r="L187" i="6" s="1"/>
  <c r="K187" i="6"/>
  <c r="M186" i="6"/>
  <c r="L186" i="6" s="1"/>
  <c r="K186" i="6"/>
  <c r="M185" i="6"/>
  <c r="L185" i="6" s="1"/>
  <c r="K185" i="6"/>
  <c r="M184" i="6"/>
  <c r="L184" i="6" s="1"/>
  <c r="K184" i="6"/>
  <c r="M183" i="6"/>
  <c r="L183" i="6" s="1"/>
  <c r="K183" i="6"/>
  <c r="M182" i="6"/>
  <c r="L182" i="6" s="1"/>
  <c r="K182" i="6"/>
  <c r="M181" i="6"/>
  <c r="L181" i="6" s="1"/>
  <c r="K181" i="6"/>
  <c r="M180" i="6"/>
  <c r="L180" i="6" s="1"/>
  <c r="K180" i="6"/>
  <c r="M179" i="6"/>
  <c r="L179" i="6" s="1"/>
  <c r="K179" i="6"/>
  <c r="M178" i="6"/>
  <c r="L178" i="6" s="1"/>
  <c r="K178" i="6"/>
  <c r="M177" i="6"/>
  <c r="L177" i="6" s="1"/>
  <c r="K177" i="6"/>
  <c r="M176" i="6"/>
  <c r="L176" i="6" s="1"/>
  <c r="K176" i="6"/>
  <c r="M175" i="6"/>
  <c r="L175" i="6" s="1"/>
  <c r="K175" i="6"/>
  <c r="M174" i="6"/>
  <c r="L174" i="6" s="1"/>
  <c r="K174" i="6"/>
  <c r="M173" i="6"/>
  <c r="L173" i="6" s="1"/>
  <c r="K173" i="6"/>
  <c r="M172" i="6"/>
  <c r="L172" i="6" s="1"/>
  <c r="K172" i="6"/>
  <c r="M171" i="6"/>
  <c r="L171" i="6" s="1"/>
  <c r="K171" i="6"/>
  <c r="M170" i="6"/>
  <c r="L170" i="6" s="1"/>
  <c r="K170" i="6"/>
  <c r="M169" i="6"/>
  <c r="L169" i="6" s="1"/>
  <c r="K169" i="6"/>
  <c r="M168" i="6"/>
  <c r="L168" i="6" s="1"/>
  <c r="K168" i="6"/>
  <c r="M167" i="6"/>
  <c r="L167" i="6" s="1"/>
  <c r="K167" i="6"/>
  <c r="M166" i="6"/>
  <c r="L166" i="6" s="1"/>
  <c r="K166" i="6"/>
  <c r="M165" i="6"/>
  <c r="L165" i="6" s="1"/>
  <c r="K165" i="6"/>
  <c r="M164" i="6"/>
  <c r="L164" i="6" s="1"/>
  <c r="K164" i="6"/>
  <c r="M163" i="6"/>
  <c r="L163" i="6" s="1"/>
  <c r="K163" i="6"/>
  <c r="M162" i="6"/>
  <c r="L162" i="6" s="1"/>
  <c r="K162" i="6"/>
  <c r="M161" i="6"/>
  <c r="L161" i="6" s="1"/>
  <c r="K161" i="6"/>
  <c r="M160" i="6"/>
  <c r="L160" i="6" s="1"/>
  <c r="K160" i="6"/>
  <c r="M159" i="6"/>
  <c r="L159" i="6" s="1"/>
  <c r="K159" i="6"/>
  <c r="M158" i="6"/>
  <c r="L158" i="6" s="1"/>
  <c r="K158" i="6"/>
  <c r="DM154" i="6"/>
  <c r="DL154" i="6"/>
  <c r="DK154" i="6"/>
  <c r="DJ154" i="6"/>
  <c r="DI154" i="6"/>
  <c r="DH154" i="6"/>
  <c r="DG154" i="6"/>
  <c r="DF154" i="6"/>
  <c r="DE154" i="6"/>
  <c r="DD154" i="6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3" i="6"/>
  <c r="L153" i="6" s="1"/>
  <c r="K153" i="6"/>
  <c r="M152" i="6"/>
  <c r="L152" i="6" s="1"/>
  <c r="K152" i="6"/>
  <c r="M151" i="6"/>
  <c r="L151" i="6" s="1"/>
  <c r="K151" i="6"/>
  <c r="M150" i="6"/>
  <c r="L150" i="6" s="1"/>
  <c r="K150" i="6"/>
  <c r="M149" i="6"/>
  <c r="L149" i="6" s="1"/>
  <c r="K149" i="6"/>
  <c r="M148" i="6"/>
  <c r="L148" i="6" s="1"/>
  <c r="K148" i="6"/>
  <c r="M147" i="6"/>
  <c r="L147" i="6" s="1"/>
  <c r="K147" i="6"/>
  <c r="M146" i="6"/>
  <c r="L146" i="6" s="1"/>
  <c r="K146" i="6"/>
  <c r="M145" i="6"/>
  <c r="L145" i="6" s="1"/>
  <c r="K145" i="6"/>
  <c r="M144" i="6"/>
  <c r="L144" i="6" s="1"/>
  <c r="K144" i="6"/>
  <c r="M143" i="6"/>
  <c r="L143" i="6" s="1"/>
  <c r="K143" i="6"/>
  <c r="M142" i="6"/>
  <c r="L142" i="6" s="1"/>
  <c r="K142" i="6"/>
  <c r="M141" i="6"/>
  <c r="L141" i="6" s="1"/>
  <c r="K141" i="6"/>
  <c r="M140" i="6"/>
  <c r="L140" i="6" s="1"/>
  <c r="K140" i="6"/>
  <c r="M139" i="6"/>
  <c r="L139" i="6" s="1"/>
  <c r="K139" i="6"/>
  <c r="M138" i="6"/>
  <c r="L138" i="6" s="1"/>
  <c r="K138" i="6"/>
  <c r="M137" i="6"/>
  <c r="L137" i="6" s="1"/>
  <c r="K137" i="6"/>
  <c r="M136" i="6"/>
  <c r="L136" i="6" s="1"/>
  <c r="K136" i="6"/>
  <c r="M135" i="6"/>
  <c r="L135" i="6" s="1"/>
  <c r="K135" i="6"/>
  <c r="M134" i="6"/>
  <c r="L134" i="6" s="1"/>
  <c r="K134" i="6"/>
  <c r="M133" i="6"/>
  <c r="L133" i="6" s="1"/>
  <c r="K133" i="6"/>
  <c r="M132" i="6"/>
  <c r="L132" i="6" s="1"/>
  <c r="K132" i="6"/>
  <c r="M131" i="6"/>
  <c r="L131" i="6" s="1"/>
  <c r="K131" i="6"/>
  <c r="M130" i="6"/>
  <c r="L130" i="6" s="1"/>
  <c r="K130" i="6"/>
  <c r="M129" i="6"/>
  <c r="L129" i="6" s="1"/>
  <c r="K129" i="6"/>
  <c r="M128" i="6"/>
  <c r="L128" i="6" s="1"/>
  <c r="K128" i="6"/>
  <c r="M127" i="6"/>
  <c r="L127" i="6" s="1"/>
  <c r="K127" i="6"/>
  <c r="M126" i="6"/>
  <c r="L126" i="6" s="1"/>
  <c r="K126" i="6"/>
  <c r="M125" i="6"/>
  <c r="L125" i="6" s="1"/>
  <c r="K125" i="6"/>
  <c r="M124" i="6"/>
  <c r="L124" i="6" s="1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 s="1"/>
  <c r="M118" i="6"/>
  <c r="L118" i="6" s="1"/>
  <c r="M117" i="6"/>
  <c r="L117" i="6" s="1"/>
  <c r="M116" i="6"/>
  <c r="L116" i="6" s="1"/>
  <c r="M115" i="6"/>
  <c r="L115" i="6" s="1"/>
  <c r="M114" i="6"/>
  <c r="L114" i="6" s="1"/>
  <c r="M113" i="6"/>
  <c r="L113" i="6" s="1"/>
  <c r="M112" i="6"/>
  <c r="L112" i="6" s="1"/>
  <c r="M111" i="6"/>
  <c r="L111" i="6" s="1"/>
  <c r="M110" i="6"/>
  <c r="L110" i="6" s="1"/>
  <c r="M109" i="6"/>
  <c r="L109" i="6" s="1"/>
  <c r="M108" i="6"/>
  <c r="L108" i="6" s="1"/>
  <c r="M107" i="6"/>
  <c r="L107" i="6" s="1"/>
  <c r="M106" i="6"/>
  <c r="L106" i="6" s="1"/>
  <c r="M105" i="6"/>
  <c r="L105" i="6" s="1"/>
  <c r="M104" i="6"/>
  <c r="L104" i="6" s="1"/>
  <c r="M103" i="6"/>
  <c r="L103" i="6" s="1"/>
  <c r="M102" i="6"/>
  <c r="L102" i="6" s="1"/>
  <c r="M101" i="6"/>
  <c r="L101" i="6" s="1"/>
  <c r="M100" i="6"/>
  <c r="L100" i="6" s="1"/>
  <c r="M99" i="6"/>
  <c r="L99" i="6" s="1"/>
  <c r="M98" i="6"/>
  <c r="L98" i="6" s="1"/>
  <c r="M97" i="6"/>
  <c r="L97" i="6" s="1"/>
  <c r="M96" i="6"/>
  <c r="L96" i="6" s="1"/>
  <c r="M95" i="6"/>
  <c r="L95" i="6" s="1"/>
  <c r="M94" i="6"/>
  <c r="L94" i="6" s="1"/>
  <c r="M93" i="6"/>
  <c r="L93" i="6" s="1"/>
  <c r="M92" i="6"/>
  <c r="L92" i="6" s="1"/>
  <c r="M91" i="6"/>
  <c r="L91" i="6" s="1"/>
  <c r="M90" i="6"/>
  <c r="I120" i="6" s="1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69" i="6"/>
  <c r="DN69" i="6" s="1"/>
  <c r="H69" i="6"/>
  <c r="M68" i="6"/>
  <c r="DN68" i="6" s="1"/>
  <c r="H68" i="6"/>
  <c r="J68" i="6" s="1"/>
  <c r="M67" i="6"/>
  <c r="DN67" i="6" s="1"/>
  <c r="H67" i="6"/>
  <c r="J67" i="6" s="1"/>
  <c r="M66" i="6"/>
  <c r="DN66" i="6" s="1"/>
  <c r="H66" i="6"/>
  <c r="J66" i="6" s="1"/>
  <c r="L66" i="6" s="1"/>
  <c r="M65" i="6"/>
  <c r="DN65" i="6" s="1"/>
  <c r="H65" i="6"/>
  <c r="J65" i="6" s="1"/>
  <c r="M64" i="6"/>
  <c r="DN64" i="6" s="1"/>
  <c r="H64" i="6"/>
  <c r="J64" i="6" s="1"/>
  <c r="M63" i="6"/>
  <c r="DN63" i="6" s="1"/>
  <c r="H63" i="6"/>
  <c r="J63" i="6" s="1"/>
  <c r="M62" i="6"/>
  <c r="DN62" i="6" s="1"/>
  <c r="H62" i="6"/>
  <c r="J62" i="6" s="1"/>
  <c r="M61" i="6"/>
  <c r="DN61" i="6" s="1"/>
  <c r="H61" i="6"/>
  <c r="J61" i="6" s="1"/>
  <c r="M60" i="6"/>
  <c r="DN60" i="6" s="1"/>
  <c r="H60" i="6"/>
  <c r="J60" i="6" s="1"/>
  <c r="M59" i="6"/>
  <c r="DN59" i="6" s="1"/>
  <c r="H59" i="6"/>
  <c r="J59" i="6" s="1"/>
  <c r="M58" i="6"/>
  <c r="DN58" i="6" s="1"/>
  <c r="H58" i="6"/>
  <c r="J58" i="6" s="1"/>
  <c r="L58" i="6" s="1"/>
  <c r="M57" i="6"/>
  <c r="DN57" i="6" s="1"/>
  <c r="H57" i="6"/>
  <c r="J57" i="6" s="1"/>
  <c r="M56" i="6"/>
  <c r="DN56" i="6" s="1"/>
  <c r="H56" i="6"/>
  <c r="J56" i="6" s="1"/>
  <c r="M55" i="6"/>
  <c r="DN55" i="6" s="1"/>
  <c r="H55" i="6"/>
  <c r="M54" i="6"/>
  <c r="DN54" i="6" s="1"/>
  <c r="H54" i="6"/>
  <c r="J54" i="6" s="1"/>
  <c r="M53" i="6"/>
  <c r="DN53" i="6" s="1"/>
  <c r="H53" i="6"/>
  <c r="J53" i="6" s="1"/>
  <c r="M52" i="6"/>
  <c r="DN52" i="6" s="1"/>
  <c r="H52" i="6"/>
  <c r="J52" i="6" s="1"/>
  <c r="M51" i="6"/>
  <c r="DN51" i="6" s="1"/>
  <c r="H51" i="6"/>
  <c r="J51" i="6" s="1"/>
  <c r="M50" i="6"/>
  <c r="DN50" i="6" s="1"/>
  <c r="H50" i="6"/>
  <c r="J50" i="6" s="1"/>
  <c r="L50" i="6" s="1"/>
  <c r="M49" i="6"/>
  <c r="DN49" i="6" s="1"/>
  <c r="H49" i="6"/>
  <c r="J49" i="6" s="1"/>
  <c r="M48" i="6"/>
  <c r="DN48" i="6" s="1"/>
  <c r="H48" i="6"/>
  <c r="J48" i="6" s="1"/>
  <c r="M47" i="6"/>
  <c r="DN47" i="6" s="1"/>
  <c r="H47" i="6"/>
  <c r="J47" i="6" s="1"/>
  <c r="M46" i="6"/>
  <c r="DN46" i="6" s="1"/>
  <c r="H46" i="6"/>
  <c r="J46" i="6" s="1"/>
  <c r="M45" i="6"/>
  <c r="DN45" i="6" s="1"/>
  <c r="H45" i="6"/>
  <c r="J45" i="6" s="1"/>
  <c r="M44" i="6"/>
  <c r="DN44" i="6" s="1"/>
  <c r="H44" i="6"/>
  <c r="J44" i="6" s="1"/>
  <c r="M43" i="6"/>
  <c r="DN43" i="6" s="1"/>
  <c r="H43" i="6"/>
  <c r="J43" i="6" s="1"/>
  <c r="M42" i="6"/>
  <c r="DN42" i="6" s="1"/>
  <c r="H42" i="6"/>
  <c r="J42" i="6" s="1"/>
  <c r="L42" i="6" s="1"/>
  <c r="M41" i="6"/>
  <c r="DN41" i="6" s="1"/>
  <c r="H41" i="6"/>
  <c r="J41" i="6" s="1"/>
  <c r="M40" i="6"/>
  <c r="DN40" i="6" s="1"/>
  <c r="H40" i="6"/>
  <c r="J40" i="6" s="1"/>
  <c r="M39" i="6"/>
  <c r="DN39" i="6" s="1"/>
  <c r="H39" i="6"/>
  <c r="M38" i="6"/>
  <c r="DN38" i="6" s="1"/>
  <c r="H38" i="6"/>
  <c r="J38" i="6" s="1"/>
  <c r="M37" i="6"/>
  <c r="DN37" i="6" s="1"/>
  <c r="H37" i="6"/>
  <c r="J37" i="6" s="1"/>
  <c r="M36" i="6"/>
  <c r="DN36" i="6" s="1"/>
  <c r="H36" i="6"/>
  <c r="J36" i="6" s="1"/>
  <c r="M35" i="6"/>
  <c r="DN35" i="6" s="1"/>
  <c r="H35" i="6"/>
  <c r="J35" i="6" s="1"/>
  <c r="M34" i="6"/>
  <c r="DN34" i="6" s="1"/>
  <c r="H34" i="6"/>
  <c r="J34" i="6" s="1"/>
  <c r="M33" i="6"/>
  <c r="DN33" i="6" s="1"/>
  <c r="H33" i="6"/>
  <c r="J33" i="6" s="1"/>
  <c r="M32" i="6"/>
  <c r="DN32" i="6" s="1"/>
  <c r="H32" i="6"/>
  <c r="J32" i="6" s="1"/>
  <c r="M31" i="6"/>
  <c r="H31" i="6"/>
  <c r="J31" i="6" s="1"/>
  <c r="M30" i="6"/>
  <c r="DN30" i="6" s="1"/>
  <c r="H30" i="6"/>
  <c r="M29" i="6"/>
  <c r="DN29" i="6" s="1"/>
  <c r="H29" i="6"/>
  <c r="J29" i="6" s="1"/>
  <c r="M28" i="6"/>
  <c r="H28" i="6"/>
  <c r="J28" i="6" s="1"/>
  <c r="M27" i="6"/>
  <c r="DN27" i="6" s="1"/>
  <c r="H27" i="6"/>
  <c r="M26" i="6"/>
  <c r="DN26" i="6" s="1"/>
  <c r="H26" i="6"/>
  <c r="M25" i="6"/>
  <c r="DN25" i="6" s="1"/>
  <c r="H25" i="6"/>
  <c r="J25" i="6" s="1"/>
  <c r="M24" i="6"/>
  <c r="DN24" i="6" s="1"/>
  <c r="H24" i="6"/>
  <c r="J24" i="6" s="1"/>
  <c r="M23" i="6"/>
  <c r="DN23" i="6" s="1"/>
  <c r="H23" i="6"/>
  <c r="J23" i="6" s="1"/>
  <c r="M22" i="6"/>
  <c r="DN22" i="6" s="1"/>
  <c r="H22" i="6"/>
  <c r="M21" i="6"/>
  <c r="DN21" i="6" s="1"/>
  <c r="H21" i="6"/>
  <c r="M20" i="6"/>
  <c r="DN20" i="6" s="1"/>
  <c r="H20" i="6"/>
  <c r="J20" i="6" s="1"/>
  <c r="N18" i="6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L186" i="5"/>
  <c r="DK186" i="5"/>
  <c r="DJ186" i="5"/>
  <c r="DI186" i="5"/>
  <c r="DH186" i="5"/>
  <c r="DG186" i="5"/>
  <c r="DF186" i="5"/>
  <c r="DE186" i="5"/>
  <c r="DD186" i="5"/>
  <c r="DC186" i="5"/>
  <c r="DB186" i="5"/>
  <c r="DA186" i="5"/>
  <c r="CZ186" i="5"/>
  <c r="CY186" i="5"/>
  <c r="CX186" i="5"/>
  <c r="CW186" i="5"/>
  <c r="CV186" i="5"/>
  <c r="CU186" i="5"/>
  <c r="CT186" i="5"/>
  <c r="CS186" i="5"/>
  <c r="CR186" i="5"/>
  <c r="CQ186" i="5"/>
  <c r="CP186" i="5"/>
  <c r="CO186" i="5"/>
  <c r="CN186" i="5"/>
  <c r="CM186" i="5"/>
  <c r="CL186" i="5"/>
  <c r="CK186" i="5"/>
  <c r="CJ186" i="5"/>
  <c r="CI186" i="5"/>
  <c r="CH186" i="5"/>
  <c r="CG186" i="5"/>
  <c r="CF186" i="5"/>
  <c r="CE186" i="5"/>
  <c r="CD186" i="5"/>
  <c r="CC186" i="5"/>
  <c r="CB186" i="5"/>
  <c r="CA186" i="5"/>
  <c r="BZ186" i="5"/>
  <c r="BY186" i="5"/>
  <c r="BX186" i="5"/>
  <c r="BW186" i="5"/>
  <c r="BV186" i="5"/>
  <c r="BU186" i="5"/>
  <c r="BT186" i="5"/>
  <c r="BS186" i="5"/>
  <c r="BR186" i="5"/>
  <c r="BQ186" i="5"/>
  <c r="BP186" i="5"/>
  <c r="BO186" i="5"/>
  <c r="BN186" i="5"/>
  <c r="BM186" i="5"/>
  <c r="BL186" i="5"/>
  <c r="BK186" i="5"/>
  <c r="BJ186" i="5"/>
  <c r="BI186" i="5"/>
  <c r="BH186" i="5"/>
  <c r="BG186" i="5"/>
  <c r="BF186" i="5"/>
  <c r="BE186" i="5"/>
  <c r="BD186" i="5"/>
  <c r="BC186" i="5"/>
  <c r="BB186" i="5"/>
  <c r="BA186" i="5"/>
  <c r="AZ186" i="5"/>
  <c r="AY186" i="5"/>
  <c r="AX186" i="5"/>
  <c r="AW186" i="5"/>
  <c r="AV186" i="5"/>
  <c r="AU186" i="5"/>
  <c r="AT186" i="5"/>
  <c r="AS186" i="5"/>
  <c r="AR186" i="5"/>
  <c r="AQ186" i="5"/>
  <c r="AP186" i="5"/>
  <c r="AO186" i="5"/>
  <c r="AN186" i="5"/>
  <c r="AM186" i="5"/>
  <c r="AL186" i="5"/>
  <c r="AK186" i="5"/>
  <c r="AJ186" i="5"/>
  <c r="AI186" i="5"/>
  <c r="AH186" i="5"/>
  <c r="AG186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5" i="5"/>
  <c r="K185" i="5" s="1"/>
  <c r="J185" i="5"/>
  <c r="L184" i="5"/>
  <c r="K184" i="5" s="1"/>
  <c r="J184" i="5"/>
  <c r="L183" i="5"/>
  <c r="K183" i="5" s="1"/>
  <c r="J183" i="5"/>
  <c r="L182" i="5"/>
  <c r="K182" i="5" s="1"/>
  <c r="J182" i="5"/>
  <c r="L181" i="5"/>
  <c r="K181" i="5" s="1"/>
  <c r="J181" i="5"/>
  <c r="L180" i="5"/>
  <c r="K180" i="5" s="1"/>
  <c r="J180" i="5"/>
  <c r="L179" i="5"/>
  <c r="K179" i="5" s="1"/>
  <c r="J179" i="5"/>
  <c r="L178" i="5"/>
  <c r="K178" i="5" s="1"/>
  <c r="J178" i="5"/>
  <c r="L177" i="5"/>
  <c r="K177" i="5" s="1"/>
  <c r="J177" i="5"/>
  <c r="L176" i="5"/>
  <c r="K176" i="5" s="1"/>
  <c r="J176" i="5"/>
  <c r="L175" i="5"/>
  <c r="K175" i="5"/>
  <c r="J175" i="5"/>
  <c r="L174" i="5"/>
  <c r="K174" i="5" s="1"/>
  <c r="J174" i="5"/>
  <c r="L173" i="5"/>
  <c r="K173" i="5" s="1"/>
  <c r="J173" i="5"/>
  <c r="L172" i="5"/>
  <c r="K172" i="5" s="1"/>
  <c r="J172" i="5"/>
  <c r="L171" i="5"/>
  <c r="K171" i="5" s="1"/>
  <c r="J171" i="5"/>
  <c r="L170" i="5"/>
  <c r="K170" i="5" s="1"/>
  <c r="J170" i="5"/>
  <c r="L169" i="5"/>
  <c r="K169" i="5" s="1"/>
  <c r="J169" i="5"/>
  <c r="L168" i="5"/>
  <c r="K168" i="5" s="1"/>
  <c r="J168" i="5"/>
  <c r="L167" i="5"/>
  <c r="K167" i="5" s="1"/>
  <c r="J167" i="5"/>
  <c r="L166" i="5"/>
  <c r="K166" i="5" s="1"/>
  <c r="J166" i="5"/>
  <c r="L165" i="5"/>
  <c r="K165" i="5" s="1"/>
  <c r="J165" i="5"/>
  <c r="L164" i="5"/>
  <c r="K164" i="5" s="1"/>
  <c r="J164" i="5"/>
  <c r="L163" i="5"/>
  <c r="K163" i="5" s="1"/>
  <c r="J163" i="5"/>
  <c r="L162" i="5"/>
  <c r="K162" i="5" s="1"/>
  <c r="J162" i="5"/>
  <c r="L161" i="5"/>
  <c r="K161" i="5" s="1"/>
  <c r="J161" i="5"/>
  <c r="L160" i="5"/>
  <c r="K160" i="5" s="1"/>
  <c r="J160" i="5"/>
  <c r="L159" i="5"/>
  <c r="K159" i="5" s="1"/>
  <c r="J159" i="5"/>
  <c r="L158" i="5"/>
  <c r="K158" i="5" s="1"/>
  <c r="J158" i="5"/>
  <c r="L157" i="5"/>
  <c r="K157" i="5" s="1"/>
  <c r="J157" i="5"/>
  <c r="L156" i="5"/>
  <c r="K156" i="5" s="1"/>
  <c r="J156" i="5"/>
  <c r="DL152" i="5"/>
  <c r="DK152" i="5"/>
  <c r="DJ152" i="5"/>
  <c r="DI152" i="5"/>
  <c r="DH152" i="5"/>
  <c r="DG152" i="5"/>
  <c r="DF152" i="5"/>
  <c r="DE152" i="5"/>
  <c r="DD152" i="5"/>
  <c r="DC152" i="5"/>
  <c r="DB152" i="5"/>
  <c r="DA152" i="5"/>
  <c r="CZ152" i="5"/>
  <c r="CY152" i="5"/>
  <c r="CX152" i="5"/>
  <c r="CW152" i="5"/>
  <c r="CV152" i="5"/>
  <c r="CU152" i="5"/>
  <c r="CT152" i="5"/>
  <c r="CS152" i="5"/>
  <c r="CR152" i="5"/>
  <c r="CQ152" i="5"/>
  <c r="CP152" i="5"/>
  <c r="CO152" i="5"/>
  <c r="CN152" i="5"/>
  <c r="CM152" i="5"/>
  <c r="CL152" i="5"/>
  <c r="CK152" i="5"/>
  <c r="CJ152" i="5"/>
  <c r="CI152" i="5"/>
  <c r="CH152" i="5"/>
  <c r="CG152" i="5"/>
  <c r="CF152" i="5"/>
  <c r="CE152" i="5"/>
  <c r="CD152" i="5"/>
  <c r="CC152" i="5"/>
  <c r="CB152" i="5"/>
  <c r="CA152" i="5"/>
  <c r="BZ152" i="5"/>
  <c r="BY152" i="5"/>
  <c r="BX152" i="5"/>
  <c r="BW152" i="5"/>
  <c r="BV152" i="5"/>
  <c r="BU152" i="5"/>
  <c r="BT152" i="5"/>
  <c r="BS152" i="5"/>
  <c r="BR152" i="5"/>
  <c r="BQ152" i="5"/>
  <c r="BP152" i="5"/>
  <c r="BO152" i="5"/>
  <c r="BN152" i="5"/>
  <c r="BM152" i="5"/>
  <c r="BL152" i="5"/>
  <c r="BK152" i="5"/>
  <c r="BJ152" i="5"/>
  <c r="BI152" i="5"/>
  <c r="BH152" i="5"/>
  <c r="BG152" i="5"/>
  <c r="BF152" i="5"/>
  <c r="BE152" i="5"/>
  <c r="BD152" i="5"/>
  <c r="BC152" i="5"/>
  <c r="BB152" i="5"/>
  <c r="BA152" i="5"/>
  <c r="AZ152" i="5"/>
  <c r="AY152" i="5"/>
  <c r="AX152" i="5"/>
  <c r="AW152" i="5"/>
  <c r="AV152" i="5"/>
  <c r="AU152" i="5"/>
  <c r="AT152" i="5"/>
  <c r="AS152" i="5"/>
  <c r="AR152" i="5"/>
  <c r="AQ152" i="5"/>
  <c r="AP152" i="5"/>
  <c r="AO152" i="5"/>
  <c r="AN152" i="5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1" i="5"/>
  <c r="K151" i="5" s="1"/>
  <c r="J151" i="5"/>
  <c r="L150" i="5"/>
  <c r="K150" i="5" s="1"/>
  <c r="J150" i="5"/>
  <c r="L149" i="5"/>
  <c r="K149" i="5" s="1"/>
  <c r="J149" i="5"/>
  <c r="L148" i="5"/>
  <c r="K148" i="5" s="1"/>
  <c r="J148" i="5"/>
  <c r="L147" i="5"/>
  <c r="K147" i="5" s="1"/>
  <c r="J147" i="5"/>
  <c r="L146" i="5"/>
  <c r="K146" i="5" s="1"/>
  <c r="J146" i="5"/>
  <c r="L145" i="5"/>
  <c r="K145" i="5" s="1"/>
  <c r="J145" i="5"/>
  <c r="L144" i="5"/>
  <c r="K144" i="5" s="1"/>
  <c r="J144" i="5"/>
  <c r="L143" i="5"/>
  <c r="K143" i="5" s="1"/>
  <c r="J143" i="5"/>
  <c r="L142" i="5"/>
  <c r="K142" i="5" s="1"/>
  <c r="J142" i="5"/>
  <c r="L141" i="5"/>
  <c r="K141" i="5" s="1"/>
  <c r="J141" i="5"/>
  <c r="L140" i="5"/>
  <c r="K140" i="5" s="1"/>
  <c r="J140" i="5"/>
  <c r="L139" i="5"/>
  <c r="K139" i="5" s="1"/>
  <c r="J139" i="5"/>
  <c r="L138" i="5"/>
  <c r="K138" i="5" s="1"/>
  <c r="J138" i="5"/>
  <c r="L137" i="5"/>
  <c r="K137" i="5" s="1"/>
  <c r="J137" i="5"/>
  <c r="L136" i="5"/>
  <c r="K136" i="5" s="1"/>
  <c r="J136" i="5"/>
  <c r="L135" i="5"/>
  <c r="K135" i="5" s="1"/>
  <c r="J135" i="5"/>
  <c r="L134" i="5"/>
  <c r="K134" i="5" s="1"/>
  <c r="J134" i="5"/>
  <c r="L133" i="5"/>
  <c r="K133" i="5" s="1"/>
  <c r="J133" i="5"/>
  <c r="L132" i="5"/>
  <c r="K132" i="5" s="1"/>
  <c r="J132" i="5"/>
  <c r="L131" i="5"/>
  <c r="K131" i="5" s="1"/>
  <c r="J131" i="5"/>
  <c r="L130" i="5"/>
  <c r="K130" i="5" s="1"/>
  <c r="J130" i="5"/>
  <c r="L129" i="5"/>
  <c r="K129" i="5" s="1"/>
  <c r="J129" i="5"/>
  <c r="L128" i="5"/>
  <c r="K128" i="5" s="1"/>
  <c r="J128" i="5"/>
  <c r="L127" i="5"/>
  <c r="K127" i="5" s="1"/>
  <c r="J127" i="5"/>
  <c r="L126" i="5"/>
  <c r="K126" i="5" s="1"/>
  <c r="J126" i="5"/>
  <c r="L125" i="5"/>
  <c r="K125" i="5" s="1"/>
  <c r="J125" i="5"/>
  <c r="L124" i="5"/>
  <c r="K124" i="5" s="1"/>
  <c r="J124" i="5"/>
  <c r="L123" i="5"/>
  <c r="K123" i="5" s="1"/>
  <c r="J123" i="5"/>
  <c r="L122" i="5"/>
  <c r="K122" i="5" s="1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L116" i="5"/>
  <c r="K116" i="5" s="1"/>
  <c r="L115" i="5"/>
  <c r="K115" i="5" s="1"/>
  <c r="L114" i="5"/>
  <c r="K114" i="5" s="1"/>
  <c r="L113" i="5"/>
  <c r="K113" i="5" s="1"/>
  <c r="L112" i="5"/>
  <c r="K112" i="5" s="1"/>
  <c r="L111" i="5"/>
  <c r="K111" i="5" s="1"/>
  <c r="L110" i="5"/>
  <c r="K110" i="5" s="1"/>
  <c r="L109" i="5"/>
  <c r="K109" i="5" s="1"/>
  <c r="L108" i="5"/>
  <c r="K108" i="5" s="1"/>
  <c r="L107" i="5"/>
  <c r="K107" i="5" s="1"/>
  <c r="L106" i="5"/>
  <c r="K106" i="5" s="1"/>
  <c r="L105" i="5"/>
  <c r="K105" i="5" s="1"/>
  <c r="L104" i="5"/>
  <c r="K104" i="5" s="1"/>
  <c r="L103" i="5"/>
  <c r="K103" i="5" s="1"/>
  <c r="L102" i="5"/>
  <c r="K102" i="5" s="1"/>
  <c r="L101" i="5"/>
  <c r="K101" i="5" s="1"/>
  <c r="L100" i="5"/>
  <c r="K100" i="5" s="1"/>
  <c r="L99" i="5"/>
  <c r="K99" i="5" s="1"/>
  <c r="L98" i="5"/>
  <c r="K98" i="5" s="1"/>
  <c r="L97" i="5"/>
  <c r="K97" i="5" s="1"/>
  <c r="L96" i="5"/>
  <c r="K96" i="5" s="1"/>
  <c r="L95" i="5"/>
  <c r="K95" i="5" s="1"/>
  <c r="L94" i="5"/>
  <c r="K94" i="5" s="1"/>
  <c r="L93" i="5"/>
  <c r="K93" i="5" s="1"/>
  <c r="L92" i="5"/>
  <c r="K92" i="5" s="1"/>
  <c r="L91" i="5"/>
  <c r="K91" i="5" s="1"/>
  <c r="L90" i="5"/>
  <c r="K90" i="5" s="1"/>
  <c r="L89" i="5"/>
  <c r="K89" i="5" s="1"/>
  <c r="K88" i="5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69" i="5"/>
  <c r="DM69" i="5" s="1"/>
  <c r="H69" i="5"/>
  <c r="L68" i="5"/>
  <c r="DM68" i="5" s="1"/>
  <c r="H68" i="5"/>
  <c r="L67" i="5"/>
  <c r="DM67" i="5" s="1"/>
  <c r="H67" i="5"/>
  <c r="L66" i="5"/>
  <c r="DM66" i="5" s="1"/>
  <c r="H66" i="5"/>
  <c r="J66" i="5" s="1"/>
  <c r="L65" i="5"/>
  <c r="DM65" i="5" s="1"/>
  <c r="H65" i="5"/>
  <c r="L64" i="5"/>
  <c r="DM64" i="5" s="1"/>
  <c r="H64" i="5"/>
  <c r="L63" i="5"/>
  <c r="DM63" i="5" s="1"/>
  <c r="H63" i="5"/>
  <c r="L62" i="5"/>
  <c r="DM62" i="5" s="1"/>
  <c r="H62" i="5"/>
  <c r="J62" i="5" s="1"/>
  <c r="L61" i="5"/>
  <c r="DM61" i="5" s="1"/>
  <c r="H61" i="5"/>
  <c r="L60" i="5"/>
  <c r="DM60" i="5" s="1"/>
  <c r="H60" i="5"/>
  <c r="L59" i="5"/>
  <c r="DM59" i="5" s="1"/>
  <c r="H59" i="5"/>
  <c r="L58" i="5"/>
  <c r="DM58" i="5" s="1"/>
  <c r="H58" i="5"/>
  <c r="J58" i="5" s="1"/>
  <c r="L57" i="5"/>
  <c r="DM57" i="5" s="1"/>
  <c r="H57" i="5"/>
  <c r="L56" i="5"/>
  <c r="DM56" i="5" s="1"/>
  <c r="H56" i="5"/>
  <c r="L55" i="5"/>
  <c r="DM55" i="5" s="1"/>
  <c r="H55" i="5"/>
  <c r="L54" i="5"/>
  <c r="DM54" i="5" s="1"/>
  <c r="H54" i="5"/>
  <c r="L53" i="5"/>
  <c r="DM53" i="5" s="1"/>
  <c r="H53" i="5"/>
  <c r="L52" i="5"/>
  <c r="DM52" i="5" s="1"/>
  <c r="H52" i="5"/>
  <c r="L51" i="5"/>
  <c r="DM51" i="5" s="1"/>
  <c r="H51" i="5"/>
  <c r="L50" i="5"/>
  <c r="DM50" i="5" s="1"/>
  <c r="H50" i="5"/>
  <c r="L49" i="5"/>
  <c r="DM49" i="5" s="1"/>
  <c r="H49" i="5"/>
  <c r="L48" i="5"/>
  <c r="DM48" i="5" s="1"/>
  <c r="H48" i="5"/>
  <c r="L47" i="5"/>
  <c r="DM47" i="5" s="1"/>
  <c r="H47" i="5"/>
  <c r="L46" i="5"/>
  <c r="DM46" i="5" s="1"/>
  <c r="H46" i="5"/>
  <c r="L45" i="5"/>
  <c r="DM45" i="5" s="1"/>
  <c r="H45" i="5"/>
  <c r="L44" i="5"/>
  <c r="DM44" i="5" s="1"/>
  <c r="H44" i="5"/>
  <c r="L43" i="5"/>
  <c r="DM43" i="5" s="1"/>
  <c r="H43" i="5"/>
  <c r="L42" i="5"/>
  <c r="DM42" i="5" s="1"/>
  <c r="H42" i="5"/>
  <c r="L41" i="5"/>
  <c r="DM41" i="5" s="1"/>
  <c r="H41" i="5"/>
  <c r="L40" i="5"/>
  <c r="DM40" i="5" s="1"/>
  <c r="H40" i="5"/>
  <c r="L39" i="5"/>
  <c r="DM39" i="5" s="1"/>
  <c r="H39" i="5"/>
  <c r="L38" i="5"/>
  <c r="DM38" i="5" s="1"/>
  <c r="H38" i="5"/>
  <c r="L37" i="5"/>
  <c r="DM37" i="5" s="1"/>
  <c r="H37" i="5"/>
  <c r="L36" i="5"/>
  <c r="DM36" i="5" s="1"/>
  <c r="H36" i="5"/>
  <c r="L35" i="5"/>
  <c r="DM35" i="5" s="1"/>
  <c r="H35" i="5"/>
  <c r="L34" i="5"/>
  <c r="DM34" i="5" s="1"/>
  <c r="H34" i="5"/>
  <c r="L33" i="5"/>
  <c r="DM33" i="5" s="1"/>
  <c r="H33" i="5"/>
  <c r="L32" i="5"/>
  <c r="DM32" i="5" s="1"/>
  <c r="H32" i="5"/>
  <c r="L31" i="5"/>
  <c r="DM31" i="5" s="1"/>
  <c r="H31" i="5"/>
  <c r="L30" i="5"/>
  <c r="DM30" i="5" s="1"/>
  <c r="H30" i="5"/>
  <c r="L29" i="5"/>
  <c r="DM29" i="5" s="1"/>
  <c r="H29" i="5"/>
  <c r="L28" i="5"/>
  <c r="DM28" i="5" s="1"/>
  <c r="H28" i="5"/>
  <c r="L27" i="5"/>
  <c r="DM27" i="5" s="1"/>
  <c r="H27" i="5"/>
  <c r="L26" i="5"/>
  <c r="DM26" i="5" s="1"/>
  <c r="H26" i="5"/>
  <c r="L25" i="5"/>
  <c r="DM25" i="5" s="1"/>
  <c r="H25" i="5"/>
  <c r="L24" i="5"/>
  <c r="DM24" i="5" s="1"/>
  <c r="H24" i="5"/>
  <c r="L23" i="5"/>
  <c r="DM23" i="5" s="1"/>
  <c r="H23" i="5"/>
  <c r="L22" i="5"/>
  <c r="DM22" i="5" s="1"/>
  <c r="H22" i="5"/>
  <c r="L21" i="5"/>
  <c r="DM21" i="5" s="1"/>
  <c r="H21" i="5"/>
  <c r="L20" i="5"/>
  <c r="H20" i="5"/>
  <c r="M18" i="5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B11" i="1"/>
  <c r="B3" i="1"/>
  <c r="N191" i="6" l="1"/>
  <c r="L59" i="6"/>
  <c r="L67" i="6"/>
  <c r="N189" i="5"/>
  <c r="V189" i="5"/>
  <c r="AD189" i="5"/>
  <c r="J22" i="5"/>
  <c r="J26" i="5"/>
  <c r="DL84" i="5"/>
  <c r="M84" i="5"/>
  <c r="AL189" i="5"/>
  <c r="AT189" i="5"/>
  <c r="BB189" i="5"/>
  <c r="BJ189" i="5"/>
  <c r="BR189" i="5"/>
  <c r="BZ189" i="5"/>
  <c r="CH189" i="5"/>
  <c r="CP189" i="5"/>
  <c r="CX189" i="5"/>
  <c r="DF189" i="5"/>
  <c r="J36" i="5"/>
  <c r="J68" i="5"/>
  <c r="J29" i="5"/>
  <c r="L33" i="6"/>
  <c r="L41" i="6"/>
  <c r="L49" i="6"/>
  <c r="L57" i="6"/>
  <c r="L65" i="6"/>
  <c r="AG191" i="6"/>
  <c r="Q191" i="6"/>
  <c r="P191" i="6"/>
  <c r="X191" i="6"/>
  <c r="AF191" i="6"/>
  <c r="AN191" i="6"/>
  <c r="AV191" i="6"/>
  <c r="BD191" i="6"/>
  <c r="BL191" i="6"/>
  <c r="BT191" i="6"/>
  <c r="CB191" i="6"/>
  <c r="CJ191" i="6"/>
  <c r="CR191" i="6"/>
  <c r="CZ191" i="6"/>
  <c r="DH191" i="6"/>
  <c r="V191" i="6"/>
  <c r="AD191" i="6"/>
  <c r="AL191" i="6"/>
  <c r="AT191" i="6"/>
  <c r="BJ191" i="6"/>
  <c r="BR191" i="6"/>
  <c r="BZ191" i="6"/>
  <c r="CH191" i="6"/>
  <c r="CP191" i="6"/>
  <c r="CX191" i="6"/>
  <c r="DF191" i="6"/>
  <c r="L32" i="6"/>
  <c r="L56" i="6"/>
  <c r="L64" i="6"/>
  <c r="K26" i="6"/>
  <c r="O84" i="5"/>
  <c r="T84" i="5"/>
  <c r="K22" i="6"/>
  <c r="AJ84" i="5"/>
  <c r="CV84" i="5"/>
  <c r="AR84" i="5"/>
  <c r="DD84" i="5"/>
  <c r="AZ84" i="5"/>
  <c r="BH84" i="5"/>
  <c r="BP84" i="5"/>
  <c r="BX84" i="5"/>
  <c r="O72" i="6"/>
  <c r="O84" i="6" s="1"/>
  <c r="W84" i="5"/>
  <c r="AB84" i="5"/>
  <c r="CF84" i="5"/>
  <c r="AE84" i="5"/>
  <c r="CN84" i="5"/>
  <c r="K84" i="5"/>
  <c r="K40" i="6"/>
  <c r="K32" i="6"/>
  <c r="J26" i="6"/>
  <c r="L26" i="6" s="1"/>
  <c r="L84" i="6"/>
  <c r="F10" i="6" s="1"/>
  <c r="K48" i="6"/>
  <c r="R191" i="6"/>
  <c r="Z191" i="6"/>
  <c r="BV191" i="6"/>
  <c r="CD191" i="6"/>
  <c r="CL191" i="6"/>
  <c r="L34" i="6"/>
  <c r="CS191" i="6"/>
  <c r="K24" i="6"/>
  <c r="K25" i="6"/>
  <c r="L28" i="6"/>
  <c r="L29" i="6"/>
  <c r="O191" i="6"/>
  <c r="W191" i="6"/>
  <c r="AE191" i="6"/>
  <c r="AM191" i="6"/>
  <c r="AU191" i="6"/>
  <c r="BC191" i="6"/>
  <c r="BK191" i="6"/>
  <c r="BS191" i="6"/>
  <c r="CA191" i="6"/>
  <c r="CI191" i="6"/>
  <c r="CQ191" i="6"/>
  <c r="CY191" i="6"/>
  <c r="DG191" i="6"/>
  <c r="M120" i="6"/>
  <c r="K64" i="6"/>
  <c r="L20" i="6"/>
  <c r="L25" i="6"/>
  <c r="K31" i="6"/>
  <c r="K28" i="6"/>
  <c r="L23" i="6"/>
  <c r="K27" i="6"/>
  <c r="L35" i="6"/>
  <c r="Y191" i="6"/>
  <c r="AO191" i="6"/>
  <c r="AW191" i="6"/>
  <c r="BE191" i="6"/>
  <c r="BM191" i="6"/>
  <c r="BU191" i="6"/>
  <c r="CC191" i="6"/>
  <c r="CK191" i="6"/>
  <c r="DA191" i="6"/>
  <c r="DI191" i="6"/>
  <c r="K21" i="6"/>
  <c r="K23" i="6"/>
  <c r="J27" i="6"/>
  <c r="L27" i="6" s="1"/>
  <c r="T191" i="6"/>
  <c r="AH191" i="6"/>
  <c r="AP191" i="6"/>
  <c r="AX191" i="6"/>
  <c r="BF191" i="6"/>
  <c r="BN191" i="6"/>
  <c r="CT191" i="6"/>
  <c r="DB191" i="6"/>
  <c r="DJ191" i="6"/>
  <c r="K30" i="6"/>
  <c r="K56" i="6"/>
  <c r="U191" i="6"/>
  <c r="AC191" i="6"/>
  <c r="AK191" i="6"/>
  <c r="AS191" i="6"/>
  <c r="BA191" i="6"/>
  <c r="BI191" i="6"/>
  <c r="BQ191" i="6"/>
  <c r="BY191" i="6"/>
  <c r="CG191" i="6"/>
  <c r="CO191" i="6"/>
  <c r="CW191" i="6"/>
  <c r="DE191" i="6"/>
  <c r="DM191" i="6"/>
  <c r="L24" i="6"/>
  <c r="J30" i="6"/>
  <c r="L30" i="6" s="1"/>
  <c r="L40" i="6"/>
  <c r="L43" i="6"/>
  <c r="K29" i="6"/>
  <c r="L48" i="6"/>
  <c r="L51" i="6"/>
  <c r="BB191" i="6"/>
  <c r="K188" i="6"/>
  <c r="AU84" i="5"/>
  <c r="BK84" i="5"/>
  <c r="CI84" i="5"/>
  <c r="CY84" i="5"/>
  <c r="AN84" i="5"/>
  <c r="BD84" i="5"/>
  <c r="BT84" i="5"/>
  <c r="CJ84" i="5"/>
  <c r="CZ84" i="5"/>
  <c r="S84" i="5"/>
  <c r="AA84" i="5"/>
  <c r="AI84" i="5"/>
  <c r="AQ84" i="5"/>
  <c r="AY84" i="5"/>
  <c r="BG84" i="5"/>
  <c r="BO84" i="5"/>
  <c r="BW84" i="5"/>
  <c r="CE84" i="5"/>
  <c r="CM84" i="5"/>
  <c r="CU84" i="5"/>
  <c r="DC84" i="5"/>
  <c r="DK84" i="5"/>
  <c r="U84" i="5"/>
  <c r="AC84" i="5"/>
  <c r="AK84" i="5"/>
  <c r="AS84" i="5"/>
  <c r="BA84" i="5"/>
  <c r="BI84" i="5"/>
  <c r="BQ84" i="5"/>
  <c r="BY84" i="5"/>
  <c r="CG84" i="5"/>
  <c r="CO84" i="5"/>
  <c r="CW84" i="5"/>
  <c r="DE84" i="5"/>
  <c r="N84" i="5"/>
  <c r="V84" i="5"/>
  <c r="AD84" i="5"/>
  <c r="AL84" i="5"/>
  <c r="AT84" i="5"/>
  <c r="BB84" i="5"/>
  <c r="BJ84" i="5"/>
  <c r="BR84" i="5"/>
  <c r="BZ84" i="5"/>
  <c r="CH84" i="5"/>
  <c r="CP84" i="5"/>
  <c r="CX84" i="5"/>
  <c r="DF84" i="5"/>
  <c r="AM84" i="5"/>
  <c r="BC84" i="5"/>
  <c r="BS84" i="5"/>
  <c r="CA84" i="5"/>
  <c r="CQ84" i="5"/>
  <c r="P84" i="5"/>
  <c r="AF84" i="5"/>
  <c r="AV84" i="5"/>
  <c r="BL84" i="5"/>
  <c r="CB84" i="5"/>
  <c r="CR84" i="5"/>
  <c r="Q84" i="5"/>
  <c r="Y84" i="5"/>
  <c r="AG84" i="5"/>
  <c r="AO84" i="5"/>
  <c r="AW84" i="5"/>
  <c r="BE84" i="5"/>
  <c r="BM84" i="5"/>
  <c r="BU84" i="5"/>
  <c r="CC84" i="5"/>
  <c r="CK84" i="5"/>
  <c r="CS84" i="5"/>
  <c r="DA84" i="5"/>
  <c r="DI84" i="5"/>
  <c r="DG84" i="5"/>
  <c r="X84" i="5"/>
  <c r="DH84" i="5"/>
  <c r="R84" i="5"/>
  <c r="Z84" i="5"/>
  <c r="AH84" i="5"/>
  <c r="AP84" i="5"/>
  <c r="AX84" i="5"/>
  <c r="BF84" i="5"/>
  <c r="BN84" i="5"/>
  <c r="BV84" i="5"/>
  <c r="CD84" i="5"/>
  <c r="CL84" i="5"/>
  <c r="CT84" i="5"/>
  <c r="DB84" i="5"/>
  <c r="DJ84" i="5"/>
  <c r="J24" i="5"/>
  <c r="J33" i="5"/>
  <c r="J49" i="5"/>
  <c r="J69" i="5"/>
  <c r="J34" i="5"/>
  <c r="J46" i="5"/>
  <c r="J54" i="5"/>
  <c r="J23" i="5"/>
  <c r="J31" i="5"/>
  <c r="J25" i="5"/>
  <c r="J28" i="5"/>
  <c r="J39" i="5"/>
  <c r="J43" i="5"/>
  <c r="J47" i="5"/>
  <c r="J51" i="5"/>
  <c r="J55" i="5"/>
  <c r="J59" i="5"/>
  <c r="J63" i="5"/>
  <c r="J67" i="5"/>
  <c r="Q189" i="5"/>
  <c r="AG189" i="5"/>
  <c r="BE189" i="5"/>
  <c r="BU189" i="5"/>
  <c r="CK189" i="5"/>
  <c r="DA189" i="5"/>
  <c r="R189" i="5"/>
  <c r="Z189" i="5"/>
  <c r="AH189" i="5"/>
  <c r="AP189" i="5"/>
  <c r="BF189" i="5"/>
  <c r="BN189" i="5"/>
  <c r="BV189" i="5"/>
  <c r="CL189" i="5"/>
  <c r="CT189" i="5"/>
  <c r="DB189" i="5"/>
  <c r="Y189" i="5"/>
  <c r="AO189" i="5"/>
  <c r="BM189" i="5"/>
  <c r="CC189" i="5"/>
  <c r="CS189" i="5"/>
  <c r="DI189" i="5"/>
  <c r="DJ189" i="5"/>
  <c r="S189" i="5"/>
  <c r="AA189" i="5"/>
  <c r="AI189" i="5"/>
  <c r="AQ189" i="5"/>
  <c r="AY189" i="5"/>
  <c r="BG189" i="5"/>
  <c r="BO189" i="5"/>
  <c r="BW189" i="5"/>
  <c r="CE189" i="5"/>
  <c r="CM189" i="5"/>
  <c r="CU189" i="5"/>
  <c r="DC189" i="5"/>
  <c r="DK189" i="5"/>
  <c r="AB189" i="5"/>
  <c r="AR189" i="5"/>
  <c r="AZ189" i="5"/>
  <c r="BP189" i="5"/>
  <c r="BX189" i="5"/>
  <c r="CF189" i="5"/>
  <c r="CV189" i="5"/>
  <c r="DD189" i="5"/>
  <c r="DL189" i="5"/>
  <c r="AW189" i="5"/>
  <c r="AX189" i="5"/>
  <c r="CD189" i="5"/>
  <c r="J27" i="5"/>
  <c r="J30" i="5"/>
  <c r="DN28" i="6"/>
  <c r="DN31" i="6"/>
  <c r="K34" i="6"/>
  <c r="K37" i="6"/>
  <c r="K42" i="6"/>
  <c r="K45" i="6"/>
  <c r="K50" i="6"/>
  <c r="K53" i="6"/>
  <c r="K58" i="6"/>
  <c r="K61" i="6"/>
  <c r="K66" i="6"/>
  <c r="K69" i="6"/>
  <c r="S191" i="6"/>
  <c r="AA191" i="6"/>
  <c r="AI191" i="6"/>
  <c r="AQ191" i="6"/>
  <c r="AY191" i="6"/>
  <c r="BG191" i="6"/>
  <c r="BO191" i="6"/>
  <c r="BW191" i="6"/>
  <c r="CE191" i="6"/>
  <c r="CM191" i="6"/>
  <c r="CU191" i="6"/>
  <c r="DC191" i="6"/>
  <c r="DK191" i="6"/>
  <c r="L188" i="6"/>
  <c r="F13" i="6" s="1"/>
  <c r="L154" i="6"/>
  <c r="F12" i="6" s="1"/>
  <c r="L37" i="6"/>
  <c r="L45" i="6"/>
  <c r="L53" i="6"/>
  <c r="L61" i="6"/>
  <c r="J69" i="6"/>
  <c r="L69" i="6" s="1"/>
  <c r="AB191" i="6"/>
  <c r="AJ191" i="6"/>
  <c r="AR191" i="6"/>
  <c r="AZ191" i="6"/>
  <c r="BH191" i="6"/>
  <c r="BP191" i="6"/>
  <c r="BX191" i="6"/>
  <c r="CF191" i="6"/>
  <c r="CN191" i="6"/>
  <c r="CV191" i="6"/>
  <c r="DD191" i="6"/>
  <c r="DL191" i="6"/>
  <c r="M188" i="6"/>
  <c r="J22" i="6"/>
  <c r="L22" i="6" s="1"/>
  <c r="L38" i="6"/>
  <c r="L46" i="6"/>
  <c r="L54" i="6"/>
  <c r="L62" i="6"/>
  <c r="K33" i="6"/>
  <c r="K38" i="6"/>
  <c r="K41" i="6"/>
  <c r="K46" i="6"/>
  <c r="K49" i="6"/>
  <c r="K54" i="6"/>
  <c r="K57" i="6"/>
  <c r="K62" i="6"/>
  <c r="K65" i="6"/>
  <c r="L90" i="6"/>
  <c r="L120" i="6" s="1"/>
  <c r="K120" i="6" s="1"/>
  <c r="J10" i="6" s="1"/>
  <c r="L36" i="6"/>
  <c r="L44" i="6"/>
  <c r="L52" i="6"/>
  <c r="L68" i="6"/>
  <c r="L31" i="6"/>
  <c r="L60" i="6"/>
  <c r="K36" i="6"/>
  <c r="K39" i="6"/>
  <c r="K44" i="6"/>
  <c r="L47" i="6"/>
  <c r="K52" i="6"/>
  <c r="K55" i="6"/>
  <c r="K60" i="6"/>
  <c r="L63" i="6"/>
  <c r="K68" i="6"/>
  <c r="K154" i="6"/>
  <c r="K186" i="5"/>
  <c r="F13" i="5" s="1"/>
  <c r="K118" i="5"/>
  <c r="J40" i="5"/>
  <c r="U189" i="5"/>
  <c r="AC189" i="5"/>
  <c r="AK189" i="5"/>
  <c r="AS189" i="5"/>
  <c r="BA189" i="5"/>
  <c r="BI189" i="5"/>
  <c r="BQ189" i="5"/>
  <c r="BY189" i="5"/>
  <c r="CG189" i="5"/>
  <c r="CO189" i="5"/>
  <c r="CW189" i="5"/>
  <c r="DE189" i="5"/>
  <c r="T189" i="5"/>
  <c r="L186" i="5"/>
  <c r="BH189" i="5"/>
  <c r="J37" i="5"/>
  <c r="J52" i="5"/>
  <c r="J56" i="5"/>
  <c r="O189" i="5"/>
  <c r="W189" i="5"/>
  <c r="AE189" i="5"/>
  <c r="AM189" i="5"/>
  <c r="AU189" i="5"/>
  <c r="BC189" i="5"/>
  <c r="BK189" i="5"/>
  <c r="BS189" i="5"/>
  <c r="CA189" i="5"/>
  <c r="CI189" i="5"/>
  <c r="CQ189" i="5"/>
  <c r="CY189" i="5"/>
  <c r="DG189" i="5"/>
  <c r="L118" i="5"/>
  <c r="J152" i="5"/>
  <c r="P189" i="5"/>
  <c r="X189" i="5"/>
  <c r="AF189" i="5"/>
  <c r="AN189" i="5"/>
  <c r="AV189" i="5"/>
  <c r="BD189" i="5"/>
  <c r="BL189" i="5"/>
  <c r="BT189" i="5"/>
  <c r="CB189" i="5"/>
  <c r="CJ189" i="5"/>
  <c r="CR189" i="5"/>
  <c r="CZ189" i="5"/>
  <c r="DH189" i="5"/>
  <c r="K152" i="5"/>
  <c r="F12" i="5" s="1"/>
  <c r="L152" i="5"/>
  <c r="AJ189" i="5"/>
  <c r="J38" i="5"/>
  <c r="J42" i="5"/>
  <c r="J53" i="5"/>
  <c r="J186" i="5"/>
  <c r="L10" i="5" s="1"/>
  <c r="CN189" i="5"/>
  <c r="J35" i="5"/>
  <c r="J50" i="5"/>
  <c r="J65" i="5"/>
  <c r="J39" i="6"/>
  <c r="L39" i="6" s="1"/>
  <c r="J55" i="6"/>
  <c r="L55" i="6" s="1"/>
  <c r="K35" i="6"/>
  <c r="K43" i="6"/>
  <c r="K47" i="6"/>
  <c r="K51" i="6"/>
  <c r="K59" i="6"/>
  <c r="K63" i="6"/>
  <c r="K67" i="6"/>
  <c r="J32" i="5"/>
  <c r="J45" i="5"/>
  <c r="J48" i="5"/>
  <c r="J61" i="5"/>
  <c r="J64" i="5"/>
  <c r="J41" i="5"/>
  <c r="J44" i="5"/>
  <c r="J57" i="5"/>
  <c r="J60" i="5"/>
  <c r="L70" i="5"/>
  <c r="M189" i="5"/>
  <c r="J20" i="5"/>
  <c r="J21" i="5"/>
  <c r="M154" i="6"/>
  <c r="K20" i="6"/>
  <c r="M70" i="6"/>
  <c r="N84" i="6" s="1"/>
  <c r="J21" i="6"/>
  <c r="L21" i="6" s="1"/>
  <c r="F11" i="5" l="1"/>
  <c r="J118" i="5"/>
  <c r="J10" i="5" s="1"/>
  <c r="L189" i="5"/>
  <c r="P72" i="6"/>
  <c r="P84" i="6" s="1"/>
  <c r="K10" i="5"/>
  <c r="DN70" i="6"/>
  <c r="L70" i="6"/>
  <c r="F11" i="6"/>
  <c r="K10" i="6"/>
  <c r="L10" i="6"/>
  <c r="B29" i="1" s="1"/>
  <c r="M191" i="6"/>
  <c r="B20" i="1"/>
  <c r="K70" i="6"/>
  <c r="B21" i="1"/>
  <c r="J70" i="5"/>
  <c r="B28" i="1" l="1"/>
  <c r="B19" i="1"/>
  <c r="B16" i="1"/>
  <c r="B27" i="1"/>
  <c r="L191" i="6"/>
  <c r="I10" i="6" s="1"/>
  <c r="H10" i="6"/>
  <c r="Q72" i="6"/>
  <c r="Q84" i="6" s="1"/>
  <c r="F9" i="6"/>
  <c r="A3" i="6"/>
  <c r="M10" i="6" s="1"/>
  <c r="B3" i="6" l="1"/>
  <c r="N10" i="6" s="1"/>
  <c r="F15" i="6"/>
  <c r="F16" i="6" s="1"/>
  <c r="B17" i="1"/>
  <c r="R72" i="6"/>
  <c r="S72" i="6" s="1"/>
  <c r="F10" i="5"/>
  <c r="F15" i="5" s="1"/>
  <c r="R84" i="6" l="1"/>
  <c r="B22" i="1"/>
  <c r="B18" i="1"/>
  <c r="T72" i="6"/>
  <c r="S84" i="6"/>
  <c r="H10" i="5" l="1"/>
  <c r="B24" i="1" s="1"/>
  <c r="F16" i="5"/>
  <c r="B23" i="1" s="1"/>
  <c r="T84" i="6"/>
  <c r="U72" i="6"/>
  <c r="I61" i="5" l="1"/>
  <c r="K61" i="5" s="1"/>
  <c r="I52" i="5"/>
  <c r="K52" i="5" s="1"/>
  <c r="I60" i="5"/>
  <c r="K60" i="5" s="1"/>
  <c r="I36" i="5"/>
  <c r="K36" i="5" s="1"/>
  <c r="I23" i="5"/>
  <c r="K23" i="5" s="1"/>
  <c r="I30" i="5"/>
  <c r="K30" i="5" s="1"/>
  <c r="I45" i="5"/>
  <c r="K45" i="5" s="1"/>
  <c r="I69" i="5"/>
  <c r="K69" i="5" s="1"/>
  <c r="I54" i="5"/>
  <c r="K54" i="5" s="1"/>
  <c r="I26" i="5"/>
  <c r="K26" i="5" s="1"/>
  <c r="I39" i="5"/>
  <c r="K39" i="5" s="1"/>
  <c r="I63" i="5"/>
  <c r="K63" i="5" s="1"/>
  <c r="I21" i="5"/>
  <c r="K21" i="5" s="1"/>
  <c r="I28" i="5"/>
  <c r="K28" i="5" s="1"/>
  <c r="I31" i="5"/>
  <c r="K31" i="5" s="1"/>
  <c r="I24" i="5"/>
  <c r="K24" i="5" s="1"/>
  <c r="I56" i="5"/>
  <c r="K56" i="5" s="1"/>
  <c r="I47" i="5"/>
  <c r="K47" i="5" s="1"/>
  <c r="I57" i="5"/>
  <c r="K57" i="5" s="1"/>
  <c r="I59" i="5"/>
  <c r="K59" i="5" s="1"/>
  <c r="I62" i="5"/>
  <c r="K62" i="5" s="1"/>
  <c r="I64" i="5"/>
  <c r="K64" i="5" s="1"/>
  <c r="I51" i="5"/>
  <c r="K51" i="5" s="1"/>
  <c r="I67" i="5"/>
  <c r="K67" i="5" s="1"/>
  <c r="I38" i="5"/>
  <c r="K38" i="5" s="1"/>
  <c r="I66" i="5"/>
  <c r="K66" i="5" s="1"/>
  <c r="I41" i="5"/>
  <c r="K41" i="5" s="1"/>
  <c r="I49" i="5"/>
  <c r="K49" i="5" s="1"/>
  <c r="I44" i="5"/>
  <c r="K44" i="5" s="1"/>
  <c r="I46" i="5"/>
  <c r="K46" i="5" s="1"/>
  <c r="I43" i="5"/>
  <c r="K43" i="5" s="1"/>
  <c r="I42" i="5"/>
  <c r="K42" i="5" s="1"/>
  <c r="I37" i="5"/>
  <c r="K37" i="5" s="1"/>
  <c r="I27" i="5"/>
  <c r="K27" i="5" s="1"/>
  <c r="I33" i="5"/>
  <c r="K33" i="5" s="1"/>
  <c r="I48" i="5"/>
  <c r="K48" i="5" s="1"/>
  <c r="I40" i="5"/>
  <c r="K40" i="5" s="1"/>
  <c r="I50" i="5"/>
  <c r="K50" i="5" s="1"/>
  <c r="I68" i="5"/>
  <c r="K68" i="5" s="1"/>
  <c r="I55" i="5"/>
  <c r="K55" i="5" s="1"/>
  <c r="I65" i="5"/>
  <c r="K65" i="5" s="1"/>
  <c r="I32" i="5"/>
  <c r="K32" i="5" s="1"/>
  <c r="I20" i="5"/>
  <c r="I25" i="5"/>
  <c r="K25" i="5" s="1"/>
  <c r="I29" i="5"/>
  <c r="K29" i="5" s="1"/>
  <c r="I34" i="5"/>
  <c r="K34" i="5" s="1"/>
  <c r="I53" i="5"/>
  <c r="K53" i="5" s="1"/>
  <c r="I35" i="5"/>
  <c r="K35" i="5" s="1"/>
  <c r="I22" i="5"/>
  <c r="K22" i="5" s="1"/>
  <c r="I58" i="5"/>
  <c r="K58" i="5" s="1"/>
  <c r="U84" i="6"/>
  <c r="V72" i="6"/>
  <c r="AP190" i="5" l="1"/>
  <c r="CM190" i="5"/>
  <c r="AI190" i="5"/>
  <c r="DE190" i="5"/>
  <c r="K20" i="5"/>
  <c r="K70" i="5" s="1"/>
  <c r="DF190" i="5"/>
  <c r="DJ190" i="5"/>
  <c r="DK190" i="5"/>
  <c r="AS190" i="5"/>
  <c r="CE190" i="5"/>
  <c r="V190" i="5"/>
  <c r="DB190" i="5"/>
  <c r="CJ190" i="5"/>
  <c r="BX190" i="5"/>
  <c r="CO190" i="5"/>
  <c r="AZ190" i="5"/>
  <c r="CC190" i="5"/>
  <c r="AY190" i="5"/>
  <c r="DD190" i="5"/>
  <c r="BY190" i="5"/>
  <c r="R190" i="5"/>
  <c r="CA190" i="5"/>
  <c r="BV190" i="5"/>
  <c r="BO190" i="5"/>
  <c r="BH190" i="5"/>
  <c r="AK190" i="5"/>
  <c r="BW190" i="5"/>
  <c r="AR190" i="5"/>
  <c r="CZ190" i="5"/>
  <c r="AL190" i="5"/>
  <c r="CG190" i="5"/>
  <c r="AA190" i="5"/>
  <c r="AB190" i="5"/>
  <c r="N190" i="5"/>
  <c r="P190" i="5"/>
  <c r="BG190" i="5"/>
  <c r="AV190" i="5"/>
  <c r="BU190" i="5"/>
  <c r="BA190" i="5"/>
  <c r="BF190" i="5"/>
  <c r="W190" i="5"/>
  <c r="Q190" i="5"/>
  <c r="CS190" i="5"/>
  <c r="BL190" i="5"/>
  <c r="BZ190" i="5"/>
  <c r="O190" i="5"/>
  <c r="AT190" i="5"/>
  <c r="CL190" i="5"/>
  <c r="U190" i="5"/>
  <c r="AO190" i="5"/>
  <c r="DL190" i="5"/>
  <c r="BC190" i="5"/>
  <c r="BN190" i="5"/>
  <c r="M190" i="5"/>
  <c r="AJ190" i="5"/>
  <c r="CB190" i="5"/>
  <c r="CN190" i="5"/>
  <c r="AX190" i="5"/>
  <c r="Z190" i="5"/>
  <c r="CR190" i="5"/>
  <c r="CK190" i="5"/>
  <c r="BI190" i="5"/>
  <c r="BK190" i="5"/>
  <c r="BD190" i="5"/>
  <c r="CU190" i="5"/>
  <c r="AQ190" i="5"/>
  <c r="CF190" i="5"/>
  <c r="AC190" i="5"/>
  <c r="BS190" i="5"/>
  <c r="BE190" i="5"/>
  <c r="AD190" i="5"/>
  <c r="DA190" i="5"/>
  <c r="AN190" i="5"/>
  <c r="CD190" i="5"/>
  <c r="AH190" i="5"/>
  <c r="CT190" i="5"/>
  <c r="CV190" i="5"/>
  <c r="BP190" i="5"/>
  <c r="BB190" i="5"/>
  <c r="X190" i="5"/>
  <c r="AE190" i="5"/>
  <c r="CH190" i="5"/>
  <c r="BQ190" i="5"/>
  <c r="AF190" i="5"/>
  <c r="CY190" i="5"/>
  <c r="DH190" i="5"/>
  <c r="S190" i="5"/>
  <c r="CW190" i="5"/>
  <c r="BJ190" i="5"/>
  <c r="CQ190" i="5"/>
  <c r="DG190" i="5"/>
  <c r="Y190" i="5"/>
  <c r="AG190" i="5"/>
  <c r="AW190" i="5"/>
  <c r="BM190" i="5"/>
  <c r="BR190" i="5"/>
  <c r="DC190" i="5"/>
  <c r="T190" i="5"/>
  <c r="BT190" i="5"/>
  <c r="CX190" i="5"/>
  <c r="AM190" i="5"/>
  <c r="AU190" i="5"/>
  <c r="CI190" i="5"/>
  <c r="DI190" i="5"/>
  <c r="CP190" i="5"/>
  <c r="V84" i="6"/>
  <c r="W72" i="6"/>
  <c r="K189" i="5" l="1"/>
  <c r="I10" i="5" s="1"/>
  <c r="B25" i="1" s="1"/>
  <c r="X72" i="6"/>
  <c r="W84" i="6"/>
  <c r="X84" i="6" l="1"/>
  <c r="Y72" i="6"/>
  <c r="Z72" i="6" l="1"/>
  <c r="Y84" i="6"/>
  <c r="AA72" i="6" l="1"/>
  <c r="Z84" i="6"/>
  <c r="AA84" i="6" l="1"/>
  <c r="AB72" i="6"/>
  <c r="AB84" i="6" l="1"/>
  <c r="AC72" i="6"/>
  <c r="AC84" i="6" l="1"/>
  <c r="AD72" i="6"/>
  <c r="AE72" i="6" l="1"/>
  <c r="AD84" i="6"/>
  <c r="AF72" i="6" l="1"/>
  <c r="AE84" i="6"/>
  <c r="AG72" i="6" l="1"/>
  <c r="AF84" i="6"/>
  <c r="AH72" i="6" l="1"/>
  <c r="AG84" i="6"/>
  <c r="AI72" i="6" l="1"/>
  <c r="AH84" i="6"/>
  <c r="AJ72" i="6" l="1"/>
  <c r="AI84" i="6"/>
  <c r="AJ84" i="6" l="1"/>
  <c r="AK72" i="6"/>
  <c r="AK84" i="6" l="1"/>
  <c r="AL72" i="6"/>
  <c r="AM72" i="6" l="1"/>
  <c r="AL84" i="6"/>
  <c r="AM84" i="6" l="1"/>
  <c r="AN72" i="6"/>
  <c r="AN84" i="6" l="1"/>
  <c r="AO72" i="6"/>
  <c r="AP72" i="6" l="1"/>
  <c r="AO84" i="6"/>
  <c r="AQ72" i="6" l="1"/>
  <c r="AP84" i="6"/>
  <c r="AQ84" i="6" l="1"/>
  <c r="AR72" i="6"/>
  <c r="AR84" i="6" l="1"/>
  <c r="AS72" i="6"/>
  <c r="AS84" i="6" l="1"/>
  <c r="AT72" i="6"/>
  <c r="AT84" i="6" l="1"/>
  <c r="AU72" i="6"/>
  <c r="AV72" i="6" l="1"/>
  <c r="AU84" i="6"/>
  <c r="AW72" i="6" l="1"/>
  <c r="AV84" i="6"/>
  <c r="AX72" i="6" l="1"/>
  <c r="AW84" i="6"/>
  <c r="AY72" i="6" l="1"/>
  <c r="AX84" i="6"/>
  <c r="AZ72" i="6" l="1"/>
  <c r="AY84" i="6"/>
  <c r="AZ84" i="6" l="1"/>
  <c r="BA72" i="6"/>
  <c r="BA84" i="6" l="1"/>
  <c r="BB72" i="6"/>
  <c r="BC72" i="6" l="1"/>
  <c r="BB84" i="6"/>
  <c r="BC84" i="6" l="1"/>
  <c r="BD72" i="6"/>
  <c r="BE72" i="6" l="1"/>
  <c r="BD84" i="6"/>
  <c r="BF72" i="6" l="1"/>
  <c r="BE84" i="6"/>
  <c r="BG72" i="6" l="1"/>
  <c r="BF84" i="6"/>
  <c r="BG84" i="6" l="1"/>
  <c r="BH72" i="6"/>
  <c r="BH84" i="6" l="1"/>
  <c r="BI72" i="6"/>
  <c r="BI84" i="6" l="1"/>
  <c r="BJ72" i="6"/>
  <c r="BK72" i="6" l="1"/>
  <c r="BJ84" i="6"/>
  <c r="BL72" i="6" l="1"/>
  <c r="BK84" i="6"/>
  <c r="BL84" i="6" l="1"/>
  <c r="BM72" i="6"/>
  <c r="BN72" i="6" l="1"/>
  <c r="BM84" i="6"/>
  <c r="BO72" i="6" l="1"/>
  <c r="BN84" i="6"/>
  <c r="BP72" i="6" l="1"/>
  <c r="BO84" i="6"/>
  <c r="BP84" i="6" l="1"/>
  <c r="BQ72" i="6"/>
  <c r="BQ84" i="6" l="1"/>
  <c r="BR72" i="6"/>
  <c r="BS72" i="6" l="1"/>
  <c r="BR84" i="6"/>
  <c r="BT72" i="6" l="1"/>
  <c r="BS84" i="6"/>
  <c r="BT84" i="6" l="1"/>
  <c r="BU72" i="6"/>
  <c r="BV72" i="6" l="1"/>
  <c r="BU84" i="6"/>
  <c r="BW72" i="6" l="1"/>
  <c r="BV84" i="6"/>
  <c r="BW84" i="6" l="1"/>
  <c r="BX72" i="6"/>
  <c r="BX84" i="6" l="1"/>
  <c r="BY72" i="6"/>
  <c r="BY84" i="6" l="1"/>
  <c r="BZ72" i="6"/>
  <c r="BZ84" i="6" l="1"/>
  <c r="CA72" i="6"/>
  <c r="CA84" i="6" l="1"/>
  <c r="CB72" i="6"/>
  <c r="CC72" i="6" l="1"/>
  <c r="CB84" i="6"/>
  <c r="CD72" i="6" l="1"/>
  <c r="CC84" i="6"/>
  <c r="CE72" i="6" l="1"/>
  <c r="CD84" i="6"/>
  <c r="CE84" i="6" l="1"/>
  <c r="CF72" i="6"/>
  <c r="CF84" i="6" l="1"/>
  <c r="CG72" i="6"/>
  <c r="CG84" i="6" l="1"/>
  <c r="CH72" i="6"/>
  <c r="CI72" i="6" l="1"/>
  <c r="CH84" i="6"/>
  <c r="CJ72" i="6" l="1"/>
  <c r="CI84" i="6"/>
  <c r="CK72" i="6" l="1"/>
  <c r="CJ84" i="6"/>
  <c r="CL72" i="6" l="1"/>
  <c r="CK84" i="6"/>
  <c r="CM72" i="6" l="1"/>
  <c r="CL84" i="6"/>
  <c r="CM84" i="6" l="1"/>
  <c r="CN72" i="6"/>
  <c r="CN84" i="6" l="1"/>
  <c r="CO72" i="6"/>
  <c r="CO84" i="6" l="1"/>
  <c r="CP72" i="6"/>
  <c r="CQ72" i="6" l="1"/>
  <c r="CP84" i="6"/>
  <c r="CR72" i="6" l="1"/>
  <c r="CQ84" i="6"/>
  <c r="CR84" i="6" l="1"/>
  <c r="CS72" i="6"/>
  <c r="CT72" i="6" l="1"/>
  <c r="CS84" i="6"/>
  <c r="CU72" i="6" l="1"/>
  <c r="CT84" i="6"/>
  <c r="CU84" i="6" l="1"/>
  <c r="CV72" i="6"/>
  <c r="CV84" i="6" l="1"/>
  <c r="CW72" i="6"/>
  <c r="CW84" i="6" l="1"/>
  <c r="CX72" i="6"/>
  <c r="CY72" i="6" l="1"/>
  <c r="CX84" i="6"/>
  <c r="CY84" i="6" l="1"/>
  <c r="CZ72" i="6"/>
  <c r="CZ84" i="6" l="1"/>
  <c r="DA72" i="6"/>
  <c r="DB72" i="6" l="1"/>
  <c r="DA84" i="6"/>
  <c r="DC72" i="6" l="1"/>
  <c r="DB84" i="6"/>
  <c r="DD72" i="6" l="1"/>
  <c r="DC84" i="6"/>
  <c r="DD84" i="6" l="1"/>
  <c r="DE72" i="6"/>
  <c r="DE84" i="6" l="1"/>
  <c r="DF72" i="6"/>
  <c r="DG72" i="6" l="1"/>
  <c r="DF84" i="6"/>
  <c r="DH72" i="6" l="1"/>
  <c r="DG84" i="6"/>
  <c r="DH84" i="6" l="1"/>
  <c r="DI72" i="6"/>
  <c r="DJ72" i="6" l="1"/>
  <c r="DI84" i="6"/>
  <c r="DK72" i="6" l="1"/>
  <c r="DJ84" i="6"/>
  <c r="DK84" i="6" l="1"/>
  <c r="DL72" i="6"/>
  <c r="DL84" i="6" l="1"/>
  <c r="DM72" i="6"/>
  <c r="DM84" i="6" s="1"/>
  <c r="DM20" i="5"/>
  <c r="DM70" i="5" s="1"/>
  <c r="A3" i="5" s="1"/>
  <c r="M10" i="5" s="1"/>
  <c r="B26" i="1" l="1"/>
  <c r="B3" i="5"/>
  <c r="B30" i="1"/>
  <c r="B31" i="1" l="1"/>
  <c r="N1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tc={876A295B-22CD-464B-A369-202370C44B1C}</author>
    <author>tc={556D86FE-9134-4CE9-B6B2-9FFACC6C111B}</author>
    <author>tc={74B26C46-8846-4BE3-967A-8AFD62600A4E}</author>
    <author>tc={E014D9A0-1462-406B-AE2A-42AD607E9ADF}</author>
    <author>tc={2B3AF65E-567F-413A-9EF0-4625321D0660}</author>
    <author>tc={A1CF3E0B-4953-4E3A-A74D-C0B459DB3E54}</author>
    <author>tc={5DE78B09-B5A1-4D75-880C-AB81A10B48A4}</author>
    <author>tc={B2B18A09-5623-4464-A6F7-BEF19FF14279}</author>
    <author>tc={02A79AE3-51B0-4A54-836A-7D8D4D049FB6}</author>
    <author>tc={3AA86F36-2729-448E-B614-AD092A83ADCF}</author>
    <author>tc={4C672C17-F378-412C-99AF-0931D18FC5C9}</author>
  </authors>
  <commentList>
    <comment ref="Q20" authorId="0" shapeId="0" xr:uid="{876A295B-22CD-464B-A369-202370C44B1C}">
      <text>
        <t>[Threaded comment]
Your version of Excel allows you to read this threaded comment; however, any edits to it will get removed if the file is opened in a newer version of Excel. Learn more: https://go.microsoft.com/fwlink/?linkid=870924
Comment:
    1 assumed monthly leave + 1 leave for 1st May</t>
      </text>
    </comment>
    <comment ref="R20" authorId="1" shapeId="0" xr:uid="{556D86FE-9134-4CE9-B6B2-9FFACC6C11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 monthly leave </t>
      </text>
    </comment>
    <comment ref="Y20" authorId="2" shapeId="0" xr:uid="{74B26C46-8846-4BE3-967A-8AFD62600A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AC20" authorId="3" shapeId="0" xr:uid="{E014D9A0-1462-406B-AE2A-42AD607E9A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AG20" authorId="4" shapeId="0" xr:uid="{2B3AF65E-567F-413A-9EF0-4625321D066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AK20" authorId="5" shapeId="0" xr:uid="{A1CF3E0B-4953-4E3A-A74D-C0B459DB3E5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AM20" authorId="6" shapeId="0" xr:uid="{5DE78B09-B5A1-4D75-880C-AB81A10B48A4}">
      <text>
        <t>[Threaded comment]
Your version of Excel allows you to read this threaded comment; however, any edits to it will get removed if the file is opened in a newer version of Excel. Learn more: https://go.microsoft.com/fwlink/?linkid=870924
Comment:
    2nd oct leave</t>
      </text>
    </comment>
    <comment ref="AO20" authorId="7" shapeId="0" xr:uid="{B2B18A09-5623-4464-A6F7-BEF19FF14279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Considered one leave
Reply:
    20th Oct Leave also</t>
      </text>
    </comment>
    <comment ref="AS20" authorId="8" shapeId="0" xr:uid="{02A79AE3-51B0-4A54-836A-7D8D4D049FB6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Considered one leave
Reply:
    10th Nov leave also</t>
      </text>
    </comment>
    <comment ref="AW20" authorId="9" shapeId="0" xr:uid="{3AA86F36-2729-448E-B614-AD092A83ADC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AY20" authorId="10" shapeId="0" xr:uid="{4C672C17-F378-412C-99AF-0931D18FC5C9}">
      <text>
        <t>[Threaded comment]
Your version of Excel allows you to read this threaded comment; however, any edits to it will get removed if the file is opened in a newer version of Excel. Learn more: https://go.microsoft.com/fwlink/?linkid=870924
Comment:
    25th dec</t>
      </text>
    </comment>
  </commentList>
</comments>
</file>

<file path=xl/sharedStrings.xml><?xml version="1.0" encoding="utf-8"?>
<sst xmlns="http://schemas.openxmlformats.org/spreadsheetml/2006/main" count="1529" uniqueCount="377">
  <si>
    <t>Project Initiation Workbook</t>
  </si>
  <si>
    <t>Today's Date:</t>
  </si>
  <si>
    <t/>
  </si>
  <si>
    <t>Client Company Name:</t>
  </si>
  <si>
    <t>UCB</t>
  </si>
  <si>
    <t>Required</t>
  </si>
  <si>
    <t>Project Name:</t>
  </si>
  <si>
    <t>Next Gen</t>
  </si>
  <si>
    <t>CRM Opportunity #</t>
  </si>
  <si>
    <t>Contract Type:</t>
  </si>
  <si>
    <t>Fixed Fee</t>
  </si>
  <si>
    <t>Currency:</t>
  </si>
  <si>
    <t>INR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</si>
  <si>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</si>
  <si>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</si>
  <si>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t>Planned Number of Weeks:</t>
  </si>
  <si>
    <t>Information for Project Controllers</t>
  </si>
  <si>
    <t>Budgeted Hours:</t>
  </si>
  <si>
    <t>Budget:</t>
  </si>
  <si>
    <t>Budgeted Expenses:</t>
  </si>
  <si>
    <t>Total SW/HW Revenue:</t>
  </si>
  <si>
    <t>Total Contractor Revenue:</t>
  </si>
  <si>
    <t>Total RA Interco Revenue:</t>
  </si>
  <si>
    <t>Total Services Revenue:</t>
  </si>
  <si>
    <t>Total Services Revenue in USD:</t>
  </si>
  <si>
    <t>Realization Rate</t>
  </si>
  <si>
    <t>Avg Hourly Rate:</t>
  </si>
  <si>
    <t>Total Resource Cost:</t>
  </si>
  <si>
    <t>Hide</t>
  </si>
  <si>
    <t>SW/HW Discount:</t>
  </si>
  <si>
    <t>Contractor Margin:</t>
  </si>
  <si>
    <t>RA Interco Margin:</t>
  </si>
  <si>
    <t>Services Margin:</t>
  </si>
  <si>
    <t>Total Project Margin:</t>
  </si>
  <si>
    <t>Services Margin</t>
  </si>
  <si>
    <t>Total Project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</si>
  <si>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</si>
  <si>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</si>
  <si>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</si>
  <si>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</si>
  <si>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</si>
  <si>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</si>
  <si>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</si>
  <si>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</si>
  <si>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60%+</t>
  </si>
  <si>
    <t>Great. Above OROS target</t>
  </si>
  <si>
    <t>Nov 18, 2025 Version</t>
  </si>
  <si>
    <t>Margin</t>
  </si>
  <si>
    <t>Total Fixed Fee</t>
  </si>
  <si>
    <t>Avg Hourly Rate</t>
  </si>
  <si>
    <t>SW/HW Discount</t>
  </si>
  <si>
    <t>Contractor</t>
  </si>
  <si>
    <t>RA Interco</t>
  </si>
  <si>
    <t>Services</t>
  </si>
  <si>
    <t>Total</t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</si>
  <si>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</si>
  <si>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Less : Total SW/HW Revenue</t>
  </si>
  <si>
    <t>Less: Total Contractor Revenue</t>
  </si>
  <si>
    <t>Less: Total RA Interco Revenue</t>
  </si>
  <si>
    <t>Total Services Revenue</t>
  </si>
  <si>
    <t>Total Services Revenue in USD</t>
  </si>
  <si>
    <t>Delivery Workstream</t>
  </si>
  <si>
    <t>Project Workstream</t>
  </si>
  <si>
    <t>Staffing Notes</t>
  </si>
  <si>
    <t>Resource Type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</si>
  <si>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</si>
  <si>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</si>
  <si>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</si>
  <si>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</si>
  <si>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</si>
  <si>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</si>
  <si>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</si>
  <si>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</si>
  <si>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</si>
  <si>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</si>
  <si>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</si>
  <si>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</si>
  <si>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</si>
  <si>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</si>
  <si>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</si>
  <si>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</si>
  <si>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</si>
  <si>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</si>
  <si>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</si>
  <si>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</si>
  <si>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</si>
  <si>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</si>
  <si>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</si>
  <si>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</si>
  <si>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</si>
  <si>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</si>
  <si>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</si>
  <si>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</si>
  <si>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</si>
  <si>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</si>
  <si>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</si>
  <si>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</si>
  <si>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</si>
  <si>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</si>
  <si>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</si>
  <si>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</si>
  <si>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</si>
  <si>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</si>
  <si>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</si>
  <si>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</si>
  <si>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</si>
  <si>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</si>
  <si>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</si>
  <si>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</si>
  <si>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</si>
  <si>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</si>
  <si>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</si>
  <si>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</si>
  <si>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</si>
  <si>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</si>
  <si>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</si>
  <si>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</si>
  <si>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</si>
  <si>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</si>
  <si>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</si>
  <si>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</si>
  <si>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</si>
  <si>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</si>
  <si>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</si>
  <si>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</si>
  <si>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</si>
  <si>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</si>
  <si>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</si>
  <si>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</si>
  <si>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</si>
  <si>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</si>
  <si>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</si>
  <si>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</si>
  <si>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</si>
  <si>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</si>
  <si>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</si>
  <si>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</si>
  <si>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</si>
  <si>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</si>
  <si>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</si>
  <si>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</si>
  <si>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</si>
  <si>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</si>
  <si>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</si>
  <si>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</si>
  <si>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</si>
  <si>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</si>
  <si>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</si>
  <si>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</si>
  <si>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</si>
  <si>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</si>
  <si>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</si>
  <si>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</si>
  <si>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</si>
  <si>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</si>
  <si>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</si>
  <si>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</si>
  <si>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</si>
  <si>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</si>
  <si>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</si>
  <si>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</si>
  <si>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</si>
  <si>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</si>
  <si>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</si>
  <si>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</si>
  <si>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</si>
  <si>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</si>
  <si>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</si>
  <si>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</si>
  <si>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</si>
  <si>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</si>
  <si>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</si>
  <si>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</si>
  <si>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</si>
  <si>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</si>
  <si>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Pranjay</t>
  </si>
  <si>
    <t>GCC Engineer</t>
  </si>
  <si>
    <t>If additional rows are needed, unhide rows 26-62</t>
  </si>
  <si>
    <t>Subtotal</t>
  </si>
  <si>
    <t>Project Expenses</t>
  </si>
  <si>
    <t>Notes</t>
  </si>
  <si>
    <t>Expense Type</t>
  </si>
  <si>
    <t>Expense Cost</t>
  </si>
  <si>
    <t>Total Expense</t>
  </si>
  <si>
    <t>Total Qty</t>
  </si>
  <si>
    <t>Software and Hardware</t>
  </si>
  <si>
    <t>Catalog Number</t>
  </si>
  <si>
    <t>Catalog Name</t>
  </si>
  <si>
    <t>List Price</t>
  </si>
  <si>
    <t>Project Price</t>
  </si>
  <si>
    <t>Discount</t>
  </si>
  <si>
    <t>Project Revenue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</si>
  <si>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</si>
  <si>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</si>
  <si>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</si>
  <si>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</si>
  <si>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</si>
  <si>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</si>
  <si>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</si>
  <si>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</si>
  <si>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</si>
  <si>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</si>
  <si>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</si>
  <si>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</si>
  <si>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</si>
  <si>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</si>
  <si>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</si>
  <si>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</si>
  <si>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</si>
  <si>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</si>
  <si>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</si>
  <si>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</si>
  <si>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</si>
  <si>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</si>
  <si>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</si>
  <si>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</si>
  <si>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</si>
  <si>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</si>
  <si>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</si>
  <si>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</si>
  <si>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</si>
  <si>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</si>
  <si>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</si>
  <si>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</si>
  <si>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</si>
  <si>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</si>
  <si>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</si>
  <si>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</si>
  <si>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</si>
  <si>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</si>
  <si>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</si>
  <si>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</si>
  <si>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</si>
  <si>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</si>
  <si>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</si>
  <si>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</si>
  <si>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</si>
  <si>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</si>
  <si>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</si>
  <si>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</si>
  <si>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</si>
  <si>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</si>
  <si>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</si>
  <si>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</si>
  <si>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</si>
  <si>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</si>
  <si>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</si>
  <si>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</si>
  <si>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</si>
  <si>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</si>
  <si>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</si>
  <si>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</si>
  <si>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</si>
  <si>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</si>
  <si>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</si>
  <si>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</si>
  <si>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</si>
  <si>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</si>
  <si>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</si>
  <si>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</si>
  <si>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</si>
  <si>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</si>
  <si>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</si>
  <si>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</si>
  <si>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</si>
  <si>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</si>
  <si>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</si>
  <si>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</si>
  <si>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</si>
  <si>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</si>
  <si>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</si>
  <si>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</si>
  <si>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</si>
  <si>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</si>
  <si>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</si>
  <si>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</si>
  <si>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</si>
  <si>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</si>
  <si>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</si>
  <si>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</si>
  <si>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</si>
  <si>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</si>
  <si>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</si>
  <si>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</si>
  <si>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</si>
  <si>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</si>
  <si>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</si>
  <si>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</si>
  <si>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</si>
  <si>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</si>
  <si>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</si>
  <si>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</si>
  <si>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</si>
  <si>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</si>
  <si>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</si>
  <si>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</si>
  <si>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If additional rows are needed, unhide rows 77-96</t>
  </si>
  <si>
    <t>Contractors</t>
  </si>
  <si>
    <t>Contractor Name</t>
  </si>
  <si>
    <t>Hourly Cost</t>
  </si>
  <si>
    <t>Project Rate</t>
  </si>
  <si>
    <t>Project Cost</t>
  </si>
  <si>
    <t>If additional rows are needed, unhide rows 112-130</t>
  </si>
  <si>
    <t>Rockwell Resources</t>
  </si>
  <si>
    <t>Rockwell Name</t>
  </si>
  <si>
    <t>Interco Hourly Cost</t>
  </si>
  <si>
    <t>If additional rows are needed, unhide rows 146-164</t>
  </si>
  <si>
    <t>Revenue at Proj Rate</t>
  </si>
  <si>
    <t>Totals (Hourly)</t>
  </si>
  <si>
    <t>Revenue Arrural Rate (Excluding SW/HW):</t>
  </si>
  <si>
    <t>Overall</t>
  </si>
  <si>
    <t>Less: Billable Expenses</t>
  </si>
  <si>
    <t>Total SW/HW Revenue</t>
  </si>
  <si>
    <t>Total Contractor Revenue</t>
  </si>
  <si>
    <t>Total RA Interco Revenue</t>
  </si>
  <si>
    <t>Total KL Services Revenue in USD</t>
  </si>
  <si>
    <t>Final Project Rate</t>
  </si>
  <si>
    <t>Revenue at Project Rate</t>
  </si>
  <si>
    <t>GCC Sr. Engineer</t>
  </si>
  <si>
    <t>Kowshik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</si>
  <si>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</si>
  <si>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</si>
  <si>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</si>
  <si>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</si>
  <si>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 xml:space="preserve">Number of Days Considered for a Month / resources in SOW </t>
  </si>
  <si>
    <t xml:space="preserve">USD  conversion Rate </t>
  </si>
  <si>
    <t>Number of hours considered a month</t>
  </si>
  <si>
    <t xml:space="preserve">Special consideration for PIW </t>
  </si>
  <si>
    <t xml:space="preserve">SOW Details </t>
  </si>
  <si>
    <t>Actual Details  (PIW)</t>
  </si>
  <si>
    <t>S.No</t>
  </si>
  <si>
    <t xml:space="preserve">Resources </t>
  </si>
  <si>
    <t xml:space="preserve">Start 
Month </t>
  </si>
  <si>
    <t>End
Month</t>
  </si>
  <si>
    <t xml:space="preserve">Total 
Months </t>
  </si>
  <si>
    <t>Monthly Rate 
(INR)</t>
  </si>
  <si>
    <t>Daily 
Rate
(INR)</t>
  </si>
  <si>
    <t>Total 
Billable
(INR)</t>
  </si>
  <si>
    <t xml:space="preserve">Months considered for PIW </t>
  </si>
  <si>
    <t xml:space="preserve">Actual 
Working 
Days </t>
  </si>
  <si>
    <t xml:space="preserve">Actual Working Hours </t>
  </si>
  <si>
    <t>Comments</t>
  </si>
  <si>
    <t>Month 
(2026)</t>
  </si>
  <si>
    <t xml:space="preserve">Working days
 in a month </t>
  </si>
  <si>
    <t xml:space="preserve">Date of 
Holiday </t>
  </si>
  <si>
    <t xml:space="preserve">Leaves 
Assumed per month </t>
  </si>
  <si>
    <t xml:space="preserve">Total Considered days for PIW </t>
  </si>
  <si>
    <t xml:space="preserve">Total Considered hours for PIW </t>
  </si>
  <si>
    <t>Jan</t>
  </si>
  <si>
    <t>Mar</t>
  </si>
  <si>
    <t>Feb</t>
  </si>
  <si>
    <t xml:space="preserve">Details for Reference </t>
  </si>
  <si>
    <t>Total amount in SOW (INR)</t>
  </si>
  <si>
    <t xml:space="preserve">Monthly Milestones in SOW (INR) </t>
  </si>
  <si>
    <t>Resource List</t>
  </si>
  <si>
    <t>Standard Rate INR Per Hour</t>
  </si>
  <si>
    <t>INR Cost Per Hour</t>
  </si>
  <si>
    <t>USD Rate</t>
  </si>
  <si>
    <t>GCC Project Manager</t>
  </si>
  <si>
    <t>Onshore (US)</t>
  </si>
  <si>
    <t>Contract Type</t>
  </si>
  <si>
    <t>INR to USD Exchange Rate</t>
  </si>
  <si>
    <t>T&amp;M</t>
  </si>
  <si>
    <t>Apr</t>
  </si>
  <si>
    <t>Dec</t>
  </si>
  <si>
    <t>No of leaves as per Banglore Calender</t>
  </si>
  <si>
    <t xml:space="preserve">March-Dec </t>
  </si>
  <si>
    <t>TBD</t>
  </si>
  <si>
    <t xml:space="preserve">Reduced price as per the new revised rate card </t>
  </si>
  <si>
    <t>May</t>
  </si>
  <si>
    <t>Jun</t>
  </si>
  <si>
    <t>Jul</t>
  </si>
  <si>
    <t>Aug</t>
  </si>
  <si>
    <t>Sep</t>
  </si>
  <si>
    <t>Oct</t>
  </si>
  <si>
    <t>Nov</t>
  </si>
  <si>
    <t>2 Oct , 20 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</si>
</sst>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5" tint="-0.249977111117893"/>
      <name val="Calibri"/>
      <family val="2"/>
      <scheme val="minor"/>
    </font>
    <font>
      <b/>
      <i/>
      <sz val="9"/>
      <color theme="5" tint="-0.24997711111789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179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29" fillId="19" borderId="2" xfId="0" applyFont="1" applyFill="1" applyBorder="1" applyAlignment="1">
      <alignment horizontal="left" vertical="center" wrapText="1"/>
    </xf>
    <xf numFmtId="0" fontId="28" fillId="0" borderId="0" xfId="0" applyFont="1" applyAlignment="1">
      <alignment horizontal="left"/>
    </xf>
    <xf numFmtId="0" fontId="28" fillId="14" borderId="2" xfId="0" applyFont="1" applyFill="1" applyBorder="1" applyAlignment="1">
      <alignment horizontal="left"/>
    </xf>
    <xf numFmtId="0" fontId="28" fillId="0" borderId="0" xfId="0" applyFont="1" applyAlignment="1">
      <alignment horizontal="left" wrapText="1"/>
    </xf>
    <xf numFmtId="0" fontId="28" fillId="17" borderId="2" xfId="0" applyFont="1" applyFill="1" applyBorder="1" applyAlignment="1">
      <alignment horizontal="left"/>
    </xf>
    <xf numFmtId="0" fontId="28" fillId="17" borderId="2" xfId="0" applyFont="1" applyFill="1" applyBorder="1" applyAlignment="1">
      <alignment horizontal="left" wrapText="1"/>
    </xf>
    <xf numFmtId="0" fontId="28" fillId="8" borderId="2" xfId="0" applyFont="1" applyFill="1" applyBorder="1" applyAlignment="1">
      <alignment horizontal="left" wrapText="1"/>
    </xf>
    <xf numFmtId="0" fontId="28" fillId="18" borderId="2" xfId="0" applyFont="1" applyFill="1" applyBorder="1" applyAlignment="1">
      <alignment horizontal="left" wrapText="1"/>
    </xf>
    <xf numFmtId="0" fontId="28" fillId="0" borderId="2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28" fillId="0" borderId="42" xfId="0" applyFont="1" applyBorder="1" applyAlignment="1">
      <alignment horizontal="left"/>
    </xf>
    <xf numFmtId="0" fontId="28" fillId="0" borderId="43" xfId="0" applyFont="1" applyBorder="1" applyAlignment="1">
      <alignment horizontal="left"/>
    </xf>
    <xf numFmtId="0" fontId="28" fillId="0" borderId="44" xfId="0" applyFont="1" applyBorder="1" applyAlignment="1">
      <alignment horizontal="left"/>
    </xf>
    <xf numFmtId="0" fontId="28" fillId="0" borderId="45" xfId="0" applyFont="1" applyBorder="1" applyAlignment="1">
      <alignment horizontal="left"/>
    </xf>
    <xf numFmtId="0" fontId="28" fillId="0" borderId="46" xfId="0" applyFont="1" applyBorder="1" applyAlignment="1">
      <alignment horizontal="left"/>
    </xf>
    <xf numFmtId="0" fontId="28" fillId="0" borderId="32" xfId="0" applyFont="1" applyBorder="1" applyAlignment="1">
      <alignment horizontal="left"/>
    </xf>
    <xf numFmtId="0" fontId="28" fillId="0" borderId="1" xfId="0" applyFont="1" applyBorder="1" applyAlignment="1">
      <alignment horizontal="left"/>
    </xf>
    <xf numFmtId="0" fontId="28" fillId="0" borderId="33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8" fillId="19" borderId="2" xfId="0" applyFont="1" applyFill="1" applyBorder="1" applyAlignment="1">
      <alignment horizontal="left" vertical="center"/>
    </xf>
    <xf numFmtId="0" fontId="29" fillId="19" borderId="2" xfId="0" applyFont="1" applyFill="1" applyBorder="1" applyAlignment="1">
      <alignment horizontal="left" vertical="center" wrapText="1" readingOrder="1"/>
    </xf>
    <xf numFmtId="0" fontId="28" fillId="17" borderId="2" xfId="0" applyFont="1" applyFill="1" applyBorder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8" fillId="0" borderId="2" xfId="0" applyFont="1" applyBorder="1" applyAlignment="1">
      <alignment horizontal="left" vertical="center" wrapText="1"/>
    </xf>
    <xf numFmtId="0" fontId="30" fillId="14" borderId="2" xfId="0" applyFont="1" applyFill="1" applyBorder="1" applyAlignment="1">
      <alignment horizontal="left"/>
    </xf>
    <xf numFmtId="0" fontId="32" fillId="19" borderId="2" xfId="0" applyFont="1" applyFill="1" applyBorder="1" applyAlignment="1">
      <alignment horizontal="left" vertical="center" wrapText="1"/>
    </xf>
    <xf numFmtId="16" fontId="28" fillId="0" borderId="2" xfId="0" applyNumberFormat="1" applyFont="1" applyBorder="1" applyAlignment="1">
      <alignment horizontal="left" vertical="center"/>
    </xf>
    <xf numFmtId="0" fontId="28" fillId="16" borderId="2" xfId="0" applyFont="1" applyFill="1" applyBorder="1" applyAlignment="1">
      <alignment horizontal="left"/>
    </xf>
    <xf numFmtId="16" fontId="28" fillId="16" borderId="2" xfId="0" applyNumberFormat="1" applyFont="1" applyFill="1" applyBorder="1" applyAlignment="1">
      <alignment horizontal="left"/>
    </xf>
    <xf numFmtId="0" fontId="28" fillId="16" borderId="2" xfId="0" applyFont="1" applyFill="1" applyBorder="1" applyAlignment="1">
      <alignment horizontal="left" vertical="center" wrapText="1"/>
    </xf>
    <xf numFmtId="0" fontId="28" fillId="16" borderId="2" xfId="0" applyFont="1" applyFill="1" applyBorder="1" applyAlignment="1">
      <alignment horizontal="left" vertical="center"/>
    </xf>
    <xf numFmtId="16" fontId="28" fillId="0" borderId="2" xfId="0" applyNumberFormat="1" applyFont="1" applyBorder="1" applyAlignment="1">
      <alignment horizontal="left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8" fillId="0" borderId="2" xfId="0" applyFont="1" applyBorder="1" applyAlignment="1">
      <alignment horizontal="left" wrapText="1"/>
    </xf>
    <xf numFmtId="0" fontId="30" fillId="14" borderId="0" xfId="0" applyFont="1" applyFill="1" applyAlignment="1">
      <alignment horizontal="center"/>
    </xf>
    <xf numFmtId="0" fontId="30" fillId="15" borderId="2" xfId="0" applyFont="1" applyFill="1" applyBorder="1" applyAlignment="1">
      <alignment horizontal="left"/>
    </xf>
    <xf numFmtId="0" fontId="30" fillId="16" borderId="40" xfId="0" applyFont="1" applyFill="1" applyBorder="1" applyAlignment="1">
      <alignment horizontal="left"/>
    </xf>
    <xf numFmtId="0" fontId="30" fillId="16" borderId="41" xfId="0" applyFont="1" applyFill="1" applyBorder="1" applyAlignment="1">
      <alignment horizontal="left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jana Sharma" id="{2CD5BD47-1784-493A-B52C-F09A14292298}" userId="S::anjana.sharma@zs.com::093e6ad0-e5bc-4e78-961c-9e195e65c26f" providerId="AD"/>
  <person displayName="Anjana Sharma" id="{91CFCA91-5034-4709-BD83-230BE40AB629}" userId="S::Anjana.Sharma@rockwellautomation.com::7364402c-af7f-4560-9dfa-e2179b350083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20" dT="2026-03-05T09:38:53.16" personId="{91CFCA91-5034-4709-BD83-230BE40AB629}" id="{876A295B-22CD-464B-A369-202370C44B1C}">
    <text>1 assumed monthly leave + 1 leave for 1st May</text>
  </threadedComment>
  <threadedComment ref="R20" dT="2026-03-05T09:46:01.33" personId="{91CFCA91-5034-4709-BD83-230BE40AB629}" id="{556D86FE-9134-4CE9-B6B2-9FFACC6C111B}">
    <text xml:space="preserve">1 monthly leave </text>
  </threadedComment>
  <threadedComment ref="Y20" dT="2025-11-24T08:25:22.08" personId="{2CD5BD47-1784-493A-B52C-F09A14292298}" id="{74B26C46-8846-4BE3-967A-8AFD62600A4E}">
    <text xml:space="preserve">Considered one leave
</text>
  </threadedComment>
  <threadedComment ref="AC20" dT="2025-11-24T08:25:22.08" personId="{2CD5BD47-1784-493A-B52C-F09A14292298}" id="{E014D9A0-1462-406B-AE2A-42AD607E9ADF}">
    <text xml:space="preserve">Considered one leave
</text>
  </threadedComment>
  <threadedComment ref="AG20" dT="2025-11-24T08:25:22.08" personId="{2CD5BD47-1784-493A-B52C-F09A14292298}" id="{2B3AF65E-567F-413A-9EF0-4625321D0660}">
    <text xml:space="preserve">Considered one leave
</text>
  </threadedComment>
  <threadedComment ref="AK20" dT="2025-11-24T08:25:22.08" personId="{2CD5BD47-1784-493A-B52C-F09A14292298}" id="{A1CF3E0B-4953-4E3A-A74D-C0B459DB3E54}">
    <text xml:space="preserve">Considered one leave
</text>
  </threadedComment>
  <threadedComment ref="AM20" dT="2026-03-05T09:39:25.66" personId="{91CFCA91-5034-4709-BD83-230BE40AB629}" id="{5DE78B09-B5A1-4D75-880C-AB81A10B48A4}">
    <text>2nd oct leave</text>
  </threadedComment>
  <threadedComment ref="AO20" dT="2025-11-24T08:25:22.08" personId="{2CD5BD47-1784-493A-B52C-F09A14292298}" id="{B2B18A09-5623-4464-A6F7-BEF19FF14279}">
    <text xml:space="preserve">Considered one leave
</text>
  </threadedComment>
  <threadedComment ref="AO20" dT="2026-03-05T09:39:44.55" personId="{91CFCA91-5034-4709-BD83-230BE40AB629}" id="{6A14A203-3D39-4122-A1C3-AA2F249BB4CE}" parentId="{B2B18A09-5623-4464-A6F7-BEF19FF14279}">
    <text>20th Oct Leave also</text>
  </threadedComment>
  <threadedComment ref="AS20" dT="2025-11-24T08:25:22.08" personId="{2CD5BD47-1784-493A-B52C-F09A14292298}" id="{02A79AE3-51B0-4A54-836A-7D8D4D049FB6}">
    <text xml:space="preserve">Considered one leave
</text>
  </threadedComment>
  <threadedComment ref="AS20" dT="2026-03-05T09:40:07.86" personId="{91CFCA91-5034-4709-BD83-230BE40AB629}" id="{17D6D227-2BFE-4B93-8595-30E93D3CEE13}" parentId="{02A79AE3-51B0-4A54-836A-7D8D4D049FB6}">
    <text>10th Nov leave also</text>
  </threadedComment>
  <threadedComment ref="AW20" dT="2025-11-24T08:25:22.08" personId="{2CD5BD47-1784-493A-B52C-F09A14292298}" id="{3AA86F36-2729-448E-B614-AD092A83ADCF}">
    <text xml:space="preserve">Considered one leave
</text>
  </threadedComment>
  <threadedComment ref="AY20" dT="2026-03-05T09:40:22.63" personId="{91CFCA91-5034-4709-BD83-230BE40AB629}" id="{4C672C17-F378-412C-99AF-0931D18FC5C9}">
    <text>25th dec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workbookViewId="0">
      <selection activeCell="B10" sqref="B10"/>
    </sheetView>
  </sheetViews>
  <sheetFormatPr defaultRowHeight="14.5" x14ac:dyDescent="0.35"/>
  <cols>
    <col min="1" max="1" width="27.453125" bestFit="1" customWidth="1"/>
    <col min="2" max="2" width="48.453125" bestFit="1" customWidth="1"/>
    <col min="3" max="3" width="9.8164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46169</v>
      </c>
      <c r="C3" s="74" t="s">
        <v>2</v>
      </c>
    </row>
    <row r="4" spans="1:11" x14ac:dyDescent="0.35">
      <c r="A4" s="73" t="s">
        <v>3</v>
      </c>
      <c r="B4" s="75" t="s">
        <v>4</v>
      </c>
      <c r="C4" s="74" t="s">
        <v>5</v>
      </c>
    </row>
    <row r="5" spans="1:11" x14ac:dyDescent="0.35">
      <c r="A5" s="73" t="s">
        <v>6</v>
      </c>
      <c r="B5" s="75" t="s">
        <v>7</v>
      </c>
      <c r="C5" s="74" t="s">
        <v>5</v>
      </c>
    </row>
    <row r="6" spans="1:11" x14ac:dyDescent="0.35">
      <c r="A6" s="73" t="s">
        <v>8</v>
      </c>
      <c r="B6" s="75" t="s">
        <v>367</v>
      </c>
      <c r="C6" s="74" t="s">
        <v>5</v>
      </c>
    </row>
    <row r="7" spans="1:11" x14ac:dyDescent="0.35">
      <c r="A7" s="76" t="s">
        <v>9</v>
      </c>
      <c r="B7" s="112" t="s">
        <v>10</v>
      </c>
      <c r="C7" s="74" t="s">
        <v>5</v>
      </c>
    </row>
    <row r="8" spans="1:11" ht="15" thickBot="1" x14ac:dyDescent="0.4">
      <c r="A8" s="76" t="s">
        <v>11</v>
      </c>
      <c r="B8" s="82" t="s">
        <v>12</v>
      </c>
      <c r="C8" s="74" t="s">
        <v>5</v>
      </c>
    </row>
    <row r="9" spans="1:11" x14ac:dyDescent="0.35">
      <c r="A9" s="76" t="s">
        <v>13</v>
      </c>
      <c r="B9" s="77">
        <v>46111</v>
      </c>
      <c r="C9" s="74" t="s">
        <v>5</v>
      </c>
      <c r="I9" s="102"/>
      <c r="J9" s="103"/>
      <c r="K9" s="104"/>
    </row>
    <row r="10" spans="1:11" x14ac:dyDescent="0.35">
      <c r="A10" s="76" t="s">
        <v>14</v>
      </c>
      <c r="B10" s="77">
        <v>46387</v>
      </c>
      <c r="C10" s="74" t="s">
        <v>5</v>
      </c>
      <c r="I10" s="105"/>
      <c r="J10" s="101"/>
      <c r="K10" s="106"/>
    </row>
    <row r="11" spans="1:11" ht="15" thickBot="1" x14ac:dyDescent="0.4">
      <c r="A11" s="76" t="s">
        <v>15</v>
      </c>
      <c r="B11" s="81">
        <f>IF(OR(B9="",B10=""),"Enter a Planned Start and End Date in the cells above",ROUNDUP(((B10-B9)/7),0))</f>
        <v>40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172" t="s">
        <v>16</v>
      </c>
      <c r="B15" s="173"/>
    </row>
    <row r="16" spans="1:11" x14ac:dyDescent="0.35">
      <c r="A16" s="78" t="s">
        <v>17</v>
      </c>
      <c r="B16" s="83">
        <f>IF($B$7="Fixed Fee",'Fixed Fee'!L189,'T&amp;M'!M191)</f>
        <v>1464</v>
      </c>
    </row>
    <row r="17" spans="1:3" x14ac:dyDescent="0.35">
      <c r="A17" s="78" t="s">
        <v>18</v>
      </c>
      <c r="B17" s="84">
        <f>IF($B$7="Fixed Fee",'Fixed Fee'!F9,'T&amp;M'!F9)</f>
        <v>4508307</v>
      </c>
    </row>
    <row r="18" spans="1:3" x14ac:dyDescent="0.35">
      <c r="A18" s="78" t="s">
        <v>19</v>
      </c>
      <c r="B18" s="84">
        <f>IF($B$7="Fixed Fee",'Fixed Fee'!F10,'T&amp;M'!F10)</f>
        <v>0</v>
      </c>
    </row>
    <row r="19" spans="1:3" x14ac:dyDescent="0.35">
      <c r="A19" s="78" t="s">
        <v>20</v>
      </c>
      <c r="B19" s="84">
        <f>IF($B$7="Fixed Fee",'Fixed Fee'!F11,'T&amp;M'!F11)</f>
        <v>0</v>
      </c>
    </row>
    <row r="20" spans="1:3" x14ac:dyDescent="0.35">
      <c r="A20" s="78" t="s">
        <v>21</v>
      </c>
      <c r="B20" s="84">
        <f>IF($B$7="Fixed Fee",'Fixed Fee'!F12,'T&amp;M'!F12)</f>
        <v>0</v>
      </c>
    </row>
    <row r="21" spans="1:3" x14ac:dyDescent="0.35">
      <c r="A21" s="78" t="s">
        <v>22</v>
      </c>
      <c r="B21" s="84">
        <f>IF($B$7="Fixed Fee",'Fixed Fee'!F13,'T&amp;M'!F13)</f>
        <v>0</v>
      </c>
    </row>
    <row r="22" spans="1:3" x14ac:dyDescent="0.35">
      <c r="A22" s="78" t="s">
        <v>23</v>
      </c>
      <c r="B22" s="84">
        <f>IF($B$7="Fixed Fee",'Fixed Fee'!F15,'T&amp;M'!F15)</f>
        <v>4508307</v>
      </c>
    </row>
    <row r="23" spans="1:3" x14ac:dyDescent="0.35">
      <c r="A23" s="78" t="s">
        <v>24</v>
      </c>
      <c r="B23" s="85">
        <f>IF($B$7="Fixed Fee",'Fixed Fee'!F16,'T&amp;M'!F16)</f>
        <v>58607.990999999995</v>
      </c>
    </row>
    <row r="24" spans="1:3" x14ac:dyDescent="0.35">
      <c r="A24" s="78" t="s">
        <v>25</v>
      </c>
      <c r="B24" s="86">
        <f>IF($B$7="Fixed Fee",'Fixed Fee'!H10,'T&amp;M'!H10)</f>
        <v>2.1237549462973431</v>
      </c>
    </row>
    <row r="25" spans="1:3" x14ac:dyDescent="0.35">
      <c r="A25" s="78" t="s">
        <v>26</v>
      </c>
      <c r="B25" s="84">
        <f>IF($B$7="Fixed Fee",'Fixed Fee'!I10,'T&amp;M'!I10)</f>
        <v>3079.4446721311474</v>
      </c>
    </row>
    <row r="26" spans="1:3" hidden="1" x14ac:dyDescent="0.35">
      <c r="A26" s="78" t="s">
        <v>27</v>
      </c>
      <c r="B26" s="84">
        <f>IF($B$7="Fixed Fee",'Fixed Fee'!DM70,'T&amp;M'!DN70)</f>
        <v>1464000</v>
      </c>
      <c r="C26" t="s">
        <v>28</v>
      </c>
    </row>
    <row r="27" spans="1:3" hidden="1" x14ac:dyDescent="0.35">
      <c r="A27" s="78" t="s">
        <v>29</v>
      </c>
      <c r="B27" s="86" t="str">
        <f>IF($B$7="Fixed Fee",'Fixed Fee'!J10,'T&amp;M'!J10)</f>
        <v>-</v>
      </c>
      <c r="C27" t="s">
        <v>28</v>
      </c>
    </row>
    <row r="28" spans="1:3" ht="15" hidden="1" thickBot="1" x14ac:dyDescent="0.4">
      <c r="A28" s="79" t="s">
        <v>30</v>
      </c>
      <c r="B28" s="86" t="str">
        <f>IF($B$7="Fixed Fee",'Fixed Fee'!K10,'T&amp;M'!K10)</f>
        <v>-</v>
      </c>
      <c r="C28" t="s">
        <v>28</v>
      </c>
    </row>
    <row r="29" spans="1:3" hidden="1" x14ac:dyDescent="0.35">
      <c r="A29" s="80" t="s">
        <v>31</v>
      </c>
      <c r="B29" s="86" t="str">
        <f>IF($B$7="Fixed Fee",'Fixed Fee'!L10,'T&amp;M'!L10)</f>
        <v>-</v>
      </c>
      <c r="C29" t="s">
        <v>28</v>
      </c>
    </row>
    <row r="30" spans="1:3" hidden="1" x14ac:dyDescent="0.35">
      <c r="A30" s="80" t="s">
        <v>32</v>
      </c>
      <c r="B30" s="86">
        <f>IF($B$7="Fixed Fee",'Fixed Fee'!A3,'T&amp;M'!A3)</f>
        <v>0.67526612539917974</v>
      </c>
      <c r="C30" t="s">
        <v>28</v>
      </c>
    </row>
    <row r="31" spans="1:3" hidden="1" x14ac:dyDescent="0.35">
      <c r="A31" s="80" t="s">
        <v>33</v>
      </c>
      <c r="B31" s="86">
        <f>IF($B$7="Fixed Fee",'Fixed Fee'!B3,'T&amp;M'!B3)</f>
        <v>0.67526612539917974</v>
      </c>
      <c r="C31" t="s">
        <v>28</v>
      </c>
    </row>
  </sheetData>
  <sheetProtection algorithmName="SHA-512" hashValue="Z1NEwmi4wasRLZHQI88si04viiQp86axBx9vaExG+tBsksof2j3JJs+OnpWjdVXqQ0dYXE7mM8YXRnPf1SUxEg==" saltValue="NqxkRbUQOA3cI4qQU9Xxzg==" spinCount="100000" sheet="1" objects="1" scenarios="1" sort="0" autoFilter="0" pivotTables="0"/>
  <mergeCells count="1">
    <mergeCell ref="A15:B15"/>
  </mergeCells>
  <conditionalFormatting sqref="B4:B6">
    <cfRule type="beginsWith" dxfId="6" priority="2" operator="beginsWith" text="Enter a">
      <formula>LEFT(B4,LEN("Enter a"))="Enter a"</formula>
    </cfRule>
  </conditionalFormatting>
  <conditionalFormatting sqref="B9:B11">
    <cfRule type="beginsWith" dxfId="5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tabSelected="1" topLeftCell="E7" zoomScale="80" zoomScaleNormal="80" workbookViewId="0">
      <pane ySplit="10" topLeftCell="A17" activePane="bottomLeft" state="frozen"/>
      <selection pane="bottomLeft" activeCell="F9" sqref="F9"/>
    </sheetView>
  </sheetViews>
  <sheetFormatPr defaultRowHeight="14.5" x14ac:dyDescent="0.35"/>
  <cols>
    <col min="1" max="4" width="8.81640625" hidden="1" customWidth="1"/>
    <col min="5" max="5" width="35.54296875" bestFit="1" customWidth="1"/>
    <col min="6" max="6" width="19.81640625" bestFit="1" customWidth="1"/>
    <col min="7" max="7" width="21.453125" bestFit="1" customWidth="1"/>
    <col min="8" max="8" width="19.1796875" bestFit="1" customWidth="1"/>
    <col min="9" max="9" width="17.1796875" bestFit="1" customWidth="1"/>
    <col min="10" max="10" width="20.453125" customWidth="1"/>
    <col min="11" max="11" width="20.5429687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34</v>
      </c>
      <c r="B2" s="55" t="s">
        <v>35</v>
      </c>
      <c r="C2" s="13" t="s">
        <v>36</v>
      </c>
      <c r="D2" s="14" t="s">
        <v>37</v>
      </c>
    </row>
    <row r="3" spans="1:14" ht="15" hidden="1" thickBot="1" x14ac:dyDescent="0.4">
      <c r="A3" s="59">
        <f>IFERROR((K70-DM70)/K70,"-")</f>
        <v>0.67526612539917974</v>
      </c>
      <c r="B3" s="60">
        <f>IFERROR((F9-DM70-J152-J186-F10-F11)/(F9-F10-F11),"-")</f>
        <v>0.67526612539917974</v>
      </c>
      <c r="C3" s="17" t="s">
        <v>38</v>
      </c>
      <c r="D3" s="14" t="s">
        <v>39</v>
      </c>
    </row>
    <row r="4" spans="1:14" hidden="1" x14ac:dyDescent="0.35">
      <c r="C4" s="18" t="s">
        <v>40</v>
      </c>
      <c r="D4" s="19" t="s">
        <v>41</v>
      </c>
    </row>
    <row r="5" spans="1:14" hidden="1" x14ac:dyDescent="0.35">
      <c r="C5" s="22" t="s">
        <v>42</v>
      </c>
      <c r="D5" s="14" t="s">
        <v>43</v>
      </c>
    </row>
    <row r="6" spans="1:14" hidden="1" x14ac:dyDescent="0.35">
      <c r="C6" s="24" t="s">
        <v>44</v>
      </c>
      <c r="D6" s="19" t="s">
        <v>45</v>
      </c>
    </row>
    <row r="7" spans="1:14" x14ac:dyDescent="0.35">
      <c r="G7" s="128" t="s">
        <v>46</v>
      </c>
    </row>
    <row r="8" spans="1:14" ht="15" thickBot="1" x14ac:dyDescent="0.4">
      <c r="H8" s="62"/>
      <c r="I8" s="62"/>
      <c r="J8" s="48"/>
      <c r="K8" s="171" t="s">
        <v>47</v>
      </c>
      <c r="L8" s="171"/>
      <c r="M8" s="171"/>
      <c r="N8" s="171"/>
    </row>
    <row r="9" spans="1:14" x14ac:dyDescent="0.35">
      <c r="E9" s="9" t="s">
        <v>48</v>
      </c>
      <c r="F9" s="110">
        <f>Calculations!I9</f>
        <v>4508307</v>
      </c>
      <c r="H9" s="65" t="s">
        <v>25</v>
      </c>
      <c r="I9" s="34" t="s">
        <v>49</v>
      </c>
      <c r="J9" s="34" t="s">
        <v>50</v>
      </c>
      <c r="K9" s="11" t="s">
        <v>51</v>
      </c>
      <c r="L9" s="55" t="s">
        <v>52</v>
      </c>
      <c r="M9" s="132" t="s">
        <v>53</v>
      </c>
      <c r="N9" s="132" t="s">
        <v>54</v>
      </c>
    </row>
    <row r="10" spans="1:14" ht="25.5" thickBot="1" x14ac:dyDescent="0.4">
      <c r="E10" s="12" t="s">
        <v>55</v>
      </c>
      <c r="F10" s="100">
        <f>K84</f>
        <v>0</v>
      </c>
      <c r="H10" s="56">
        <f>IFERROR(F15/J70,"-")</f>
        <v>2.1237549462973431</v>
      </c>
      <c r="I10" s="57">
        <f>IFERROR(K189/L189,"-")</f>
        <v>3079.4446721311474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>
        <f>A3</f>
        <v>0.67526612539917974</v>
      </c>
      <c r="N10" s="58">
        <f>B3</f>
        <v>0.67526612539917974</v>
      </c>
    </row>
    <row r="11" spans="1:14" x14ac:dyDescent="0.35">
      <c r="E11" s="15" t="s">
        <v>56</v>
      </c>
      <c r="F11" s="16">
        <f>K118</f>
        <v>0</v>
      </c>
    </row>
    <row r="12" spans="1:14" x14ac:dyDescent="0.35">
      <c r="E12" s="15" t="s">
        <v>57</v>
      </c>
      <c r="F12" s="16">
        <f>K152</f>
        <v>0</v>
      </c>
    </row>
    <row r="13" spans="1:14" ht="15" thickBot="1" x14ac:dyDescent="0.4">
      <c r="E13" s="20" t="s">
        <v>58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59</v>
      </c>
      <c r="F15" s="10">
        <f>F9-F10-F11-F12-F13</f>
        <v>4508307</v>
      </c>
    </row>
    <row r="16" spans="1:14" ht="15" thickBot="1" x14ac:dyDescent="0.4">
      <c r="E16" s="25" t="s">
        <v>60</v>
      </c>
      <c r="F16" s="64">
        <f>F15*'Data Validation'!D3</f>
        <v>58607.990999999995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61</v>
      </c>
      <c r="M18" s="29">
        <f>FrontPage!B9</f>
        <v>46111</v>
      </c>
      <c r="N18" s="30">
        <f>M18+7</f>
        <v>46118</v>
      </c>
      <c r="O18" s="30">
        <f t="shared" ref="O18:BZ18" si="0">N18+7</f>
        <v>46125</v>
      </c>
      <c r="P18" s="30">
        <f t="shared" si="0"/>
        <v>46132</v>
      </c>
      <c r="Q18" s="30">
        <f t="shared" si="0"/>
        <v>46139</v>
      </c>
      <c r="R18" s="30">
        <f t="shared" si="0"/>
        <v>46146</v>
      </c>
      <c r="S18" s="30">
        <f t="shared" si="0"/>
        <v>46153</v>
      </c>
      <c r="T18" s="30">
        <f t="shared" si="0"/>
        <v>46160</v>
      </c>
      <c r="U18" s="30">
        <f t="shared" si="0"/>
        <v>46167</v>
      </c>
      <c r="V18" s="30">
        <f t="shared" si="0"/>
        <v>46174</v>
      </c>
      <c r="W18" s="30">
        <f t="shared" si="0"/>
        <v>46181</v>
      </c>
      <c r="X18" s="30">
        <f t="shared" si="0"/>
        <v>46188</v>
      </c>
      <c r="Y18" s="30">
        <f t="shared" si="0"/>
        <v>46195</v>
      </c>
      <c r="Z18" s="30">
        <f t="shared" si="0"/>
        <v>46202</v>
      </c>
      <c r="AA18" s="30">
        <f t="shared" si="0"/>
        <v>46209</v>
      </c>
      <c r="AB18" s="30">
        <f t="shared" si="0"/>
        <v>46216</v>
      </c>
      <c r="AC18" s="30">
        <f t="shared" si="0"/>
        <v>46223</v>
      </c>
      <c r="AD18" s="30">
        <f t="shared" si="0"/>
        <v>46230</v>
      </c>
      <c r="AE18" s="30">
        <f t="shared" si="0"/>
        <v>46237</v>
      </c>
      <c r="AF18" s="30">
        <f t="shared" si="0"/>
        <v>46244</v>
      </c>
      <c r="AG18" s="30">
        <f t="shared" si="0"/>
        <v>46251</v>
      </c>
      <c r="AH18" s="30">
        <f t="shared" si="0"/>
        <v>46258</v>
      </c>
      <c r="AI18" s="30">
        <f t="shared" si="0"/>
        <v>46265</v>
      </c>
      <c r="AJ18" s="30">
        <f t="shared" si="0"/>
        <v>46272</v>
      </c>
      <c r="AK18" s="30">
        <f t="shared" si="0"/>
        <v>46279</v>
      </c>
      <c r="AL18" s="30">
        <f t="shared" si="0"/>
        <v>46286</v>
      </c>
      <c r="AM18" s="30">
        <f t="shared" si="0"/>
        <v>46293</v>
      </c>
      <c r="AN18" s="30">
        <f t="shared" si="0"/>
        <v>46300</v>
      </c>
      <c r="AO18" s="30">
        <f t="shared" si="0"/>
        <v>46307</v>
      </c>
      <c r="AP18" s="30">
        <f t="shared" si="0"/>
        <v>46314</v>
      </c>
      <c r="AQ18" s="30">
        <f t="shared" si="0"/>
        <v>46321</v>
      </c>
      <c r="AR18" s="30">
        <f t="shared" si="0"/>
        <v>46328</v>
      </c>
      <c r="AS18" s="30">
        <f t="shared" si="0"/>
        <v>46335</v>
      </c>
      <c r="AT18" s="30">
        <f t="shared" si="0"/>
        <v>46342</v>
      </c>
      <c r="AU18" s="30">
        <f t="shared" si="0"/>
        <v>46349</v>
      </c>
      <c r="AV18" s="30">
        <f t="shared" si="0"/>
        <v>46356</v>
      </c>
      <c r="AW18" s="30">
        <f t="shared" si="0"/>
        <v>46363</v>
      </c>
      <c r="AX18" s="30">
        <f t="shared" si="0"/>
        <v>46370</v>
      </c>
      <c r="AY18" s="30">
        <f t="shared" si="0"/>
        <v>46377</v>
      </c>
      <c r="AZ18" s="30">
        <f t="shared" si="0"/>
        <v>46384</v>
      </c>
      <c r="BA18" s="30">
        <f t="shared" si="0"/>
        <v>46391</v>
      </c>
      <c r="BB18" s="30">
        <f t="shared" si="0"/>
        <v>46398</v>
      </c>
      <c r="BC18" s="30">
        <f t="shared" si="0"/>
        <v>46405</v>
      </c>
      <c r="BD18" s="30">
        <f t="shared" si="0"/>
        <v>46412</v>
      </c>
      <c r="BE18" s="30">
        <f t="shared" si="0"/>
        <v>46419</v>
      </c>
      <c r="BF18" s="30">
        <f t="shared" si="0"/>
        <v>46426</v>
      </c>
      <c r="BG18" s="30">
        <f t="shared" si="0"/>
        <v>46433</v>
      </c>
      <c r="BH18" s="30">
        <f t="shared" si="0"/>
        <v>46440</v>
      </c>
      <c r="BI18" s="30">
        <f t="shared" si="0"/>
        <v>46447</v>
      </c>
      <c r="BJ18" s="30">
        <f t="shared" si="0"/>
        <v>46454</v>
      </c>
      <c r="BK18" s="30">
        <f t="shared" si="0"/>
        <v>46461</v>
      </c>
      <c r="BL18" s="30">
        <f t="shared" si="0"/>
        <v>46468</v>
      </c>
      <c r="BM18" s="30">
        <f t="shared" si="0"/>
        <v>46475</v>
      </c>
      <c r="BN18" s="30">
        <f t="shared" si="0"/>
        <v>46482</v>
      </c>
      <c r="BO18" s="30">
        <f t="shared" si="0"/>
        <v>46489</v>
      </c>
      <c r="BP18" s="30">
        <f t="shared" si="0"/>
        <v>46496</v>
      </c>
      <c r="BQ18" s="30">
        <f t="shared" si="0"/>
        <v>46503</v>
      </c>
      <c r="BR18" s="30">
        <f t="shared" si="0"/>
        <v>46510</v>
      </c>
      <c r="BS18" s="30">
        <f t="shared" si="0"/>
        <v>46517</v>
      </c>
      <c r="BT18" s="30">
        <f t="shared" si="0"/>
        <v>46524</v>
      </c>
      <c r="BU18" s="30">
        <f t="shared" si="0"/>
        <v>46531</v>
      </c>
      <c r="BV18" s="30">
        <f t="shared" si="0"/>
        <v>46538</v>
      </c>
      <c r="BW18" s="30">
        <f t="shared" si="0"/>
        <v>46545</v>
      </c>
      <c r="BX18" s="30">
        <f t="shared" si="0"/>
        <v>46552</v>
      </c>
      <c r="BY18" s="30">
        <f t="shared" si="0"/>
        <v>46559</v>
      </c>
      <c r="BZ18" s="30">
        <f t="shared" si="0"/>
        <v>46566</v>
      </c>
      <c r="CA18" s="30">
        <f t="shared" ref="CA18:DL18" si="1">BZ18+7</f>
        <v>46573</v>
      </c>
      <c r="CB18" s="30">
        <f t="shared" si="1"/>
        <v>46580</v>
      </c>
      <c r="CC18" s="30">
        <f t="shared" si="1"/>
        <v>46587</v>
      </c>
      <c r="CD18" s="30">
        <f t="shared" si="1"/>
        <v>46594</v>
      </c>
      <c r="CE18" s="30">
        <f t="shared" si="1"/>
        <v>46601</v>
      </c>
      <c r="CF18" s="30">
        <f t="shared" si="1"/>
        <v>46608</v>
      </c>
      <c r="CG18" s="30">
        <f t="shared" si="1"/>
        <v>46615</v>
      </c>
      <c r="CH18" s="30">
        <f t="shared" si="1"/>
        <v>46622</v>
      </c>
      <c r="CI18" s="30">
        <f t="shared" si="1"/>
        <v>46629</v>
      </c>
      <c r="CJ18" s="30">
        <f t="shared" si="1"/>
        <v>46636</v>
      </c>
      <c r="CK18" s="30">
        <f t="shared" si="1"/>
        <v>46643</v>
      </c>
      <c r="CL18" s="30">
        <f t="shared" si="1"/>
        <v>46650</v>
      </c>
      <c r="CM18" s="30">
        <f t="shared" si="1"/>
        <v>46657</v>
      </c>
      <c r="CN18" s="30">
        <f t="shared" si="1"/>
        <v>46664</v>
      </c>
      <c r="CO18" s="30">
        <f t="shared" si="1"/>
        <v>46671</v>
      </c>
      <c r="CP18" s="30">
        <f t="shared" si="1"/>
        <v>46678</v>
      </c>
      <c r="CQ18" s="30">
        <f t="shared" si="1"/>
        <v>46685</v>
      </c>
      <c r="CR18" s="30">
        <f t="shared" si="1"/>
        <v>46692</v>
      </c>
      <c r="CS18" s="30">
        <f t="shared" si="1"/>
        <v>46699</v>
      </c>
      <c r="CT18" s="30">
        <f t="shared" si="1"/>
        <v>46706</v>
      </c>
      <c r="CU18" s="30">
        <f t="shared" si="1"/>
        <v>46713</v>
      </c>
      <c r="CV18" s="30">
        <f t="shared" si="1"/>
        <v>46720</v>
      </c>
      <c r="CW18" s="30">
        <f t="shared" si="1"/>
        <v>46727</v>
      </c>
      <c r="CX18" s="30">
        <f t="shared" si="1"/>
        <v>46734</v>
      </c>
      <c r="CY18" s="30">
        <f t="shared" si="1"/>
        <v>46741</v>
      </c>
      <c r="CZ18" s="30">
        <f t="shared" si="1"/>
        <v>46748</v>
      </c>
      <c r="DA18" s="30">
        <f t="shared" si="1"/>
        <v>46755</v>
      </c>
      <c r="DB18" s="30">
        <f t="shared" si="1"/>
        <v>46762</v>
      </c>
      <c r="DC18" s="30">
        <f t="shared" si="1"/>
        <v>46769</v>
      </c>
      <c r="DD18" s="30">
        <f t="shared" si="1"/>
        <v>46776</v>
      </c>
      <c r="DE18" s="30">
        <f t="shared" si="1"/>
        <v>46783</v>
      </c>
      <c r="DF18" s="30">
        <f t="shared" si="1"/>
        <v>46790</v>
      </c>
      <c r="DG18" s="30">
        <f t="shared" si="1"/>
        <v>46797</v>
      </c>
      <c r="DH18" s="30">
        <f t="shared" si="1"/>
        <v>46804</v>
      </c>
      <c r="DI18" s="30">
        <f t="shared" si="1"/>
        <v>46811</v>
      </c>
      <c r="DJ18" s="30">
        <f t="shared" si="1"/>
        <v>46818</v>
      </c>
      <c r="DK18" s="30">
        <f t="shared" si="1"/>
        <v>46825</v>
      </c>
      <c r="DL18" s="30">
        <f t="shared" si="1"/>
        <v>46832</v>
      </c>
      <c r="DM18" s="31"/>
    </row>
    <row r="19" spans="5:117" s="19" customFormat="1" ht="30" customHeight="1" x14ac:dyDescent="0.3">
      <c r="E19" s="28" t="s">
        <v>62</v>
      </c>
      <c r="F19" s="32" t="s">
        <v>63</v>
      </c>
      <c r="G19" s="32" t="s">
        <v>64</v>
      </c>
      <c r="H19" s="33" t="s">
        <v>65</v>
      </c>
      <c r="I19" s="33" t="s">
        <v>66</v>
      </c>
      <c r="J19" s="33" t="s">
        <v>67</v>
      </c>
      <c r="K19" s="33" t="s">
        <v>68</v>
      </c>
      <c r="L19" s="33" t="s">
        <v>69</v>
      </c>
      <c r="M19" s="34" t="s">
        <v>70</v>
      </c>
      <c r="N19" s="33" t="s">
        <v>71</v>
      </c>
      <c r="O19" s="33" t="s">
        <v>72</v>
      </c>
      <c r="P19" s="33" t="s">
        <v>73</v>
      </c>
      <c r="Q19" s="33" t="s">
        <v>74</v>
      </c>
      <c r="R19" s="33" t="s">
        <v>75</v>
      </c>
      <c r="S19" s="33" t="s">
        <v>76</v>
      </c>
      <c r="T19" s="33" t="s">
        <v>77</v>
      </c>
      <c r="U19" s="33" t="s">
        <v>78</v>
      </c>
      <c r="V19" s="33" t="s">
        <v>79</v>
      </c>
      <c r="W19" s="33" t="s">
        <v>80</v>
      </c>
      <c r="X19" s="33" t="s">
        <v>81</v>
      </c>
      <c r="Y19" s="33" t="s">
        <v>82</v>
      </c>
      <c r="Z19" s="33" t="s">
        <v>83</v>
      </c>
      <c r="AA19" s="33" t="s">
        <v>84</v>
      </c>
      <c r="AB19" s="33" t="s">
        <v>85</v>
      </c>
      <c r="AC19" s="33" t="s">
        <v>86</v>
      </c>
      <c r="AD19" s="33" t="s">
        <v>87</v>
      </c>
      <c r="AE19" s="33" t="s">
        <v>88</v>
      </c>
      <c r="AF19" s="33" t="s">
        <v>89</v>
      </c>
      <c r="AG19" s="33" t="s">
        <v>90</v>
      </c>
      <c r="AH19" s="33" t="s">
        <v>91</v>
      </c>
      <c r="AI19" s="33" t="s">
        <v>92</v>
      </c>
      <c r="AJ19" s="33" t="s">
        <v>93</v>
      </c>
      <c r="AK19" s="33" t="s">
        <v>94</v>
      </c>
      <c r="AL19" s="33" t="s">
        <v>95</v>
      </c>
      <c r="AM19" s="33" t="s">
        <v>96</v>
      </c>
      <c r="AN19" s="33" t="s">
        <v>97</v>
      </c>
      <c r="AO19" s="33" t="s">
        <v>98</v>
      </c>
      <c r="AP19" s="33" t="s">
        <v>99</v>
      </c>
      <c r="AQ19" s="33" t="s">
        <v>100</v>
      </c>
      <c r="AR19" s="33" t="s">
        <v>101</v>
      </c>
      <c r="AS19" s="33" t="s">
        <v>102</v>
      </c>
      <c r="AT19" s="33" t="s">
        <v>103</v>
      </c>
      <c r="AU19" s="33" t="s">
        <v>104</v>
      </c>
      <c r="AV19" s="33" t="s">
        <v>105</v>
      </c>
      <c r="AW19" s="33" t="s">
        <v>106</v>
      </c>
      <c r="AX19" s="33" t="s">
        <v>107</v>
      </c>
      <c r="AY19" s="33" t="s">
        <v>108</v>
      </c>
      <c r="AZ19" s="33" t="s">
        <v>109</v>
      </c>
      <c r="BA19" s="33" t="s">
        <v>110</v>
      </c>
      <c r="BB19" s="33" t="s">
        <v>111</v>
      </c>
      <c r="BC19" s="33" t="s">
        <v>112</v>
      </c>
      <c r="BD19" s="33" t="s">
        <v>113</v>
      </c>
      <c r="BE19" s="33" t="s">
        <v>114</v>
      </c>
      <c r="BF19" s="33" t="s">
        <v>115</v>
      </c>
      <c r="BG19" s="33" t="s">
        <v>116</v>
      </c>
      <c r="BH19" s="33" t="s">
        <v>117</v>
      </c>
      <c r="BI19" s="33" t="s">
        <v>118</v>
      </c>
      <c r="BJ19" s="33" t="s">
        <v>119</v>
      </c>
      <c r="BK19" s="33" t="s">
        <v>120</v>
      </c>
      <c r="BL19" s="33" t="s">
        <v>121</v>
      </c>
      <c r="BM19" s="33" t="s">
        <v>122</v>
      </c>
      <c r="BN19" s="33" t="s">
        <v>123</v>
      </c>
      <c r="BO19" s="33" t="s">
        <v>124</v>
      </c>
      <c r="BP19" s="33" t="s">
        <v>125</v>
      </c>
      <c r="BQ19" s="33" t="s">
        <v>126</v>
      </c>
      <c r="BR19" s="33" t="s">
        <v>127</v>
      </c>
      <c r="BS19" s="33" t="s">
        <v>128</v>
      </c>
      <c r="BT19" s="33" t="s">
        <v>129</v>
      </c>
      <c r="BU19" s="33" t="s">
        <v>130</v>
      </c>
      <c r="BV19" s="33" t="s">
        <v>131</v>
      </c>
      <c r="BW19" s="33" t="s">
        <v>132</v>
      </c>
      <c r="BX19" s="33" t="s">
        <v>133</v>
      </c>
      <c r="BY19" s="33" t="s">
        <v>134</v>
      </c>
      <c r="BZ19" s="33" t="s">
        <v>135</v>
      </c>
      <c r="CA19" s="33" t="s">
        <v>136</v>
      </c>
      <c r="CB19" s="33" t="s">
        <v>137</v>
      </c>
      <c r="CC19" s="33" t="s">
        <v>138</v>
      </c>
      <c r="CD19" s="33" t="s">
        <v>139</v>
      </c>
      <c r="CE19" s="33" t="s">
        <v>140</v>
      </c>
      <c r="CF19" s="33" t="s">
        <v>141</v>
      </c>
      <c r="CG19" s="33" t="s">
        <v>142</v>
      </c>
      <c r="CH19" s="33" t="s">
        <v>143</v>
      </c>
      <c r="CI19" s="33" t="s">
        <v>144</v>
      </c>
      <c r="CJ19" s="33" t="s">
        <v>145</v>
      </c>
      <c r="CK19" s="33" t="s">
        <v>146</v>
      </c>
      <c r="CL19" s="33" t="s">
        <v>147</v>
      </c>
      <c r="CM19" s="33" t="s">
        <v>148</v>
      </c>
      <c r="CN19" s="33" t="s">
        <v>149</v>
      </c>
      <c r="CO19" s="33" t="s">
        <v>150</v>
      </c>
      <c r="CP19" s="33" t="s">
        <v>151</v>
      </c>
      <c r="CQ19" s="33" t="s">
        <v>152</v>
      </c>
      <c r="CR19" s="33" t="s">
        <v>153</v>
      </c>
      <c r="CS19" s="33" t="s">
        <v>154</v>
      </c>
      <c r="CT19" s="33" t="s">
        <v>155</v>
      </c>
      <c r="CU19" s="33" t="s">
        <v>156</v>
      </c>
      <c r="CV19" s="33" t="s">
        <v>157</v>
      </c>
      <c r="CW19" s="33" t="s">
        <v>158</v>
      </c>
      <c r="CX19" s="33" t="s">
        <v>159</v>
      </c>
      <c r="CY19" s="33" t="s">
        <v>160</v>
      </c>
      <c r="CZ19" s="33" t="s">
        <v>161</v>
      </c>
      <c r="DA19" s="33" t="s">
        <v>162</v>
      </c>
      <c r="DB19" s="33" t="s">
        <v>163</v>
      </c>
      <c r="DC19" s="33" t="s">
        <v>164</v>
      </c>
      <c r="DD19" s="33" t="s">
        <v>165</v>
      </c>
      <c r="DE19" s="33" t="s">
        <v>166</v>
      </c>
      <c r="DF19" s="33" t="s">
        <v>167</v>
      </c>
      <c r="DG19" s="33" t="s">
        <v>168</v>
      </c>
      <c r="DH19" s="33" t="s">
        <v>169</v>
      </c>
      <c r="DI19" s="33" t="s">
        <v>170</v>
      </c>
      <c r="DJ19" s="33" t="s">
        <v>171</v>
      </c>
      <c r="DK19" s="33" t="s">
        <v>172</v>
      </c>
      <c r="DL19" s="33" t="s">
        <v>173</v>
      </c>
      <c r="DM19" s="35" t="s">
        <v>174</v>
      </c>
    </row>
    <row r="20" spans="5:117" x14ac:dyDescent="0.35">
      <c r="E20" s="111"/>
      <c r="F20" s="112" t="s">
        <v>175</v>
      </c>
      <c r="G20" s="112" t="s">
        <v>176</v>
      </c>
      <c r="H20" s="38">
        <f t="shared" ref="H20:H51" si="2">IFERROR(VLOOKUP(G20,Resource_List,2,FALSE),0)</f>
        <v>1450</v>
      </c>
      <c r="I20" s="38">
        <f>IFERROR($H$10*H20,0)</f>
        <v>3079.4446721311474</v>
      </c>
      <c r="J20" s="38">
        <f t="shared" ref="J20:J51" si="3">H20*L20</f>
        <v>2122800</v>
      </c>
      <c r="K20" s="38">
        <f t="shared" ref="K20:K51" si="4">I20*L20</f>
        <v>4508307</v>
      </c>
      <c r="L20" s="39">
        <f>SUM(M20:DL20)</f>
        <v>1464</v>
      </c>
      <c r="M20" s="113">
        <v>24</v>
      </c>
      <c r="N20" s="113">
        <v>40</v>
      </c>
      <c r="O20" s="113">
        <v>40</v>
      </c>
      <c r="P20" s="113">
        <v>40</v>
      </c>
      <c r="Q20" s="113">
        <v>24</v>
      </c>
      <c r="R20" s="113">
        <v>32</v>
      </c>
      <c r="S20" s="113">
        <v>40</v>
      </c>
      <c r="T20" s="113">
        <v>40</v>
      </c>
      <c r="U20" s="113">
        <v>40</v>
      </c>
      <c r="V20" s="113">
        <v>40</v>
      </c>
      <c r="W20" s="113">
        <v>40</v>
      </c>
      <c r="X20" s="113">
        <v>40</v>
      </c>
      <c r="Y20" s="113">
        <v>32</v>
      </c>
      <c r="Z20" s="113">
        <v>40</v>
      </c>
      <c r="AA20" s="113">
        <v>40</v>
      </c>
      <c r="AB20" s="113">
        <v>40</v>
      </c>
      <c r="AC20" s="113">
        <v>32</v>
      </c>
      <c r="AD20" s="113">
        <v>40</v>
      </c>
      <c r="AE20" s="113">
        <v>40</v>
      </c>
      <c r="AF20" s="113">
        <v>40</v>
      </c>
      <c r="AG20" s="113">
        <v>32</v>
      </c>
      <c r="AH20" s="113">
        <v>40</v>
      </c>
      <c r="AI20" s="113">
        <v>40</v>
      </c>
      <c r="AJ20" s="113">
        <v>40</v>
      </c>
      <c r="AK20" s="113">
        <v>32</v>
      </c>
      <c r="AL20" s="113">
        <v>40</v>
      </c>
      <c r="AM20" s="113">
        <v>32</v>
      </c>
      <c r="AN20" s="113">
        <v>40</v>
      </c>
      <c r="AO20" s="113">
        <v>24</v>
      </c>
      <c r="AP20" s="113">
        <v>40</v>
      </c>
      <c r="AQ20" s="113">
        <v>40</v>
      </c>
      <c r="AR20" s="113">
        <v>40</v>
      </c>
      <c r="AS20" s="113">
        <v>24</v>
      </c>
      <c r="AT20" s="113">
        <v>40</v>
      </c>
      <c r="AU20" s="113">
        <v>40</v>
      </c>
      <c r="AV20" s="113">
        <v>40</v>
      </c>
      <c r="AW20" s="113">
        <v>32</v>
      </c>
      <c r="AX20" s="113">
        <v>40</v>
      </c>
      <c r="AY20" s="113">
        <v>32</v>
      </c>
      <c r="AZ20" s="113">
        <v>32</v>
      </c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1464000</v>
      </c>
    </row>
    <row r="21" spans="5:117" x14ac:dyDescent="0.35">
      <c r="E21" s="111"/>
      <c r="F21" s="112"/>
      <c r="G21" s="112"/>
      <c r="H21" s="38">
        <f t="shared" si="2"/>
        <v>0</v>
      </c>
      <c r="I21" s="38">
        <f t="shared" ref="I21:I69" si="6">IFERROR($H$10*H21,0)</f>
        <v>0</v>
      </c>
      <c r="J21" s="38">
        <f t="shared" si="3"/>
        <v>0</v>
      </c>
      <c r="K21" s="38">
        <f t="shared" si="4"/>
        <v>0</v>
      </c>
      <c r="L21" s="39">
        <f t="shared" ref="L21:L69" si="7">SUM(M21:DL21)</f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0</v>
      </c>
    </row>
    <row r="22" spans="5:117" hidden="1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hidden="1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hidden="1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hidden="1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hidden="1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hidden="1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hidden="1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hidden="1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hidden="1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hidden="1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hidden="1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177</v>
      </c>
      <c r="F70" s="41"/>
      <c r="G70" s="41"/>
      <c r="H70" s="41"/>
      <c r="I70" s="8" t="s">
        <v>178</v>
      </c>
      <c r="J70" s="98">
        <f>SUM(J20:J69)</f>
        <v>2122800</v>
      </c>
      <c r="K70" s="97">
        <f>SUM(K20:K69)</f>
        <v>4508307</v>
      </c>
      <c r="L70" s="99">
        <f>SUM(L20:L69)</f>
        <v>1464</v>
      </c>
      <c r="M70" s="4">
        <f>SUM(M20:M69)</f>
        <v>24</v>
      </c>
      <c r="N70" s="4">
        <f t="shared" ref="N70:BY70" si="12">SUM(N20:N69)</f>
        <v>40</v>
      </c>
      <c r="O70" s="4">
        <f t="shared" si="12"/>
        <v>40</v>
      </c>
      <c r="P70" s="4">
        <f t="shared" si="12"/>
        <v>40</v>
      </c>
      <c r="Q70" s="4">
        <f t="shared" si="12"/>
        <v>24</v>
      </c>
      <c r="R70" s="4">
        <f t="shared" si="12"/>
        <v>32</v>
      </c>
      <c r="S70" s="4">
        <f t="shared" si="12"/>
        <v>40</v>
      </c>
      <c r="T70" s="4">
        <f t="shared" si="12"/>
        <v>40</v>
      </c>
      <c r="U70" s="4">
        <f t="shared" si="12"/>
        <v>40</v>
      </c>
      <c r="V70" s="4">
        <f t="shared" si="12"/>
        <v>40</v>
      </c>
      <c r="W70" s="4">
        <f t="shared" si="12"/>
        <v>40</v>
      </c>
      <c r="X70" s="4">
        <f t="shared" si="12"/>
        <v>40</v>
      </c>
      <c r="Y70" s="4">
        <f t="shared" si="12"/>
        <v>32</v>
      </c>
      <c r="Z70" s="4">
        <f t="shared" si="12"/>
        <v>40</v>
      </c>
      <c r="AA70" s="4">
        <f t="shared" si="12"/>
        <v>40</v>
      </c>
      <c r="AB70" s="4">
        <f t="shared" si="12"/>
        <v>40</v>
      </c>
      <c r="AC70" s="4">
        <f t="shared" si="12"/>
        <v>32</v>
      </c>
      <c r="AD70" s="4">
        <f t="shared" si="12"/>
        <v>40</v>
      </c>
      <c r="AE70" s="4">
        <f t="shared" si="12"/>
        <v>40</v>
      </c>
      <c r="AF70" s="4">
        <f t="shared" si="12"/>
        <v>40</v>
      </c>
      <c r="AG70" s="4">
        <f t="shared" si="12"/>
        <v>32</v>
      </c>
      <c r="AH70" s="4">
        <f t="shared" si="12"/>
        <v>40</v>
      </c>
      <c r="AI70" s="4">
        <f t="shared" si="12"/>
        <v>40</v>
      </c>
      <c r="AJ70" s="4">
        <f t="shared" si="12"/>
        <v>40</v>
      </c>
      <c r="AK70" s="4">
        <f t="shared" si="12"/>
        <v>32</v>
      </c>
      <c r="AL70" s="4">
        <f t="shared" si="12"/>
        <v>40</v>
      </c>
      <c r="AM70" s="4">
        <f t="shared" si="12"/>
        <v>32</v>
      </c>
      <c r="AN70" s="4">
        <f t="shared" si="12"/>
        <v>40</v>
      </c>
      <c r="AO70" s="4">
        <f t="shared" si="12"/>
        <v>24</v>
      </c>
      <c r="AP70" s="4">
        <f t="shared" si="12"/>
        <v>40</v>
      </c>
      <c r="AQ70" s="4">
        <f t="shared" si="12"/>
        <v>40</v>
      </c>
      <c r="AR70" s="4">
        <f t="shared" si="12"/>
        <v>40</v>
      </c>
      <c r="AS70" s="4">
        <f t="shared" si="12"/>
        <v>24</v>
      </c>
      <c r="AT70" s="4">
        <f t="shared" si="12"/>
        <v>40</v>
      </c>
      <c r="AU70" s="4">
        <f t="shared" si="12"/>
        <v>40</v>
      </c>
      <c r="AV70" s="4">
        <f t="shared" si="12"/>
        <v>40</v>
      </c>
      <c r="AW70" s="4">
        <f t="shared" si="12"/>
        <v>32</v>
      </c>
      <c r="AX70" s="4">
        <f t="shared" si="12"/>
        <v>40</v>
      </c>
      <c r="AY70" s="4">
        <f t="shared" si="12"/>
        <v>32</v>
      </c>
      <c r="AZ70" s="4">
        <f t="shared" si="12"/>
        <v>32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1464000</v>
      </c>
    </row>
    <row r="71" spans="5:117" ht="15" thickBot="1" x14ac:dyDescent="0.4"/>
    <row r="72" spans="5:117" ht="15" thickBot="1" x14ac:dyDescent="0.4">
      <c r="E72" s="95" t="s">
        <v>179</v>
      </c>
      <c r="F72" s="48"/>
      <c r="G72" s="48"/>
      <c r="H72" s="48"/>
      <c r="I72" s="48"/>
      <c r="J72" s="48"/>
      <c r="K72" s="48"/>
      <c r="L72" s="48"/>
      <c r="M72" s="94">
        <f>FrontPage!B9</f>
        <v>46111</v>
      </c>
      <c r="N72" s="88">
        <f>M72+7</f>
        <v>46118</v>
      </c>
      <c r="O72" s="88">
        <f t="shared" ref="O72" si="14">N72+7</f>
        <v>46125</v>
      </c>
      <c r="P72" s="88">
        <f t="shared" ref="P72" si="15">O72+7</f>
        <v>46132</v>
      </c>
      <c r="Q72" s="88">
        <f t="shared" ref="Q72" si="16">P72+7</f>
        <v>46139</v>
      </c>
      <c r="R72" s="88">
        <f t="shared" ref="R72" si="17">Q72+7</f>
        <v>46146</v>
      </c>
      <c r="S72" s="88">
        <f t="shared" ref="S72" si="18">R72+7</f>
        <v>46153</v>
      </c>
      <c r="T72" s="88">
        <f t="shared" ref="T72" si="19">S72+7</f>
        <v>46160</v>
      </c>
      <c r="U72" s="88">
        <f t="shared" ref="U72" si="20">T72+7</f>
        <v>46167</v>
      </c>
      <c r="V72" s="88">
        <f t="shared" ref="V72" si="21">U72+7</f>
        <v>46174</v>
      </c>
      <c r="W72" s="88">
        <f t="shared" ref="W72" si="22">V72+7</f>
        <v>46181</v>
      </c>
      <c r="X72" s="88">
        <f t="shared" ref="X72" si="23">W72+7</f>
        <v>46188</v>
      </c>
      <c r="Y72" s="88">
        <f t="shared" ref="Y72" si="24">X72+7</f>
        <v>46195</v>
      </c>
      <c r="Z72" s="88">
        <f t="shared" ref="Z72" si="25">Y72+7</f>
        <v>46202</v>
      </c>
      <c r="AA72" s="88">
        <f t="shared" ref="AA72" si="26">Z72+7</f>
        <v>46209</v>
      </c>
      <c r="AB72" s="88">
        <f t="shared" ref="AB72" si="27">AA72+7</f>
        <v>46216</v>
      </c>
      <c r="AC72" s="88">
        <f t="shared" ref="AC72" si="28">AB72+7</f>
        <v>46223</v>
      </c>
      <c r="AD72" s="88">
        <f t="shared" ref="AD72" si="29">AC72+7</f>
        <v>46230</v>
      </c>
      <c r="AE72" s="88">
        <f t="shared" ref="AE72" si="30">AD72+7</f>
        <v>46237</v>
      </c>
      <c r="AF72" s="88">
        <f t="shared" ref="AF72" si="31">AE72+7</f>
        <v>46244</v>
      </c>
      <c r="AG72" s="88">
        <f t="shared" ref="AG72" si="32">AF72+7</f>
        <v>46251</v>
      </c>
      <c r="AH72" s="88">
        <f t="shared" ref="AH72" si="33">AG72+7</f>
        <v>46258</v>
      </c>
      <c r="AI72" s="88">
        <f t="shared" ref="AI72" si="34">AH72+7</f>
        <v>46265</v>
      </c>
      <c r="AJ72" s="88">
        <f t="shared" ref="AJ72" si="35">AI72+7</f>
        <v>46272</v>
      </c>
      <c r="AK72" s="88">
        <f t="shared" ref="AK72" si="36">AJ72+7</f>
        <v>46279</v>
      </c>
      <c r="AL72" s="88">
        <f t="shared" ref="AL72" si="37">AK72+7</f>
        <v>46286</v>
      </c>
      <c r="AM72" s="88">
        <f t="shared" ref="AM72" si="38">AL72+7</f>
        <v>46293</v>
      </c>
      <c r="AN72" s="88">
        <f t="shared" ref="AN72" si="39">AM72+7</f>
        <v>46300</v>
      </c>
      <c r="AO72" s="88">
        <f t="shared" ref="AO72" si="40">AN72+7</f>
        <v>46307</v>
      </c>
      <c r="AP72" s="88">
        <f t="shared" ref="AP72" si="41">AO72+7</f>
        <v>46314</v>
      </c>
      <c r="AQ72" s="88">
        <f t="shared" ref="AQ72" si="42">AP72+7</f>
        <v>46321</v>
      </c>
      <c r="AR72" s="88">
        <f t="shared" ref="AR72" si="43">AQ72+7</f>
        <v>46328</v>
      </c>
      <c r="AS72" s="88">
        <f t="shared" ref="AS72" si="44">AR72+7</f>
        <v>46335</v>
      </c>
      <c r="AT72" s="88">
        <f t="shared" ref="AT72" si="45">AS72+7</f>
        <v>46342</v>
      </c>
      <c r="AU72" s="88">
        <f t="shared" ref="AU72" si="46">AT72+7</f>
        <v>46349</v>
      </c>
      <c r="AV72" s="88">
        <f t="shared" ref="AV72" si="47">AU72+7</f>
        <v>46356</v>
      </c>
      <c r="AW72" s="88">
        <f t="shared" ref="AW72" si="48">AV72+7</f>
        <v>46363</v>
      </c>
      <c r="AX72" s="88">
        <f t="shared" ref="AX72" si="49">AW72+7</f>
        <v>46370</v>
      </c>
      <c r="AY72" s="88">
        <f t="shared" ref="AY72" si="50">AX72+7</f>
        <v>46377</v>
      </c>
      <c r="AZ72" s="88">
        <f t="shared" ref="AZ72" si="51">AY72+7</f>
        <v>46384</v>
      </c>
      <c r="BA72" s="88">
        <f t="shared" ref="BA72" si="52">AZ72+7</f>
        <v>46391</v>
      </c>
      <c r="BB72" s="88">
        <f t="shared" ref="BB72" si="53">BA72+7</f>
        <v>46398</v>
      </c>
      <c r="BC72" s="88">
        <f t="shared" ref="BC72" si="54">BB72+7</f>
        <v>46405</v>
      </c>
      <c r="BD72" s="88">
        <f t="shared" ref="BD72" si="55">BC72+7</f>
        <v>46412</v>
      </c>
      <c r="BE72" s="88">
        <f t="shared" ref="BE72" si="56">BD72+7</f>
        <v>46419</v>
      </c>
      <c r="BF72" s="88">
        <f t="shared" ref="BF72" si="57">BE72+7</f>
        <v>46426</v>
      </c>
      <c r="BG72" s="88">
        <f t="shared" ref="BG72" si="58">BF72+7</f>
        <v>46433</v>
      </c>
      <c r="BH72" s="88">
        <f t="shared" ref="BH72" si="59">BG72+7</f>
        <v>46440</v>
      </c>
      <c r="BI72" s="88">
        <f t="shared" ref="BI72" si="60">BH72+7</f>
        <v>46447</v>
      </c>
      <c r="BJ72" s="88">
        <f t="shared" ref="BJ72" si="61">BI72+7</f>
        <v>46454</v>
      </c>
      <c r="BK72" s="88">
        <f t="shared" ref="BK72" si="62">BJ72+7</f>
        <v>46461</v>
      </c>
      <c r="BL72" s="88">
        <f t="shared" ref="BL72" si="63">BK72+7</f>
        <v>46468</v>
      </c>
      <c r="BM72" s="88">
        <f t="shared" ref="BM72" si="64">BL72+7</f>
        <v>46475</v>
      </c>
      <c r="BN72" s="88">
        <f t="shared" ref="BN72" si="65">BM72+7</f>
        <v>46482</v>
      </c>
      <c r="BO72" s="88">
        <f t="shared" ref="BO72" si="66">BN72+7</f>
        <v>46489</v>
      </c>
      <c r="BP72" s="88">
        <f t="shared" ref="BP72" si="67">BO72+7</f>
        <v>46496</v>
      </c>
      <c r="BQ72" s="88">
        <f t="shared" ref="BQ72" si="68">BP72+7</f>
        <v>46503</v>
      </c>
      <c r="BR72" s="88">
        <f t="shared" ref="BR72" si="69">BQ72+7</f>
        <v>46510</v>
      </c>
      <c r="BS72" s="88">
        <f t="shared" ref="BS72" si="70">BR72+7</f>
        <v>46517</v>
      </c>
      <c r="BT72" s="88">
        <f t="shared" ref="BT72" si="71">BS72+7</f>
        <v>46524</v>
      </c>
      <c r="BU72" s="88">
        <f t="shared" ref="BU72" si="72">BT72+7</f>
        <v>46531</v>
      </c>
      <c r="BV72" s="88">
        <f t="shared" ref="BV72" si="73">BU72+7</f>
        <v>46538</v>
      </c>
      <c r="BW72" s="88">
        <f t="shared" ref="BW72" si="74">BV72+7</f>
        <v>46545</v>
      </c>
      <c r="BX72" s="88">
        <f t="shared" ref="BX72" si="75">BW72+7</f>
        <v>46552</v>
      </c>
      <c r="BY72" s="88">
        <f t="shared" ref="BY72" si="76">BX72+7</f>
        <v>46559</v>
      </c>
      <c r="BZ72" s="88">
        <f t="shared" ref="BZ72" si="77">BY72+7</f>
        <v>46566</v>
      </c>
      <c r="CA72" s="88">
        <f t="shared" ref="CA72" si="78">BZ72+7</f>
        <v>46573</v>
      </c>
      <c r="CB72" s="88">
        <f t="shared" ref="CB72" si="79">CA72+7</f>
        <v>46580</v>
      </c>
      <c r="CC72" s="88">
        <f t="shared" ref="CC72" si="80">CB72+7</f>
        <v>46587</v>
      </c>
      <c r="CD72" s="88">
        <f t="shared" ref="CD72" si="81">CC72+7</f>
        <v>46594</v>
      </c>
      <c r="CE72" s="88">
        <f t="shared" ref="CE72" si="82">CD72+7</f>
        <v>46601</v>
      </c>
      <c r="CF72" s="88">
        <f t="shared" ref="CF72" si="83">CE72+7</f>
        <v>46608</v>
      </c>
      <c r="CG72" s="88">
        <f t="shared" ref="CG72" si="84">CF72+7</f>
        <v>46615</v>
      </c>
      <c r="CH72" s="88">
        <f t="shared" ref="CH72" si="85">CG72+7</f>
        <v>46622</v>
      </c>
      <c r="CI72" s="88">
        <f t="shared" ref="CI72" si="86">CH72+7</f>
        <v>46629</v>
      </c>
      <c r="CJ72" s="88">
        <f t="shared" ref="CJ72" si="87">CI72+7</f>
        <v>46636</v>
      </c>
      <c r="CK72" s="88">
        <f t="shared" ref="CK72" si="88">CJ72+7</f>
        <v>46643</v>
      </c>
      <c r="CL72" s="88">
        <f t="shared" ref="CL72" si="89">CK72+7</f>
        <v>46650</v>
      </c>
      <c r="CM72" s="88">
        <f t="shared" ref="CM72" si="90">CL72+7</f>
        <v>46657</v>
      </c>
      <c r="CN72" s="88">
        <f t="shared" ref="CN72" si="91">CM72+7</f>
        <v>46664</v>
      </c>
      <c r="CO72" s="88">
        <f t="shared" ref="CO72" si="92">CN72+7</f>
        <v>46671</v>
      </c>
      <c r="CP72" s="88">
        <f t="shared" ref="CP72" si="93">CO72+7</f>
        <v>46678</v>
      </c>
      <c r="CQ72" s="88">
        <f t="shared" ref="CQ72" si="94">CP72+7</f>
        <v>46685</v>
      </c>
      <c r="CR72" s="88">
        <f t="shared" ref="CR72" si="95">CQ72+7</f>
        <v>46692</v>
      </c>
      <c r="CS72" s="88">
        <f t="shared" ref="CS72" si="96">CR72+7</f>
        <v>46699</v>
      </c>
      <c r="CT72" s="88">
        <f t="shared" ref="CT72" si="97">CS72+7</f>
        <v>46706</v>
      </c>
      <c r="CU72" s="88">
        <f t="shared" ref="CU72" si="98">CT72+7</f>
        <v>46713</v>
      </c>
      <c r="CV72" s="88">
        <f t="shared" ref="CV72" si="99">CU72+7</f>
        <v>46720</v>
      </c>
      <c r="CW72" s="88">
        <f t="shared" ref="CW72" si="100">CV72+7</f>
        <v>46727</v>
      </c>
      <c r="CX72" s="88">
        <f t="shared" ref="CX72" si="101">CW72+7</f>
        <v>46734</v>
      </c>
      <c r="CY72" s="88">
        <f t="shared" ref="CY72" si="102">CX72+7</f>
        <v>46741</v>
      </c>
      <c r="CZ72" s="88">
        <f t="shared" ref="CZ72" si="103">CY72+7</f>
        <v>46748</v>
      </c>
      <c r="DA72" s="88">
        <f t="shared" ref="DA72" si="104">CZ72+7</f>
        <v>46755</v>
      </c>
      <c r="DB72" s="88">
        <f t="shared" ref="DB72" si="105">DA72+7</f>
        <v>46762</v>
      </c>
      <c r="DC72" s="88">
        <f t="shared" ref="DC72" si="106">DB72+7</f>
        <v>46769</v>
      </c>
      <c r="DD72" s="88">
        <f t="shared" ref="DD72" si="107">DC72+7</f>
        <v>46776</v>
      </c>
      <c r="DE72" s="88">
        <f t="shared" ref="DE72" si="108">DD72+7</f>
        <v>46783</v>
      </c>
      <c r="DF72" s="88">
        <f t="shared" ref="DF72" si="109">DE72+7</f>
        <v>46790</v>
      </c>
      <c r="DG72" s="88">
        <f t="shared" ref="DG72" si="110">DF72+7</f>
        <v>46797</v>
      </c>
      <c r="DH72" s="88">
        <f t="shared" ref="DH72" si="111">DG72+7</f>
        <v>46804</v>
      </c>
      <c r="DI72" s="88">
        <f t="shared" ref="DI72" si="112">DH72+7</f>
        <v>46811</v>
      </c>
      <c r="DJ72" s="88">
        <f t="shared" ref="DJ72" si="113">DI72+7</f>
        <v>46818</v>
      </c>
      <c r="DK72" s="88">
        <f t="shared" ref="DK72" si="114">DJ72+7</f>
        <v>46825</v>
      </c>
      <c r="DL72" s="89">
        <f t="shared" ref="DL72" si="115">DK72+7</f>
        <v>46832</v>
      </c>
    </row>
    <row r="73" spans="5:117" s="19" customFormat="1" ht="30" customHeight="1" x14ac:dyDescent="0.3">
      <c r="E73" s="28" t="s">
        <v>62</v>
      </c>
      <c r="F73" s="91" t="s">
        <v>180</v>
      </c>
      <c r="G73" s="91" t="s">
        <v>181</v>
      </c>
      <c r="H73" s="92" t="s">
        <v>182</v>
      </c>
      <c r="I73" s="69"/>
      <c r="J73" s="69"/>
      <c r="K73" s="93" t="s">
        <v>183</v>
      </c>
      <c r="L73" s="34" t="s">
        <v>184</v>
      </c>
      <c r="M73" s="34" t="s">
        <v>70</v>
      </c>
      <c r="N73" s="33" t="s">
        <v>71</v>
      </c>
      <c r="O73" s="33" t="s">
        <v>72</v>
      </c>
      <c r="P73" s="33" t="s">
        <v>73</v>
      </c>
      <c r="Q73" s="33" t="s">
        <v>74</v>
      </c>
      <c r="R73" s="33" t="s">
        <v>75</v>
      </c>
      <c r="S73" s="33" t="s">
        <v>76</v>
      </c>
      <c r="T73" s="33" t="s">
        <v>77</v>
      </c>
      <c r="U73" s="33" t="s">
        <v>78</v>
      </c>
      <c r="V73" s="33" t="s">
        <v>79</v>
      </c>
      <c r="W73" s="33" t="s">
        <v>80</v>
      </c>
      <c r="X73" s="33" t="s">
        <v>81</v>
      </c>
      <c r="Y73" s="33" t="s">
        <v>82</v>
      </c>
      <c r="Z73" s="33" t="s">
        <v>83</v>
      </c>
      <c r="AA73" s="33" t="s">
        <v>84</v>
      </c>
      <c r="AB73" s="33" t="s">
        <v>85</v>
      </c>
      <c r="AC73" s="33" t="s">
        <v>86</v>
      </c>
      <c r="AD73" s="33" t="s">
        <v>87</v>
      </c>
      <c r="AE73" s="33" t="s">
        <v>88</v>
      </c>
      <c r="AF73" s="33" t="s">
        <v>89</v>
      </c>
      <c r="AG73" s="33" t="s">
        <v>90</v>
      </c>
      <c r="AH73" s="33" t="s">
        <v>91</v>
      </c>
      <c r="AI73" s="33" t="s">
        <v>92</v>
      </c>
      <c r="AJ73" s="33" t="s">
        <v>93</v>
      </c>
      <c r="AK73" s="33" t="s">
        <v>94</v>
      </c>
      <c r="AL73" s="33" t="s">
        <v>95</v>
      </c>
      <c r="AM73" s="33" t="s">
        <v>96</v>
      </c>
      <c r="AN73" s="33" t="s">
        <v>97</v>
      </c>
      <c r="AO73" s="33" t="s">
        <v>98</v>
      </c>
      <c r="AP73" s="33" t="s">
        <v>99</v>
      </c>
      <c r="AQ73" s="33" t="s">
        <v>100</v>
      </c>
      <c r="AR73" s="33" t="s">
        <v>101</v>
      </c>
      <c r="AS73" s="33" t="s">
        <v>102</v>
      </c>
      <c r="AT73" s="33" t="s">
        <v>103</v>
      </c>
      <c r="AU73" s="33" t="s">
        <v>104</v>
      </c>
      <c r="AV73" s="33" t="s">
        <v>105</v>
      </c>
      <c r="AW73" s="33" t="s">
        <v>106</v>
      </c>
      <c r="AX73" s="33" t="s">
        <v>107</v>
      </c>
      <c r="AY73" s="33" t="s">
        <v>108</v>
      </c>
      <c r="AZ73" s="33" t="s">
        <v>109</v>
      </c>
      <c r="BA73" s="33" t="s">
        <v>110</v>
      </c>
      <c r="BB73" s="33" t="s">
        <v>111</v>
      </c>
      <c r="BC73" s="33" t="s">
        <v>112</v>
      </c>
      <c r="BD73" s="33" t="s">
        <v>113</v>
      </c>
      <c r="BE73" s="33" t="s">
        <v>114</v>
      </c>
      <c r="BF73" s="33" t="s">
        <v>115</v>
      </c>
      <c r="BG73" s="33" t="s">
        <v>116</v>
      </c>
      <c r="BH73" s="33" t="s">
        <v>117</v>
      </c>
      <c r="BI73" s="33" t="s">
        <v>118</v>
      </c>
      <c r="BJ73" s="33" t="s">
        <v>119</v>
      </c>
      <c r="BK73" s="33" t="s">
        <v>120</v>
      </c>
      <c r="BL73" s="33" t="s">
        <v>121</v>
      </c>
      <c r="BM73" s="33" t="s">
        <v>122</v>
      </c>
      <c r="BN73" s="33" t="s">
        <v>123</v>
      </c>
      <c r="BO73" s="33" t="s">
        <v>124</v>
      </c>
      <c r="BP73" s="33" t="s">
        <v>125</v>
      </c>
      <c r="BQ73" s="33" t="s">
        <v>126</v>
      </c>
      <c r="BR73" s="33" t="s">
        <v>127</v>
      </c>
      <c r="BS73" s="33" t="s">
        <v>128</v>
      </c>
      <c r="BT73" s="33" t="s">
        <v>129</v>
      </c>
      <c r="BU73" s="33" t="s">
        <v>130</v>
      </c>
      <c r="BV73" s="33" t="s">
        <v>131</v>
      </c>
      <c r="BW73" s="33" t="s">
        <v>132</v>
      </c>
      <c r="BX73" s="33" t="s">
        <v>133</v>
      </c>
      <c r="BY73" s="33" t="s">
        <v>134</v>
      </c>
      <c r="BZ73" s="33" t="s">
        <v>135</v>
      </c>
      <c r="CA73" s="33" t="s">
        <v>136</v>
      </c>
      <c r="CB73" s="33" t="s">
        <v>137</v>
      </c>
      <c r="CC73" s="33" t="s">
        <v>138</v>
      </c>
      <c r="CD73" s="33" t="s">
        <v>139</v>
      </c>
      <c r="CE73" s="33" t="s">
        <v>140</v>
      </c>
      <c r="CF73" s="33" t="s">
        <v>141</v>
      </c>
      <c r="CG73" s="33" t="s">
        <v>142</v>
      </c>
      <c r="CH73" s="33" t="s">
        <v>143</v>
      </c>
      <c r="CI73" s="33" t="s">
        <v>144</v>
      </c>
      <c r="CJ73" s="33" t="s">
        <v>145</v>
      </c>
      <c r="CK73" s="33" t="s">
        <v>146</v>
      </c>
      <c r="CL73" s="33" t="s">
        <v>147</v>
      </c>
      <c r="CM73" s="33" t="s">
        <v>148</v>
      </c>
      <c r="CN73" s="33" t="s">
        <v>149</v>
      </c>
      <c r="CO73" s="33" t="s">
        <v>150</v>
      </c>
      <c r="CP73" s="33" t="s">
        <v>151</v>
      </c>
      <c r="CQ73" s="33" t="s">
        <v>152</v>
      </c>
      <c r="CR73" s="33" t="s">
        <v>153</v>
      </c>
      <c r="CS73" s="33" t="s">
        <v>154</v>
      </c>
      <c r="CT73" s="33" t="s">
        <v>155</v>
      </c>
      <c r="CU73" s="33" t="s">
        <v>156</v>
      </c>
      <c r="CV73" s="33" t="s">
        <v>157</v>
      </c>
      <c r="CW73" s="33" t="s">
        <v>158</v>
      </c>
      <c r="CX73" s="33" t="s">
        <v>159</v>
      </c>
      <c r="CY73" s="33" t="s">
        <v>160</v>
      </c>
      <c r="CZ73" s="33" t="s">
        <v>161</v>
      </c>
      <c r="DA73" s="33" t="s">
        <v>162</v>
      </c>
      <c r="DB73" s="33" t="s">
        <v>163</v>
      </c>
      <c r="DC73" s="33" t="s">
        <v>164</v>
      </c>
      <c r="DD73" s="33" t="s">
        <v>165</v>
      </c>
      <c r="DE73" s="33" t="s">
        <v>166</v>
      </c>
      <c r="DF73" s="33" t="s">
        <v>167</v>
      </c>
      <c r="DG73" s="33" t="s">
        <v>168</v>
      </c>
      <c r="DH73" s="33" t="s">
        <v>169</v>
      </c>
      <c r="DI73" s="33" t="s">
        <v>170</v>
      </c>
      <c r="DJ73" s="33" t="s">
        <v>171</v>
      </c>
      <c r="DK73" s="33" t="s">
        <v>172</v>
      </c>
      <c r="DL73" s="44" t="s">
        <v>173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178</v>
      </c>
      <c r="K84" s="97">
        <f>SUM(K74:K83)</f>
        <v>0</v>
      </c>
      <c r="L84" s="96"/>
      <c r="M84" s="4">
        <f>SUM(M34:M83)</f>
        <v>46135</v>
      </c>
      <c r="N84" s="4">
        <f t="shared" ref="N84:BY84" si="118">SUM(N34:N83)</f>
        <v>46158</v>
      </c>
      <c r="O84" s="4">
        <f t="shared" si="118"/>
        <v>46165</v>
      </c>
      <c r="P84" s="4">
        <f t="shared" si="118"/>
        <v>46172</v>
      </c>
      <c r="Q84" s="4">
        <f t="shared" si="118"/>
        <v>46163</v>
      </c>
      <c r="R84" s="4">
        <f t="shared" si="118"/>
        <v>46178</v>
      </c>
      <c r="S84" s="4">
        <f t="shared" si="118"/>
        <v>46193</v>
      </c>
      <c r="T84" s="4">
        <f t="shared" si="118"/>
        <v>46200</v>
      </c>
      <c r="U84" s="4">
        <f t="shared" si="118"/>
        <v>46207</v>
      </c>
      <c r="V84" s="4">
        <f t="shared" si="118"/>
        <v>46214</v>
      </c>
      <c r="W84" s="4">
        <f t="shared" si="118"/>
        <v>46221</v>
      </c>
      <c r="X84" s="4">
        <f t="shared" si="118"/>
        <v>46228</v>
      </c>
      <c r="Y84" s="4">
        <f t="shared" si="118"/>
        <v>46227</v>
      </c>
      <c r="Z84" s="4">
        <f t="shared" si="118"/>
        <v>46242</v>
      </c>
      <c r="AA84" s="4">
        <f t="shared" si="118"/>
        <v>46249</v>
      </c>
      <c r="AB84" s="4">
        <f t="shared" si="118"/>
        <v>46256</v>
      </c>
      <c r="AC84" s="4">
        <f t="shared" si="118"/>
        <v>46255</v>
      </c>
      <c r="AD84" s="4">
        <f t="shared" si="118"/>
        <v>46270</v>
      </c>
      <c r="AE84" s="4">
        <f t="shared" si="118"/>
        <v>46277</v>
      </c>
      <c r="AF84" s="4">
        <f t="shared" si="118"/>
        <v>46284</v>
      </c>
      <c r="AG84" s="4">
        <f t="shared" si="118"/>
        <v>46283</v>
      </c>
      <c r="AH84" s="4">
        <f t="shared" si="118"/>
        <v>46298</v>
      </c>
      <c r="AI84" s="4">
        <f t="shared" si="118"/>
        <v>46305</v>
      </c>
      <c r="AJ84" s="4">
        <f t="shared" si="118"/>
        <v>46312</v>
      </c>
      <c r="AK84" s="4">
        <f t="shared" si="118"/>
        <v>46311</v>
      </c>
      <c r="AL84" s="4">
        <f t="shared" si="118"/>
        <v>46326</v>
      </c>
      <c r="AM84" s="4">
        <f t="shared" si="118"/>
        <v>46325</v>
      </c>
      <c r="AN84" s="4">
        <f t="shared" si="118"/>
        <v>46340</v>
      </c>
      <c r="AO84" s="4">
        <f t="shared" si="118"/>
        <v>46331</v>
      </c>
      <c r="AP84" s="4">
        <f t="shared" si="118"/>
        <v>46354</v>
      </c>
      <c r="AQ84" s="4">
        <f t="shared" si="118"/>
        <v>46361</v>
      </c>
      <c r="AR84" s="4">
        <f t="shared" si="118"/>
        <v>46368</v>
      </c>
      <c r="AS84" s="4">
        <f t="shared" si="118"/>
        <v>46359</v>
      </c>
      <c r="AT84" s="4">
        <f t="shared" si="118"/>
        <v>46382</v>
      </c>
      <c r="AU84" s="4">
        <f t="shared" si="118"/>
        <v>46389</v>
      </c>
      <c r="AV84" s="4">
        <f t="shared" si="118"/>
        <v>46396</v>
      </c>
      <c r="AW84" s="4">
        <f t="shared" si="118"/>
        <v>46395</v>
      </c>
      <c r="AX84" s="4">
        <f t="shared" si="118"/>
        <v>46410</v>
      </c>
      <c r="AY84" s="4">
        <f t="shared" si="118"/>
        <v>46409</v>
      </c>
      <c r="AZ84" s="4">
        <f t="shared" si="118"/>
        <v>46416</v>
      </c>
      <c r="BA84" s="4">
        <f t="shared" si="118"/>
        <v>46391</v>
      </c>
      <c r="BB84" s="4">
        <f t="shared" si="118"/>
        <v>46398</v>
      </c>
      <c r="BC84" s="4">
        <f t="shared" si="118"/>
        <v>46405</v>
      </c>
      <c r="BD84" s="4">
        <f t="shared" si="118"/>
        <v>46412</v>
      </c>
      <c r="BE84" s="4">
        <f t="shared" si="118"/>
        <v>46419</v>
      </c>
      <c r="BF84" s="4">
        <f t="shared" si="118"/>
        <v>46426</v>
      </c>
      <c r="BG84" s="4">
        <f t="shared" si="118"/>
        <v>46433</v>
      </c>
      <c r="BH84" s="4">
        <f t="shared" si="118"/>
        <v>46440</v>
      </c>
      <c r="BI84" s="4">
        <f t="shared" si="118"/>
        <v>46447</v>
      </c>
      <c r="BJ84" s="4">
        <f t="shared" si="118"/>
        <v>46454</v>
      </c>
      <c r="BK84" s="4">
        <f t="shared" si="118"/>
        <v>46461</v>
      </c>
      <c r="BL84" s="4">
        <f t="shared" si="118"/>
        <v>46468</v>
      </c>
      <c r="BM84" s="4">
        <f t="shared" si="118"/>
        <v>46475</v>
      </c>
      <c r="BN84" s="4">
        <f t="shared" si="118"/>
        <v>46482</v>
      </c>
      <c r="BO84" s="4">
        <f t="shared" si="118"/>
        <v>46489</v>
      </c>
      <c r="BP84" s="4">
        <f t="shared" si="118"/>
        <v>46496</v>
      </c>
      <c r="BQ84" s="4">
        <f t="shared" si="118"/>
        <v>46503</v>
      </c>
      <c r="BR84" s="4">
        <f t="shared" si="118"/>
        <v>46510</v>
      </c>
      <c r="BS84" s="4">
        <f t="shared" si="118"/>
        <v>46517</v>
      </c>
      <c r="BT84" s="4">
        <f t="shared" si="118"/>
        <v>46524</v>
      </c>
      <c r="BU84" s="4">
        <f t="shared" si="118"/>
        <v>46531</v>
      </c>
      <c r="BV84" s="4">
        <f t="shared" si="118"/>
        <v>46538</v>
      </c>
      <c r="BW84" s="4">
        <f t="shared" si="118"/>
        <v>46545</v>
      </c>
      <c r="BX84" s="4">
        <f t="shared" si="118"/>
        <v>46552</v>
      </c>
      <c r="BY84" s="4">
        <f t="shared" si="118"/>
        <v>46559</v>
      </c>
      <c r="BZ84" s="4">
        <f t="shared" ref="BZ84:DL84" si="119">SUM(BZ34:BZ83)</f>
        <v>46566</v>
      </c>
      <c r="CA84" s="4">
        <f t="shared" si="119"/>
        <v>46573</v>
      </c>
      <c r="CB84" s="4">
        <f t="shared" si="119"/>
        <v>46580</v>
      </c>
      <c r="CC84" s="4">
        <f t="shared" si="119"/>
        <v>46587</v>
      </c>
      <c r="CD84" s="4">
        <f t="shared" si="119"/>
        <v>46594</v>
      </c>
      <c r="CE84" s="4">
        <f t="shared" si="119"/>
        <v>46601</v>
      </c>
      <c r="CF84" s="4">
        <f t="shared" si="119"/>
        <v>46608</v>
      </c>
      <c r="CG84" s="4">
        <f t="shared" si="119"/>
        <v>46615</v>
      </c>
      <c r="CH84" s="4">
        <f t="shared" si="119"/>
        <v>46622</v>
      </c>
      <c r="CI84" s="4">
        <f t="shared" si="119"/>
        <v>46629</v>
      </c>
      <c r="CJ84" s="4">
        <f t="shared" si="119"/>
        <v>46636</v>
      </c>
      <c r="CK84" s="4">
        <f t="shared" si="119"/>
        <v>46643</v>
      </c>
      <c r="CL84" s="4">
        <f t="shared" si="119"/>
        <v>46650</v>
      </c>
      <c r="CM84" s="4">
        <f t="shared" si="119"/>
        <v>46657</v>
      </c>
      <c r="CN84" s="4">
        <f t="shared" si="119"/>
        <v>46664</v>
      </c>
      <c r="CO84" s="4">
        <f t="shared" si="119"/>
        <v>46671</v>
      </c>
      <c r="CP84" s="4">
        <f t="shared" si="119"/>
        <v>46678</v>
      </c>
      <c r="CQ84" s="4">
        <f t="shared" si="119"/>
        <v>46685</v>
      </c>
      <c r="CR84" s="4">
        <f t="shared" si="119"/>
        <v>46692</v>
      </c>
      <c r="CS84" s="4">
        <f t="shared" si="119"/>
        <v>46699</v>
      </c>
      <c r="CT84" s="4">
        <f t="shared" si="119"/>
        <v>46706</v>
      </c>
      <c r="CU84" s="4">
        <f t="shared" si="119"/>
        <v>46713</v>
      </c>
      <c r="CV84" s="4">
        <f t="shared" si="119"/>
        <v>46720</v>
      </c>
      <c r="CW84" s="4">
        <f t="shared" si="119"/>
        <v>46727</v>
      </c>
      <c r="CX84" s="4">
        <f t="shared" si="119"/>
        <v>46734</v>
      </c>
      <c r="CY84" s="4">
        <f t="shared" si="119"/>
        <v>46741</v>
      </c>
      <c r="CZ84" s="4">
        <f t="shared" si="119"/>
        <v>46748</v>
      </c>
      <c r="DA84" s="4">
        <f t="shared" si="119"/>
        <v>46755</v>
      </c>
      <c r="DB84" s="4">
        <f t="shared" si="119"/>
        <v>46762</v>
      </c>
      <c r="DC84" s="4">
        <f t="shared" si="119"/>
        <v>46769</v>
      </c>
      <c r="DD84" s="4">
        <f t="shared" si="119"/>
        <v>46776</v>
      </c>
      <c r="DE84" s="4">
        <f t="shared" si="119"/>
        <v>46783</v>
      </c>
      <c r="DF84" s="4">
        <f t="shared" si="119"/>
        <v>46790</v>
      </c>
      <c r="DG84" s="4">
        <f t="shared" si="119"/>
        <v>46797</v>
      </c>
      <c r="DH84" s="4">
        <f t="shared" si="119"/>
        <v>46804</v>
      </c>
      <c r="DI84" s="4">
        <f t="shared" si="119"/>
        <v>46811</v>
      </c>
      <c r="DJ84" s="4">
        <f t="shared" si="119"/>
        <v>46818</v>
      </c>
      <c r="DK84" s="4">
        <f t="shared" si="119"/>
        <v>46825</v>
      </c>
      <c r="DL84" s="90">
        <f t="shared" si="119"/>
        <v>46832</v>
      </c>
      <c r="DM84" s="47"/>
    </row>
    <row r="85" spans="1:117" ht="15" thickBot="1" x14ac:dyDescent="0.4"/>
    <row r="86" spans="1:117" ht="15" thickBot="1" x14ac:dyDescent="0.4">
      <c r="E86" s="43" t="s">
        <v>185</v>
      </c>
    </row>
    <row r="87" spans="1:117" x14ac:dyDescent="0.35">
      <c r="E87" s="28" t="s">
        <v>62</v>
      </c>
      <c r="F87" s="32" t="s">
        <v>186</v>
      </c>
      <c r="G87" s="32" t="s">
        <v>187</v>
      </c>
      <c r="H87" s="32" t="s">
        <v>188</v>
      </c>
      <c r="I87" s="33" t="s">
        <v>189</v>
      </c>
      <c r="J87" s="33" t="s">
        <v>190</v>
      </c>
      <c r="K87" s="33" t="s">
        <v>191</v>
      </c>
      <c r="L87" s="33" t="s">
        <v>184</v>
      </c>
      <c r="M87" s="33" t="s">
        <v>192</v>
      </c>
      <c r="N87" s="33" t="s">
        <v>193</v>
      </c>
      <c r="O87" s="33" t="s">
        <v>194</v>
      </c>
      <c r="P87" s="33" t="s">
        <v>195</v>
      </c>
      <c r="Q87" s="33" t="s">
        <v>196</v>
      </c>
      <c r="R87" s="33" t="s">
        <v>197</v>
      </c>
      <c r="S87" s="33" t="s">
        <v>198</v>
      </c>
      <c r="T87" s="33" t="s">
        <v>199</v>
      </c>
      <c r="U87" s="33" t="s">
        <v>200</v>
      </c>
      <c r="V87" s="33" t="s">
        <v>201</v>
      </c>
      <c r="W87" s="33" t="s">
        <v>202</v>
      </c>
      <c r="X87" s="33" t="s">
        <v>203</v>
      </c>
      <c r="Y87" s="33" t="s">
        <v>204</v>
      </c>
      <c r="Z87" s="33" t="s">
        <v>205</v>
      </c>
      <c r="AA87" s="33" t="s">
        <v>206</v>
      </c>
      <c r="AB87" s="33" t="s">
        <v>207</v>
      </c>
      <c r="AC87" s="33" t="s">
        <v>208</v>
      </c>
      <c r="AD87" s="33" t="s">
        <v>209</v>
      </c>
      <c r="AE87" s="33" t="s">
        <v>210</v>
      </c>
      <c r="AF87" s="33" t="s">
        <v>211</v>
      </c>
      <c r="AG87" s="33" t="s">
        <v>212</v>
      </c>
      <c r="AH87" s="33" t="s">
        <v>213</v>
      </c>
      <c r="AI87" s="33" t="s">
        <v>214</v>
      </c>
      <c r="AJ87" s="33" t="s">
        <v>215</v>
      </c>
      <c r="AK87" s="33" t="s">
        <v>216</v>
      </c>
      <c r="AL87" s="33" t="s">
        <v>217</v>
      </c>
      <c r="AM87" s="33" t="s">
        <v>218</v>
      </c>
      <c r="AN87" s="33" t="s">
        <v>219</v>
      </c>
      <c r="AO87" s="33" t="s">
        <v>220</v>
      </c>
      <c r="AP87" s="33" t="s">
        <v>221</v>
      </c>
      <c r="AQ87" s="33" t="s">
        <v>222</v>
      </c>
      <c r="AR87" s="33" t="s">
        <v>223</v>
      </c>
      <c r="AS87" s="33" t="s">
        <v>224</v>
      </c>
      <c r="AT87" s="33" t="s">
        <v>225</v>
      </c>
      <c r="AU87" s="33" t="s">
        <v>226</v>
      </c>
      <c r="AV87" s="33" t="s">
        <v>227</v>
      </c>
      <c r="AW87" s="33" t="s">
        <v>228</v>
      </c>
      <c r="AX87" s="33" t="s">
        <v>229</v>
      </c>
      <c r="AY87" s="33" t="s">
        <v>230</v>
      </c>
      <c r="AZ87" s="33" t="s">
        <v>231</v>
      </c>
      <c r="BA87" s="33" t="s">
        <v>232</v>
      </c>
      <c r="BB87" s="33" t="s">
        <v>233</v>
      </c>
      <c r="BC87" s="33" t="s">
        <v>234</v>
      </c>
      <c r="BD87" s="33" t="s">
        <v>235</v>
      </c>
      <c r="BE87" s="33" t="s">
        <v>236</v>
      </c>
      <c r="BF87" s="33" t="s">
        <v>237</v>
      </c>
      <c r="BG87" s="33" t="s">
        <v>238</v>
      </c>
      <c r="BH87" s="33" t="s">
        <v>239</v>
      </c>
      <c r="BI87" s="33" t="s">
        <v>240</v>
      </c>
      <c r="BJ87" s="33" t="s">
        <v>241</v>
      </c>
      <c r="BK87" s="33" t="s">
        <v>242</v>
      </c>
      <c r="BL87" s="33" t="s">
        <v>243</v>
      </c>
      <c r="BM87" s="33" t="s">
        <v>244</v>
      </c>
      <c r="BN87" s="33" t="s">
        <v>245</v>
      </c>
      <c r="BO87" s="33" t="s">
        <v>246</v>
      </c>
      <c r="BP87" s="33" t="s">
        <v>247</v>
      </c>
      <c r="BQ87" s="33" t="s">
        <v>248</v>
      </c>
      <c r="BR87" s="33" t="s">
        <v>249</v>
      </c>
      <c r="BS87" s="33" t="s">
        <v>250</v>
      </c>
      <c r="BT87" s="33" t="s">
        <v>251</v>
      </c>
      <c r="BU87" s="33" t="s">
        <v>252</v>
      </c>
      <c r="BV87" s="33" t="s">
        <v>253</v>
      </c>
      <c r="BW87" s="33" t="s">
        <v>254</v>
      </c>
      <c r="BX87" s="33" t="s">
        <v>255</v>
      </c>
      <c r="BY87" s="33" t="s">
        <v>256</v>
      </c>
      <c r="BZ87" s="33" t="s">
        <v>257</v>
      </c>
      <c r="CA87" s="33" t="s">
        <v>258</v>
      </c>
      <c r="CB87" s="33" t="s">
        <v>259</v>
      </c>
      <c r="CC87" s="33" t="s">
        <v>260</v>
      </c>
      <c r="CD87" s="33" t="s">
        <v>261</v>
      </c>
      <c r="CE87" s="33" t="s">
        <v>262</v>
      </c>
      <c r="CF87" s="33" t="s">
        <v>263</v>
      </c>
      <c r="CG87" s="33" t="s">
        <v>264</v>
      </c>
      <c r="CH87" s="33" t="s">
        <v>265</v>
      </c>
      <c r="CI87" s="33" t="s">
        <v>266</v>
      </c>
      <c r="CJ87" s="33" t="s">
        <v>267</v>
      </c>
      <c r="CK87" s="33" t="s">
        <v>268</v>
      </c>
      <c r="CL87" s="33" t="s">
        <v>269</v>
      </c>
      <c r="CM87" s="33" t="s">
        <v>270</v>
      </c>
      <c r="CN87" s="33" t="s">
        <v>271</v>
      </c>
      <c r="CO87" s="33" t="s">
        <v>272</v>
      </c>
      <c r="CP87" s="33" t="s">
        <v>273</v>
      </c>
      <c r="CQ87" s="33" t="s">
        <v>274</v>
      </c>
      <c r="CR87" s="33" t="s">
        <v>275</v>
      </c>
      <c r="CS87" s="33" t="s">
        <v>276</v>
      </c>
      <c r="CT87" s="33" t="s">
        <v>277</v>
      </c>
      <c r="CU87" s="33" t="s">
        <v>278</v>
      </c>
      <c r="CV87" s="33" t="s">
        <v>279</v>
      </c>
      <c r="CW87" s="33" t="s">
        <v>280</v>
      </c>
      <c r="CX87" s="33" t="s">
        <v>281</v>
      </c>
      <c r="CY87" s="33" t="s">
        <v>282</v>
      </c>
      <c r="CZ87" s="33" t="s">
        <v>283</v>
      </c>
      <c r="DA87" s="33" t="s">
        <v>284</v>
      </c>
      <c r="DB87" s="33" t="s">
        <v>285</v>
      </c>
      <c r="DC87" s="33" t="s">
        <v>286</v>
      </c>
      <c r="DD87" s="33" t="s">
        <v>287</v>
      </c>
      <c r="DE87" s="33" t="s">
        <v>288</v>
      </c>
      <c r="DF87" s="33" t="s">
        <v>289</v>
      </c>
      <c r="DG87" s="33" t="s">
        <v>290</v>
      </c>
      <c r="DH87" s="33" t="s">
        <v>291</v>
      </c>
      <c r="DI87" s="33" t="s">
        <v>292</v>
      </c>
      <c r="DJ87" s="33" t="s">
        <v>293</v>
      </c>
      <c r="DK87" s="33" t="s">
        <v>294</v>
      </c>
      <c r="DL87" s="33" t="s">
        <v>295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296</v>
      </c>
      <c r="F118" s="41"/>
      <c r="G118" s="41"/>
      <c r="H118" s="41"/>
      <c r="I118" s="8" t="s">
        <v>178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297</v>
      </c>
      <c r="M120" s="48"/>
    </row>
    <row r="121" spans="5:117" x14ac:dyDescent="0.35">
      <c r="E121" s="28" t="s">
        <v>62</v>
      </c>
      <c r="F121" s="32" t="s">
        <v>63</v>
      </c>
      <c r="G121" s="32" t="s">
        <v>298</v>
      </c>
      <c r="H121" s="32" t="s">
        <v>299</v>
      </c>
      <c r="I121" s="33" t="s">
        <v>300</v>
      </c>
      <c r="J121" s="33" t="s">
        <v>301</v>
      </c>
      <c r="K121" s="33" t="s">
        <v>191</v>
      </c>
      <c r="L121" s="33" t="s">
        <v>69</v>
      </c>
      <c r="M121" s="34" t="s">
        <v>70</v>
      </c>
      <c r="N121" s="33" t="s">
        <v>71</v>
      </c>
      <c r="O121" s="33" t="s">
        <v>72</v>
      </c>
      <c r="P121" s="33" t="s">
        <v>73</v>
      </c>
      <c r="Q121" s="33" t="s">
        <v>74</v>
      </c>
      <c r="R121" s="33" t="s">
        <v>75</v>
      </c>
      <c r="S121" s="33" t="s">
        <v>76</v>
      </c>
      <c r="T121" s="33" t="s">
        <v>77</v>
      </c>
      <c r="U121" s="33" t="s">
        <v>78</v>
      </c>
      <c r="V121" s="33" t="s">
        <v>79</v>
      </c>
      <c r="W121" s="33" t="s">
        <v>80</v>
      </c>
      <c r="X121" s="33" t="s">
        <v>81</v>
      </c>
      <c r="Y121" s="33" t="s">
        <v>82</v>
      </c>
      <c r="Z121" s="33" t="s">
        <v>83</v>
      </c>
      <c r="AA121" s="33" t="s">
        <v>84</v>
      </c>
      <c r="AB121" s="33" t="s">
        <v>85</v>
      </c>
      <c r="AC121" s="33" t="s">
        <v>86</v>
      </c>
      <c r="AD121" s="33" t="s">
        <v>87</v>
      </c>
      <c r="AE121" s="33" t="s">
        <v>88</v>
      </c>
      <c r="AF121" s="33" t="s">
        <v>89</v>
      </c>
      <c r="AG121" s="33" t="s">
        <v>90</v>
      </c>
      <c r="AH121" s="33" t="s">
        <v>91</v>
      </c>
      <c r="AI121" s="33" t="s">
        <v>92</v>
      </c>
      <c r="AJ121" s="33" t="s">
        <v>93</v>
      </c>
      <c r="AK121" s="33" t="s">
        <v>94</v>
      </c>
      <c r="AL121" s="33" t="s">
        <v>95</v>
      </c>
      <c r="AM121" s="33" t="s">
        <v>96</v>
      </c>
      <c r="AN121" s="33" t="s">
        <v>97</v>
      </c>
      <c r="AO121" s="33" t="s">
        <v>98</v>
      </c>
      <c r="AP121" s="33" t="s">
        <v>99</v>
      </c>
      <c r="AQ121" s="33" t="s">
        <v>100</v>
      </c>
      <c r="AR121" s="33" t="s">
        <v>101</v>
      </c>
      <c r="AS121" s="33" t="s">
        <v>102</v>
      </c>
      <c r="AT121" s="33" t="s">
        <v>103</v>
      </c>
      <c r="AU121" s="33" t="s">
        <v>104</v>
      </c>
      <c r="AV121" s="33" t="s">
        <v>105</v>
      </c>
      <c r="AW121" s="33" t="s">
        <v>106</v>
      </c>
      <c r="AX121" s="33" t="s">
        <v>107</v>
      </c>
      <c r="AY121" s="33" t="s">
        <v>108</v>
      </c>
      <c r="AZ121" s="33" t="s">
        <v>109</v>
      </c>
      <c r="BA121" s="33" t="s">
        <v>110</v>
      </c>
      <c r="BB121" s="33" t="s">
        <v>111</v>
      </c>
      <c r="BC121" s="33" t="s">
        <v>112</v>
      </c>
      <c r="BD121" s="33" t="s">
        <v>113</v>
      </c>
      <c r="BE121" s="33" t="s">
        <v>114</v>
      </c>
      <c r="BF121" s="33" t="s">
        <v>115</v>
      </c>
      <c r="BG121" s="33" t="s">
        <v>116</v>
      </c>
      <c r="BH121" s="33" t="s">
        <v>117</v>
      </c>
      <c r="BI121" s="33" t="s">
        <v>118</v>
      </c>
      <c r="BJ121" s="33" t="s">
        <v>119</v>
      </c>
      <c r="BK121" s="33" t="s">
        <v>120</v>
      </c>
      <c r="BL121" s="33" t="s">
        <v>121</v>
      </c>
      <c r="BM121" s="33" t="s">
        <v>122</v>
      </c>
      <c r="BN121" s="33" t="s">
        <v>123</v>
      </c>
      <c r="BO121" s="33" t="s">
        <v>124</v>
      </c>
      <c r="BP121" s="33" t="s">
        <v>125</v>
      </c>
      <c r="BQ121" s="33" t="s">
        <v>126</v>
      </c>
      <c r="BR121" s="33" t="s">
        <v>127</v>
      </c>
      <c r="BS121" s="33" t="s">
        <v>128</v>
      </c>
      <c r="BT121" s="33" t="s">
        <v>129</v>
      </c>
      <c r="BU121" s="33" t="s">
        <v>130</v>
      </c>
      <c r="BV121" s="33" t="s">
        <v>131</v>
      </c>
      <c r="BW121" s="33" t="s">
        <v>132</v>
      </c>
      <c r="BX121" s="33" t="s">
        <v>133</v>
      </c>
      <c r="BY121" s="33" t="s">
        <v>134</v>
      </c>
      <c r="BZ121" s="33" t="s">
        <v>135</v>
      </c>
      <c r="CA121" s="33" t="s">
        <v>136</v>
      </c>
      <c r="CB121" s="33" t="s">
        <v>137</v>
      </c>
      <c r="CC121" s="33" t="s">
        <v>138</v>
      </c>
      <c r="CD121" s="33" t="s">
        <v>139</v>
      </c>
      <c r="CE121" s="33" t="s">
        <v>140</v>
      </c>
      <c r="CF121" s="33" t="s">
        <v>141</v>
      </c>
      <c r="CG121" s="33" t="s">
        <v>142</v>
      </c>
      <c r="CH121" s="33" t="s">
        <v>143</v>
      </c>
      <c r="CI121" s="33" t="s">
        <v>144</v>
      </c>
      <c r="CJ121" s="33" t="s">
        <v>145</v>
      </c>
      <c r="CK121" s="33" t="s">
        <v>146</v>
      </c>
      <c r="CL121" s="33" t="s">
        <v>147</v>
      </c>
      <c r="CM121" s="33" t="s">
        <v>148</v>
      </c>
      <c r="CN121" s="33" t="s">
        <v>149</v>
      </c>
      <c r="CO121" s="33" t="s">
        <v>150</v>
      </c>
      <c r="CP121" s="33" t="s">
        <v>151</v>
      </c>
      <c r="CQ121" s="33" t="s">
        <v>152</v>
      </c>
      <c r="CR121" s="33" t="s">
        <v>153</v>
      </c>
      <c r="CS121" s="33" t="s">
        <v>154</v>
      </c>
      <c r="CT121" s="33" t="s">
        <v>155</v>
      </c>
      <c r="CU121" s="33" t="s">
        <v>156</v>
      </c>
      <c r="CV121" s="33" t="s">
        <v>157</v>
      </c>
      <c r="CW121" s="33" t="s">
        <v>158</v>
      </c>
      <c r="CX121" s="33" t="s">
        <v>159</v>
      </c>
      <c r="CY121" s="33" t="s">
        <v>160</v>
      </c>
      <c r="CZ121" s="33" t="s">
        <v>161</v>
      </c>
      <c r="DA121" s="33" t="s">
        <v>162</v>
      </c>
      <c r="DB121" s="33" t="s">
        <v>163</v>
      </c>
      <c r="DC121" s="33" t="s">
        <v>164</v>
      </c>
      <c r="DD121" s="33" t="s">
        <v>165</v>
      </c>
      <c r="DE121" s="33" t="s">
        <v>166</v>
      </c>
      <c r="DF121" s="33" t="s">
        <v>167</v>
      </c>
      <c r="DG121" s="33" t="s">
        <v>168</v>
      </c>
      <c r="DH121" s="33" t="s">
        <v>169</v>
      </c>
      <c r="DI121" s="33" t="s">
        <v>170</v>
      </c>
      <c r="DJ121" s="33" t="s">
        <v>171</v>
      </c>
      <c r="DK121" s="33" t="s">
        <v>172</v>
      </c>
      <c r="DL121" s="33" t="s">
        <v>173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302</v>
      </c>
      <c r="F152" s="41"/>
      <c r="G152" s="41"/>
      <c r="H152" s="41"/>
      <c r="I152" s="8" t="s">
        <v>178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303</v>
      </c>
      <c r="M154" s="48"/>
    </row>
    <row r="155" spans="5:117" x14ac:dyDescent="0.35">
      <c r="E155" s="28" t="s">
        <v>62</v>
      </c>
      <c r="F155" s="32" t="s">
        <v>63</v>
      </c>
      <c r="G155" s="32" t="s">
        <v>304</v>
      </c>
      <c r="H155" s="32" t="s">
        <v>305</v>
      </c>
      <c r="I155" s="33" t="s">
        <v>300</v>
      </c>
      <c r="J155" s="33" t="s">
        <v>301</v>
      </c>
      <c r="K155" s="33" t="s">
        <v>191</v>
      </c>
      <c r="L155" s="33" t="s">
        <v>69</v>
      </c>
      <c r="M155" s="34" t="s">
        <v>70</v>
      </c>
      <c r="N155" s="33" t="s">
        <v>71</v>
      </c>
      <c r="O155" s="33" t="s">
        <v>72</v>
      </c>
      <c r="P155" s="33" t="s">
        <v>73</v>
      </c>
      <c r="Q155" s="33" t="s">
        <v>74</v>
      </c>
      <c r="R155" s="33" t="s">
        <v>75</v>
      </c>
      <c r="S155" s="33" t="s">
        <v>76</v>
      </c>
      <c r="T155" s="33" t="s">
        <v>77</v>
      </c>
      <c r="U155" s="33" t="s">
        <v>78</v>
      </c>
      <c r="V155" s="33" t="s">
        <v>79</v>
      </c>
      <c r="W155" s="33" t="s">
        <v>80</v>
      </c>
      <c r="X155" s="33" t="s">
        <v>81</v>
      </c>
      <c r="Y155" s="33" t="s">
        <v>82</v>
      </c>
      <c r="Z155" s="33" t="s">
        <v>83</v>
      </c>
      <c r="AA155" s="33" t="s">
        <v>84</v>
      </c>
      <c r="AB155" s="33" t="s">
        <v>85</v>
      </c>
      <c r="AC155" s="33" t="s">
        <v>86</v>
      </c>
      <c r="AD155" s="33" t="s">
        <v>87</v>
      </c>
      <c r="AE155" s="33" t="s">
        <v>88</v>
      </c>
      <c r="AF155" s="33" t="s">
        <v>89</v>
      </c>
      <c r="AG155" s="33" t="s">
        <v>90</v>
      </c>
      <c r="AH155" s="33" t="s">
        <v>91</v>
      </c>
      <c r="AI155" s="33" t="s">
        <v>92</v>
      </c>
      <c r="AJ155" s="33" t="s">
        <v>93</v>
      </c>
      <c r="AK155" s="33" t="s">
        <v>94</v>
      </c>
      <c r="AL155" s="33" t="s">
        <v>95</v>
      </c>
      <c r="AM155" s="33" t="s">
        <v>96</v>
      </c>
      <c r="AN155" s="33" t="s">
        <v>97</v>
      </c>
      <c r="AO155" s="33" t="s">
        <v>98</v>
      </c>
      <c r="AP155" s="33" t="s">
        <v>99</v>
      </c>
      <c r="AQ155" s="33" t="s">
        <v>100</v>
      </c>
      <c r="AR155" s="33" t="s">
        <v>101</v>
      </c>
      <c r="AS155" s="33" t="s">
        <v>102</v>
      </c>
      <c r="AT155" s="33" t="s">
        <v>103</v>
      </c>
      <c r="AU155" s="33" t="s">
        <v>104</v>
      </c>
      <c r="AV155" s="33" t="s">
        <v>105</v>
      </c>
      <c r="AW155" s="33" t="s">
        <v>106</v>
      </c>
      <c r="AX155" s="33" t="s">
        <v>107</v>
      </c>
      <c r="AY155" s="33" t="s">
        <v>108</v>
      </c>
      <c r="AZ155" s="33" t="s">
        <v>109</v>
      </c>
      <c r="BA155" s="33" t="s">
        <v>110</v>
      </c>
      <c r="BB155" s="33" t="s">
        <v>111</v>
      </c>
      <c r="BC155" s="33" t="s">
        <v>112</v>
      </c>
      <c r="BD155" s="33" t="s">
        <v>113</v>
      </c>
      <c r="BE155" s="33" t="s">
        <v>114</v>
      </c>
      <c r="BF155" s="33" t="s">
        <v>115</v>
      </c>
      <c r="BG155" s="33" t="s">
        <v>116</v>
      </c>
      <c r="BH155" s="33" t="s">
        <v>117</v>
      </c>
      <c r="BI155" s="33" t="s">
        <v>118</v>
      </c>
      <c r="BJ155" s="33" t="s">
        <v>119</v>
      </c>
      <c r="BK155" s="33" t="s">
        <v>120</v>
      </c>
      <c r="BL155" s="33" t="s">
        <v>121</v>
      </c>
      <c r="BM155" s="33" t="s">
        <v>122</v>
      </c>
      <c r="BN155" s="33" t="s">
        <v>123</v>
      </c>
      <c r="BO155" s="33" t="s">
        <v>124</v>
      </c>
      <c r="BP155" s="33" t="s">
        <v>125</v>
      </c>
      <c r="BQ155" s="33" t="s">
        <v>126</v>
      </c>
      <c r="BR155" s="33" t="s">
        <v>127</v>
      </c>
      <c r="BS155" s="33" t="s">
        <v>128</v>
      </c>
      <c r="BT155" s="33" t="s">
        <v>129</v>
      </c>
      <c r="BU155" s="33" t="s">
        <v>130</v>
      </c>
      <c r="BV155" s="33" t="s">
        <v>131</v>
      </c>
      <c r="BW155" s="33" t="s">
        <v>132</v>
      </c>
      <c r="BX155" s="33" t="s">
        <v>133</v>
      </c>
      <c r="BY155" s="33" t="s">
        <v>134</v>
      </c>
      <c r="BZ155" s="33" t="s">
        <v>135</v>
      </c>
      <c r="CA155" s="33" t="s">
        <v>136</v>
      </c>
      <c r="CB155" s="33" t="s">
        <v>137</v>
      </c>
      <c r="CC155" s="33" t="s">
        <v>138</v>
      </c>
      <c r="CD155" s="33" t="s">
        <v>139</v>
      </c>
      <c r="CE155" s="33" t="s">
        <v>140</v>
      </c>
      <c r="CF155" s="33" t="s">
        <v>141</v>
      </c>
      <c r="CG155" s="33" t="s">
        <v>142</v>
      </c>
      <c r="CH155" s="33" t="s">
        <v>143</v>
      </c>
      <c r="CI155" s="33" t="s">
        <v>144</v>
      </c>
      <c r="CJ155" s="33" t="s">
        <v>145</v>
      </c>
      <c r="CK155" s="33" t="s">
        <v>146</v>
      </c>
      <c r="CL155" s="33" t="s">
        <v>147</v>
      </c>
      <c r="CM155" s="33" t="s">
        <v>148</v>
      </c>
      <c r="CN155" s="33" t="s">
        <v>149</v>
      </c>
      <c r="CO155" s="33" t="s">
        <v>150</v>
      </c>
      <c r="CP155" s="33" t="s">
        <v>151</v>
      </c>
      <c r="CQ155" s="33" t="s">
        <v>152</v>
      </c>
      <c r="CR155" s="33" t="s">
        <v>153</v>
      </c>
      <c r="CS155" s="33" t="s">
        <v>154</v>
      </c>
      <c r="CT155" s="33" t="s">
        <v>155</v>
      </c>
      <c r="CU155" s="33" t="s">
        <v>156</v>
      </c>
      <c r="CV155" s="33" t="s">
        <v>157</v>
      </c>
      <c r="CW155" s="33" t="s">
        <v>158</v>
      </c>
      <c r="CX155" s="33" t="s">
        <v>159</v>
      </c>
      <c r="CY155" s="33" t="s">
        <v>160</v>
      </c>
      <c r="CZ155" s="33" t="s">
        <v>161</v>
      </c>
      <c r="DA155" s="33" t="s">
        <v>162</v>
      </c>
      <c r="DB155" s="33" t="s">
        <v>163</v>
      </c>
      <c r="DC155" s="33" t="s">
        <v>164</v>
      </c>
      <c r="DD155" s="33" t="s">
        <v>165</v>
      </c>
      <c r="DE155" s="33" t="s">
        <v>166</v>
      </c>
      <c r="DF155" s="33" t="s">
        <v>167</v>
      </c>
      <c r="DG155" s="33" t="s">
        <v>168</v>
      </c>
      <c r="DH155" s="33" t="s">
        <v>169</v>
      </c>
      <c r="DI155" s="33" t="s">
        <v>170</v>
      </c>
      <c r="DJ155" s="33" t="s">
        <v>171</v>
      </c>
      <c r="DK155" s="33" t="s">
        <v>172</v>
      </c>
      <c r="DL155" s="33" t="s">
        <v>173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306</v>
      </c>
      <c r="F186" s="41"/>
      <c r="G186" s="41"/>
      <c r="H186" s="41"/>
      <c r="I186" s="8" t="s">
        <v>178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307</v>
      </c>
      <c r="L188" s="50" t="s">
        <v>69</v>
      </c>
      <c r="M188" s="51" t="s">
        <v>70</v>
      </c>
      <c r="N188" s="51" t="s">
        <v>71</v>
      </c>
      <c r="O188" s="51" t="s">
        <v>72</v>
      </c>
      <c r="P188" s="51" t="s">
        <v>73</v>
      </c>
      <c r="Q188" s="51" t="s">
        <v>74</v>
      </c>
      <c r="R188" s="51" t="s">
        <v>75</v>
      </c>
      <c r="S188" s="51" t="s">
        <v>76</v>
      </c>
      <c r="T188" s="51" t="s">
        <v>77</v>
      </c>
      <c r="U188" s="51" t="s">
        <v>78</v>
      </c>
      <c r="V188" s="51" t="s">
        <v>79</v>
      </c>
      <c r="W188" s="51" t="s">
        <v>80</v>
      </c>
      <c r="X188" s="51" t="s">
        <v>81</v>
      </c>
      <c r="Y188" s="51" t="s">
        <v>82</v>
      </c>
      <c r="Z188" s="51" t="s">
        <v>83</v>
      </c>
      <c r="AA188" s="51" t="s">
        <v>84</v>
      </c>
      <c r="AB188" s="51" t="s">
        <v>85</v>
      </c>
      <c r="AC188" s="51" t="s">
        <v>86</v>
      </c>
      <c r="AD188" s="51" t="s">
        <v>87</v>
      </c>
      <c r="AE188" s="51" t="s">
        <v>88</v>
      </c>
      <c r="AF188" s="51" t="s">
        <v>89</v>
      </c>
      <c r="AG188" s="51" t="s">
        <v>90</v>
      </c>
      <c r="AH188" s="51" t="s">
        <v>91</v>
      </c>
      <c r="AI188" s="51" t="s">
        <v>92</v>
      </c>
      <c r="AJ188" s="51" t="s">
        <v>93</v>
      </c>
      <c r="AK188" s="51" t="s">
        <v>94</v>
      </c>
      <c r="AL188" s="51" t="s">
        <v>95</v>
      </c>
      <c r="AM188" s="51" t="s">
        <v>96</v>
      </c>
      <c r="AN188" s="51" t="s">
        <v>97</v>
      </c>
      <c r="AO188" s="51" t="s">
        <v>98</v>
      </c>
      <c r="AP188" s="51" t="s">
        <v>99</v>
      </c>
      <c r="AQ188" s="51" t="s">
        <v>100</v>
      </c>
      <c r="AR188" s="51" t="s">
        <v>101</v>
      </c>
      <c r="AS188" s="51" t="s">
        <v>102</v>
      </c>
      <c r="AT188" s="51" t="s">
        <v>103</v>
      </c>
      <c r="AU188" s="51" t="s">
        <v>104</v>
      </c>
      <c r="AV188" s="51" t="s">
        <v>105</v>
      </c>
      <c r="AW188" s="51" t="s">
        <v>106</v>
      </c>
      <c r="AX188" s="51" t="s">
        <v>107</v>
      </c>
      <c r="AY188" s="51" t="s">
        <v>108</v>
      </c>
      <c r="AZ188" s="51" t="s">
        <v>109</v>
      </c>
      <c r="BA188" s="51" t="s">
        <v>110</v>
      </c>
      <c r="BB188" s="51" t="s">
        <v>111</v>
      </c>
      <c r="BC188" s="51" t="s">
        <v>112</v>
      </c>
      <c r="BD188" s="51" t="s">
        <v>113</v>
      </c>
      <c r="BE188" s="51" t="s">
        <v>114</v>
      </c>
      <c r="BF188" s="51" t="s">
        <v>115</v>
      </c>
      <c r="BG188" s="51" t="s">
        <v>116</v>
      </c>
      <c r="BH188" s="51" t="s">
        <v>117</v>
      </c>
      <c r="BI188" s="51" t="s">
        <v>118</v>
      </c>
      <c r="BJ188" s="51" t="s">
        <v>119</v>
      </c>
      <c r="BK188" s="51" t="s">
        <v>120</v>
      </c>
      <c r="BL188" s="51" t="s">
        <v>121</v>
      </c>
      <c r="BM188" s="51" t="s">
        <v>122</v>
      </c>
      <c r="BN188" s="51" t="s">
        <v>123</v>
      </c>
      <c r="BO188" s="51" t="s">
        <v>124</v>
      </c>
      <c r="BP188" s="51" t="s">
        <v>125</v>
      </c>
      <c r="BQ188" s="51" t="s">
        <v>126</v>
      </c>
      <c r="BR188" s="51" t="s">
        <v>127</v>
      </c>
      <c r="BS188" s="51" t="s">
        <v>128</v>
      </c>
      <c r="BT188" s="51" t="s">
        <v>129</v>
      </c>
      <c r="BU188" s="51" t="s">
        <v>130</v>
      </c>
      <c r="BV188" s="51" t="s">
        <v>131</v>
      </c>
      <c r="BW188" s="51" t="s">
        <v>132</v>
      </c>
      <c r="BX188" s="51" t="s">
        <v>133</v>
      </c>
      <c r="BY188" s="51" t="s">
        <v>134</v>
      </c>
      <c r="BZ188" s="51" t="s">
        <v>135</v>
      </c>
      <c r="CA188" s="51" t="s">
        <v>136</v>
      </c>
      <c r="CB188" s="51" t="s">
        <v>137</v>
      </c>
      <c r="CC188" s="51" t="s">
        <v>138</v>
      </c>
      <c r="CD188" s="51" t="s">
        <v>139</v>
      </c>
      <c r="CE188" s="51" t="s">
        <v>140</v>
      </c>
      <c r="CF188" s="51" t="s">
        <v>141</v>
      </c>
      <c r="CG188" s="51" t="s">
        <v>142</v>
      </c>
      <c r="CH188" s="51" t="s">
        <v>143</v>
      </c>
      <c r="CI188" s="51" t="s">
        <v>144</v>
      </c>
      <c r="CJ188" s="51" t="s">
        <v>145</v>
      </c>
      <c r="CK188" s="51" t="s">
        <v>146</v>
      </c>
      <c r="CL188" s="51" t="s">
        <v>147</v>
      </c>
      <c r="CM188" s="51" t="s">
        <v>148</v>
      </c>
      <c r="CN188" s="51" t="s">
        <v>149</v>
      </c>
      <c r="CO188" s="51" t="s">
        <v>150</v>
      </c>
      <c r="CP188" s="51" t="s">
        <v>151</v>
      </c>
      <c r="CQ188" s="51" t="s">
        <v>152</v>
      </c>
      <c r="CR188" s="51" t="s">
        <v>153</v>
      </c>
      <c r="CS188" s="51" t="s">
        <v>154</v>
      </c>
      <c r="CT188" s="51" t="s">
        <v>155</v>
      </c>
      <c r="CU188" s="51" t="s">
        <v>156</v>
      </c>
      <c r="CV188" s="51" t="s">
        <v>157</v>
      </c>
      <c r="CW188" s="51" t="s">
        <v>158</v>
      </c>
      <c r="CX188" s="51" t="s">
        <v>159</v>
      </c>
      <c r="CY188" s="51" t="s">
        <v>160</v>
      </c>
      <c r="CZ188" s="51" t="s">
        <v>161</v>
      </c>
      <c r="DA188" s="51" t="s">
        <v>162</v>
      </c>
      <c r="DB188" s="51" t="s">
        <v>163</v>
      </c>
      <c r="DC188" s="51" t="s">
        <v>164</v>
      </c>
      <c r="DD188" s="51" t="s">
        <v>165</v>
      </c>
      <c r="DE188" s="51" t="s">
        <v>166</v>
      </c>
      <c r="DF188" s="51" t="s">
        <v>167</v>
      </c>
      <c r="DG188" s="51" t="s">
        <v>168</v>
      </c>
      <c r="DH188" s="51" t="s">
        <v>169</v>
      </c>
      <c r="DI188" s="51" t="s">
        <v>170</v>
      </c>
      <c r="DJ188" s="51" t="s">
        <v>171</v>
      </c>
      <c r="DK188" s="51" t="s">
        <v>172</v>
      </c>
      <c r="DL188" s="52" t="s">
        <v>173</v>
      </c>
    </row>
    <row r="189" spans="5:117" x14ac:dyDescent="0.35">
      <c r="J189" s="7" t="s">
        <v>308</v>
      </c>
      <c r="K189" s="53">
        <f>SUM(K186,K152,K70)</f>
        <v>4508307</v>
      </c>
      <c r="L189" s="39">
        <f>SUM(L186,L152,L70)</f>
        <v>1464</v>
      </c>
      <c r="M189" s="5">
        <f>SUM(M186,M152,M70)</f>
        <v>24</v>
      </c>
      <c r="N189" s="5">
        <f t="shared" ref="N189:BY189" si="139">SUM(N186,N152,N70)</f>
        <v>40</v>
      </c>
      <c r="O189" s="5">
        <f t="shared" si="139"/>
        <v>40</v>
      </c>
      <c r="P189" s="5">
        <f t="shared" si="139"/>
        <v>40</v>
      </c>
      <c r="Q189" s="5">
        <f t="shared" si="139"/>
        <v>24</v>
      </c>
      <c r="R189" s="5">
        <f t="shared" si="139"/>
        <v>32</v>
      </c>
      <c r="S189" s="5">
        <f t="shared" si="139"/>
        <v>40</v>
      </c>
      <c r="T189" s="5">
        <f t="shared" si="139"/>
        <v>40</v>
      </c>
      <c r="U189" s="5">
        <f t="shared" si="139"/>
        <v>40</v>
      </c>
      <c r="V189" s="5">
        <f t="shared" si="139"/>
        <v>40</v>
      </c>
      <c r="W189" s="5">
        <f t="shared" si="139"/>
        <v>40</v>
      </c>
      <c r="X189" s="5">
        <f t="shared" si="139"/>
        <v>40</v>
      </c>
      <c r="Y189" s="5">
        <f t="shared" si="139"/>
        <v>32</v>
      </c>
      <c r="Z189" s="5">
        <f t="shared" si="139"/>
        <v>40</v>
      </c>
      <c r="AA189" s="5">
        <f t="shared" si="139"/>
        <v>40</v>
      </c>
      <c r="AB189" s="5">
        <f t="shared" si="139"/>
        <v>40</v>
      </c>
      <c r="AC189" s="5">
        <f t="shared" si="139"/>
        <v>32</v>
      </c>
      <c r="AD189" s="5">
        <f t="shared" si="139"/>
        <v>40</v>
      </c>
      <c r="AE189" s="5">
        <f t="shared" si="139"/>
        <v>40</v>
      </c>
      <c r="AF189" s="5">
        <f t="shared" si="139"/>
        <v>40</v>
      </c>
      <c r="AG189" s="5">
        <f t="shared" si="139"/>
        <v>32</v>
      </c>
      <c r="AH189" s="5">
        <f t="shared" si="139"/>
        <v>40</v>
      </c>
      <c r="AI189" s="5">
        <f t="shared" si="139"/>
        <v>40</v>
      </c>
      <c r="AJ189" s="5">
        <f t="shared" si="139"/>
        <v>40</v>
      </c>
      <c r="AK189" s="5">
        <f t="shared" si="139"/>
        <v>32</v>
      </c>
      <c r="AL189" s="5">
        <f t="shared" si="139"/>
        <v>40</v>
      </c>
      <c r="AM189" s="5">
        <f t="shared" si="139"/>
        <v>32</v>
      </c>
      <c r="AN189" s="5">
        <f t="shared" si="139"/>
        <v>40</v>
      </c>
      <c r="AO189" s="5">
        <f t="shared" si="139"/>
        <v>24</v>
      </c>
      <c r="AP189" s="5">
        <f t="shared" si="139"/>
        <v>40</v>
      </c>
      <c r="AQ189" s="5">
        <f t="shared" si="139"/>
        <v>40</v>
      </c>
      <c r="AR189" s="5">
        <f t="shared" si="139"/>
        <v>40</v>
      </c>
      <c r="AS189" s="5">
        <f t="shared" si="139"/>
        <v>24</v>
      </c>
      <c r="AT189" s="5">
        <f t="shared" si="139"/>
        <v>40</v>
      </c>
      <c r="AU189" s="5">
        <f t="shared" si="139"/>
        <v>40</v>
      </c>
      <c r="AV189" s="5">
        <f t="shared" si="139"/>
        <v>40</v>
      </c>
      <c r="AW189" s="5">
        <f t="shared" si="139"/>
        <v>32</v>
      </c>
      <c r="AX189" s="5">
        <f t="shared" si="139"/>
        <v>40</v>
      </c>
      <c r="AY189" s="5">
        <f t="shared" si="139"/>
        <v>32</v>
      </c>
      <c r="AZ189" s="5">
        <f t="shared" si="139"/>
        <v>32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168" t="s">
        <v>309</v>
      </c>
      <c r="K190" s="169"/>
      <c r="L190" s="170"/>
      <c r="M190" s="54">
        <f>SUMPRODUCT(M156:M185,$I$156:$I$185)+SUMPRODUCT(M122:M151,$I$122:$I$151)+SUMPRODUCT(M20:M69,$I$20:$I$69)</f>
        <v>73906.672131147541</v>
      </c>
      <c r="N190" s="54">
        <f t="shared" ref="N190:BY190" si="141">SUMPRODUCT(N156:N185,$I$156:$I$185)+SUMPRODUCT(N122:N151,$I$122:$I$151)+SUMPRODUCT(N20:N69,$I$20:$I$69)</f>
        <v>123177.78688524589</v>
      </c>
      <c r="O190" s="54">
        <f t="shared" si="141"/>
        <v>123177.78688524589</v>
      </c>
      <c r="P190" s="54">
        <f t="shared" si="141"/>
        <v>123177.78688524589</v>
      </c>
      <c r="Q190" s="54">
        <f t="shared" si="141"/>
        <v>73906.672131147541</v>
      </c>
      <c r="R190" s="54">
        <f t="shared" si="141"/>
        <v>98542.229508196717</v>
      </c>
      <c r="S190" s="54">
        <f t="shared" si="141"/>
        <v>123177.78688524589</v>
      </c>
      <c r="T190" s="54">
        <f t="shared" si="141"/>
        <v>123177.78688524589</v>
      </c>
      <c r="U190" s="54">
        <f t="shared" si="141"/>
        <v>123177.78688524589</v>
      </c>
      <c r="V190" s="54">
        <f t="shared" si="141"/>
        <v>123177.78688524589</v>
      </c>
      <c r="W190" s="54">
        <f t="shared" si="141"/>
        <v>123177.78688524589</v>
      </c>
      <c r="X190" s="54">
        <f t="shared" si="141"/>
        <v>123177.78688524589</v>
      </c>
      <c r="Y190" s="54">
        <f t="shared" si="141"/>
        <v>98542.229508196717</v>
      </c>
      <c r="Z190" s="54">
        <f t="shared" si="141"/>
        <v>123177.78688524589</v>
      </c>
      <c r="AA190" s="54">
        <f t="shared" si="141"/>
        <v>123177.78688524589</v>
      </c>
      <c r="AB190" s="54">
        <f t="shared" si="141"/>
        <v>123177.78688524589</v>
      </c>
      <c r="AC190" s="54">
        <f t="shared" si="141"/>
        <v>98542.229508196717</v>
      </c>
      <c r="AD190" s="54">
        <f t="shared" si="141"/>
        <v>123177.78688524589</v>
      </c>
      <c r="AE190" s="54">
        <f t="shared" si="141"/>
        <v>123177.78688524589</v>
      </c>
      <c r="AF190" s="54">
        <f t="shared" si="141"/>
        <v>123177.78688524589</v>
      </c>
      <c r="AG190" s="54">
        <f t="shared" si="141"/>
        <v>98542.229508196717</v>
      </c>
      <c r="AH190" s="54">
        <f t="shared" si="141"/>
        <v>123177.78688524589</v>
      </c>
      <c r="AI190" s="54">
        <f t="shared" si="141"/>
        <v>123177.78688524589</v>
      </c>
      <c r="AJ190" s="54">
        <f t="shared" si="141"/>
        <v>123177.78688524589</v>
      </c>
      <c r="AK190" s="54">
        <f t="shared" si="141"/>
        <v>98542.229508196717</v>
      </c>
      <c r="AL190" s="54">
        <f t="shared" si="141"/>
        <v>123177.78688524589</v>
      </c>
      <c r="AM190" s="54">
        <f t="shared" si="141"/>
        <v>98542.229508196717</v>
      </c>
      <c r="AN190" s="54">
        <f t="shared" si="141"/>
        <v>123177.78688524589</v>
      </c>
      <c r="AO190" s="54">
        <f t="shared" si="141"/>
        <v>73906.672131147541</v>
      </c>
      <c r="AP190" s="54">
        <f t="shared" si="141"/>
        <v>123177.78688524589</v>
      </c>
      <c r="AQ190" s="54">
        <f t="shared" si="141"/>
        <v>123177.78688524589</v>
      </c>
      <c r="AR190" s="54">
        <f t="shared" si="141"/>
        <v>123177.78688524589</v>
      </c>
      <c r="AS190" s="54">
        <f t="shared" si="141"/>
        <v>73906.672131147541</v>
      </c>
      <c r="AT190" s="54">
        <f t="shared" si="141"/>
        <v>123177.78688524589</v>
      </c>
      <c r="AU190" s="54">
        <f t="shared" si="141"/>
        <v>123177.78688524589</v>
      </c>
      <c r="AV190" s="54">
        <f t="shared" si="141"/>
        <v>123177.78688524589</v>
      </c>
      <c r="AW190" s="54">
        <f t="shared" si="141"/>
        <v>98542.229508196717</v>
      </c>
      <c r="AX190" s="54">
        <f t="shared" si="141"/>
        <v>123177.78688524589</v>
      </c>
      <c r="AY190" s="54">
        <f t="shared" si="141"/>
        <v>98542.229508196717</v>
      </c>
      <c r="AZ190" s="54">
        <f t="shared" si="141"/>
        <v>98542.229508196717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algorithmName="SHA-512" hashValue="OoP2VoFKvrZ2oBuJhIvBld+OXxkhbkNXvThrzsXjXWwIdn/XzeMDmkn0jqcsYfPsO7DB4mXaFmmFYBn4y1NElA==" saltValue="Kkf/Nid44BD9a9rm5/c5dw==" spinCount="100000" sheet="1" objects="1" scenarios="1"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11" priority="1" operator="lessThan">
      <formula>0.4</formula>
    </cfRule>
    <cfRule type="cellIs" dxfId="10" priority="2" operator="between">
      <formula>0.4</formula>
      <formula>0.45</formula>
    </cfRule>
    <cfRule type="cellIs" dxfId="9" priority="3" operator="between">
      <formula>0.451</formula>
      <formula>0.52</formula>
    </cfRule>
    <cfRule type="cellIs" dxfId="8" priority="4" operator="between">
      <formula>0.521</formula>
      <formula>0.6</formula>
    </cfRule>
    <cfRule type="cellIs" dxfId="7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topLeftCell="E7" zoomScale="80" zoomScaleNormal="80" workbookViewId="0">
      <pane ySplit="10" topLeftCell="A17" activePane="bottomLeft" state="frozen"/>
      <selection pane="bottomLeft" activeCell="F9" sqref="F9"/>
    </sheetView>
  </sheetViews>
  <sheetFormatPr defaultRowHeight="14.5" x14ac:dyDescent="0.35"/>
  <cols>
    <col min="1" max="1" width="14.453125" hidden="1" customWidth="1"/>
    <col min="2" max="2" width="11.54296875" hidden="1" customWidth="1"/>
    <col min="3" max="3" width="7.453125" hidden="1" customWidth="1"/>
    <col min="4" max="4" width="55.54296875" hidden="1" customWidth="1"/>
    <col min="5" max="5" width="35.54296875" bestFit="1" customWidth="1"/>
    <col min="6" max="6" width="19.81640625" bestFit="1" customWidth="1"/>
    <col min="7" max="7" width="21.453125" bestFit="1" customWidth="1"/>
    <col min="8" max="8" width="19.1796875" bestFit="1" customWidth="1"/>
    <col min="9" max="9" width="17.1796875" bestFit="1" customWidth="1"/>
    <col min="10" max="10" width="17.1796875" customWidth="1"/>
    <col min="11" max="11" width="20.453125" customWidth="1"/>
    <col min="12" max="12" width="20.54296875" bestFit="1" customWidth="1"/>
    <col min="13" max="13" width="14.54296875" bestFit="1" customWidth="1"/>
    <col min="14" max="117" width="14.453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34</v>
      </c>
      <c r="B2" s="55" t="s">
        <v>35</v>
      </c>
      <c r="C2" s="13" t="s">
        <v>36</v>
      </c>
      <c r="D2" s="14" t="s">
        <v>37</v>
      </c>
      <c r="G2" s="128"/>
    </row>
    <row r="3" spans="1:14" ht="15" hidden="1" thickBot="1" x14ac:dyDescent="0.4">
      <c r="A3" s="59">
        <f>IFERROR((L70-DN70)/L70,"-")</f>
        <v>0.31284596297003242</v>
      </c>
      <c r="B3" s="60" t="str">
        <f>IFERROR((F9-DN70-K120-K154-K188-F10-F11)/(F9-F10-F11),"-")</f>
        <v>-</v>
      </c>
      <c r="C3" s="17" t="s">
        <v>38</v>
      </c>
      <c r="D3" s="14" t="s">
        <v>39</v>
      </c>
    </row>
    <row r="4" spans="1:14" hidden="1" x14ac:dyDescent="0.35">
      <c r="C4" s="18" t="s">
        <v>40</v>
      </c>
      <c r="D4" s="19" t="s">
        <v>41</v>
      </c>
    </row>
    <row r="5" spans="1:14" hidden="1" x14ac:dyDescent="0.35">
      <c r="C5" s="22" t="s">
        <v>42</v>
      </c>
      <c r="D5" s="14" t="s">
        <v>43</v>
      </c>
    </row>
    <row r="6" spans="1:14" hidden="1" x14ac:dyDescent="0.35">
      <c r="C6" s="24" t="s">
        <v>44</v>
      </c>
      <c r="D6" s="19" t="s">
        <v>45</v>
      </c>
      <c r="G6" s="128"/>
    </row>
    <row r="7" spans="1:14" x14ac:dyDescent="0.35">
      <c r="G7" s="128" t="s">
        <v>46</v>
      </c>
    </row>
    <row r="8" spans="1:14" ht="15" thickBot="1" x14ac:dyDescent="0.4">
      <c r="E8" s="128"/>
      <c r="H8" s="62"/>
      <c r="I8" s="62"/>
      <c r="J8" s="48"/>
      <c r="K8" s="171" t="s">
        <v>47</v>
      </c>
      <c r="L8" s="171"/>
      <c r="M8" s="171"/>
      <c r="N8" s="171"/>
    </row>
    <row r="9" spans="1:14" x14ac:dyDescent="0.35">
      <c r="E9" s="9" t="s">
        <v>48</v>
      </c>
      <c r="F9" s="10">
        <f>SUM(L70,F11,F12,F13)</f>
        <v>8543600</v>
      </c>
      <c r="H9" s="65" t="s">
        <v>25</v>
      </c>
      <c r="I9" s="34" t="s">
        <v>49</v>
      </c>
      <c r="J9" s="34" t="s">
        <v>50</v>
      </c>
      <c r="K9" s="11" t="s">
        <v>51</v>
      </c>
      <c r="L9" s="55" t="s">
        <v>52</v>
      </c>
      <c r="M9" s="132" t="s">
        <v>53</v>
      </c>
      <c r="N9" s="132" t="s">
        <v>310</v>
      </c>
    </row>
    <row r="10" spans="1:14" ht="15" thickBot="1" x14ac:dyDescent="0.4">
      <c r="E10" s="12" t="s">
        <v>311</v>
      </c>
      <c r="F10" s="100">
        <f>L84</f>
        <v>0</v>
      </c>
      <c r="H10" s="56">
        <f>IFERROR(L70/K70,"-")</f>
        <v>1</v>
      </c>
      <c r="I10" s="57">
        <f>IFERROR(L191/M191,"-")</f>
        <v>2015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>
        <f>A3</f>
        <v>0.31284596297003242</v>
      </c>
      <c r="N10" s="87" t="str">
        <f>B3</f>
        <v>-</v>
      </c>
    </row>
    <row r="11" spans="1:14" x14ac:dyDescent="0.35">
      <c r="E11" s="15" t="s">
        <v>312</v>
      </c>
      <c r="F11" s="16">
        <f>L120</f>
        <v>0</v>
      </c>
    </row>
    <row r="12" spans="1:14" x14ac:dyDescent="0.35">
      <c r="E12" s="15" t="s">
        <v>313</v>
      </c>
      <c r="F12" s="16">
        <f>L154</f>
        <v>0</v>
      </c>
    </row>
    <row r="13" spans="1:14" ht="15" thickBot="1" x14ac:dyDescent="0.4">
      <c r="E13" s="20" t="s">
        <v>314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59</v>
      </c>
      <c r="F15" s="10">
        <f>F9-F10</f>
        <v>8543600</v>
      </c>
    </row>
    <row r="16" spans="1:14" ht="15" thickBot="1" x14ac:dyDescent="0.4">
      <c r="E16" s="25" t="s">
        <v>315</v>
      </c>
      <c r="F16" s="64">
        <f>F15*'Data Validation'!D3</f>
        <v>111066.79999999999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61</v>
      </c>
      <c r="N18" s="29">
        <f>FrontPage!B9</f>
        <v>46111</v>
      </c>
      <c r="O18" s="30">
        <f>N18+7</f>
        <v>46118</v>
      </c>
      <c r="P18" s="30">
        <f t="shared" ref="P18:CA18" si="0">O18+7</f>
        <v>46125</v>
      </c>
      <c r="Q18" s="30">
        <f t="shared" si="0"/>
        <v>46132</v>
      </c>
      <c r="R18" s="30">
        <f t="shared" si="0"/>
        <v>46139</v>
      </c>
      <c r="S18" s="30">
        <f t="shared" si="0"/>
        <v>46146</v>
      </c>
      <c r="T18" s="30">
        <f t="shared" si="0"/>
        <v>46153</v>
      </c>
      <c r="U18" s="30">
        <f t="shared" si="0"/>
        <v>46160</v>
      </c>
      <c r="V18" s="30">
        <f t="shared" si="0"/>
        <v>46167</v>
      </c>
      <c r="W18" s="30">
        <f t="shared" si="0"/>
        <v>46174</v>
      </c>
      <c r="X18" s="30">
        <f t="shared" si="0"/>
        <v>46181</v>
      </c>
      <c r="Y18" s="30">
        <f t="shared" si="0"/>
        <v>46188</v>
      </c>
      <c r="Z18" s="30">
        <f t="shared" si="0"/>
        <v>46195</v>
      </c>
      <c r="AA18" s="30">
        <f t="shared" si="0"/>
        <v>46202</v>
      </c>
      <c r="AB18" s="30">
        <f t="shared" si="0"/>
        <v>46209</v>
      </c>
      <c r="AC18" s="30">
        <f t="shared" si="0"/>
        <v>46216</v>
      </c>
      <c r="AD18" s="30">
        <f t="shared" si="0"/>
        <v>46223</v>
      </c>
      <c r="AE18" s="30">
        <f t="shared" si="0"/>
        <v>46230</v>
      </c>
      <c r="AF18" s="30">
        <f t="shared" si="0"/>
        <v>46237</v>
      </c>
      <c r="AG18" s="30">
        <f t="shared" si="0"/>
        <v>46244</v>
      </c>
      <c r="AH18" s="30">
        <f t="shared" si="0"/>
        <v>46251</v>
      </c>
      <c r="AI18" s="30">
        <f t="shared" si="0"/>
        <v>46258</v>
      </c>
      <c r="AJ18" s="30">
        <f t="shared" si="0"/>
        <v>46265</v>
      </c>
      <c r="AK18" s="30">
        <f t="shared" si="0"/>
        <v>46272</v>
      </c>
      <c r="AL18" s="30">
        <f t="shared" si="0"/>
        <v>46279</v>
      </c>
      <c r="AM18" s="30">
        <f t="shared" si="0"/>
        <v>46286</v>
      </c>
      <c r="AN18" s="30">
        <f t="shared" si="0"/>
        <v>46293</v>
      </c>
      <c r="AO18" s="30">
        <f t="shared" si="0"/>
        <v>46300</v>
      </c>
      <c r="AP18" s="30">
        <f t="shared" si="0"/>
        <v>46307</v>
      </c>
      <c r="AQ18" s="30">
        <f t="shared" si="0"/>
        <v>46314</v>
      </c>
      <c r="AR18" s="30">
        <f t="shared" si="0"/>
        <v>46321</v>
      </c>
      <c r="AS18" s="30">
        <f t="shared" si="0"/>
        <v>46328</v>
      </c>
      <c r="AT18" s="30">
        <f t="shared" si="0"/>
        <v>46335</v>
      </c>
      <c r="AU18" s="30">
        <f t="shared" si="0"/>
        <v>46342</v>
      </c>
      <c r="AV18" s="30">
        <f t="shared" si="0"/>
        <v>46349</v>
      </c>
      <c r="AW18" s="30">
        <f t="shared" si="0"/>
        <v>46356</v>
      </c>
      <c r="AX18" s="30">
        <f t="shared" si="0"/>
        <v>46363</v>
      </c>
      <c r="AY18" s="30">
        <f t="shared" si="0"/>
        <v>46370</v>
      </c>
      <c r="AZ18" s="30">
        <f t="shared" si="0"/>
        <v>46377</v>
      </c>
      <c r="BA18" s="30">
        <f t="shared" si="0"/>
        <v>46384</v>
      </c>
      <c r="BB18" s="30">
        <f t="shared" si="0"/>
        <v>46391</v>
      </c>
      <c r="BC18" s="30">
        <f t="shared" si="0"/>
        <v>46398</v>
      </c>
      <c r="BD18" s="30">
        <f t="shared" si="0"/>
        <v>46405</v>
      </c>
      <c r="BE18" s="30">
        <f t="shared" si="0"/>
        <v>46412</v>
      </c>
      <c r="BF18" s="30">
        <f t="shared" si="0"/>
        <v>46419</v>
      </c>
      <c r="BG18" s="30">
        <f t="shared" si="0"/>
        <v>46426</v>
      </c>
      <c r="BH18" s="30">
        <f t="shared" si="0"/>
        <v>46433</v>
      </c>
      <c r="BI18" s="30">
        <f t="shared" si="0"/>
        <v>46440</v>
      </c>
      <c r="BJ18" s="30">
        <f t="shared" si="0"/>
        <v>46447</v>
      </c>
      <c r="BK18" s="30">
        <f t="shared" si="0"/>
        <v>46454</v>
      </c>
      <c r="BL18" s="30">
        <f t="shared" si="0"/>
        <v>46461</v>
      </c>
      <c r="BM18" s="30">
        <f t="shared" si="0"/>
        <v>46468</v>
      </c>
      <c r="BN18" s="30">
        <f t="shared" si="0"/>
        <v>46475</v>
      </c>
      <c r="BO18" s="30">
        <f t="shared" si="0"/>
        <v>46482</v>
      </c>
      <c r="BP18" s="30">
        <f t="shared" si="0"/>
        <v>46489</v>
      </c>
      <c r="BQ18" s="30">
        <f t="shared" si="0"/>
        <v>46496</v>
      </c>
      <c r="BR18" s="30">
        <f t="shared" si="0"/>
        <v>46503</v>
      </c>
      <c r="BS18" s="30">
        <f t="shared" si="0"/>
        <v>46510</v>
      </c>
      <c r="BT18" s="30">
        <f t="shared" si="0"/>
        <v>46517</v>
      </c>
      <c r="BU18" s="30">
        <f t="shared" si="0"/>
        <v>46524</v>
      </c>
      <c r="BV18" s="30">
        <f t="shared" si="0"/>
        <v>46531</v>
      </c>
      <c r="BW18" s="30">
        <f t="shared" si="0"/>
        <v>46538</v>
      </c>
      <c r="BX18" s="30">
        <f t="shared" si="0"/>
        <v>46545</v>
      </c>
      <c r="BY18" s="30">
        <f t="shared" si="0"/>
        <v>46552</v>
      </c>
      <c r="BZ18" s="30">
        <f t="shared" si="0"/>
        <v>46559</v>
      </c>
      <c r="CA18" s="30">
        <f t="shared" si="0"/>
        <v>46566</v>
      </c>
      <c r="CB18" s="30">
        <f t="shared" ref="CB18:DM18" si="1">CA18+7</f>
        <v>46573</v>
      </c>
      <c r="CC18" s="30">
        <f t="shared" si="1"/>
        <v>46580</v>
      </c>
      <c r="CD18" s="30">
        <f t="shared" si="1"/>
        <v>46587</v>
      </c>
      <c r="CE18" s="30">
        <f t="shared" si="1"/>
        <v>46594</v>
      </c>
      <c r="CF18" s="30">
        <f t="shared" si="1"/>
        <v>46601</v>
      </c>
      <c r="CG18" s="30">
        <f t="shared" si="1"/>
        <v>46608</v>
      </c>
      <c r="CH18" s="30">
        <f t="shared" si="1"/>
        <v>46615</v>
      </c>
      <c r="CI18" s="30">
        <f t="shared" si="1"/>
        <v>46622</v>
      </c>
      <c r="CJ18" s="30">
        <f t="shared" si="1"/>
        <v>46629</v>
      </c>
      <c r="CK18" s="30">
        <f t="shared" si="1"/>
        <v>46636</v>
      </c>
      <c r="CL18" s="30">
        <f t="shared" si="1"/>
        <v>46643</v>
      </c>
      <c r="CM18" s="30">
        <f t="shared" si="1"/>
        <v>46650</v>
      </c>
      <c r="CN18" s="30">
        <f t="shared" si="1"/>
        <v>46657</v>
      </c>
      <c r="CO18" s="30">
        <f t="shared" si="1"/>
        <v>46664</v>
      </c>
      <c r="CP18" s="30">
        <f t="shared" si="1"/>
        <v>46671</v>
      </c>
      <c r="CQ18" s="30">
        <f t="shared" si="1"/>
        <v>46678</v>
      </c>
      <c r="CR18" s="30">
        <f t="shared" si="1"/>
        <v>46685</v>
      </c>
      <c r="CS18" s="30">
        <f t="shared" si="1"/>
        <v>46692</v>
      </c>
      <c r="CT18" s="30">
        <f t="shared" si="1"/>
        <v>46699</v>
      </c>
      <c r="CU18" s="30">
        <f t="shared" si="1"/>
        <v>46706</v>
      </c>
      <c r="CV18" s="30">
        <f t="shared" si="1"/>
        <v>46713</v>
      </c>
      <c r="CW18" s="30">
        <f t="shared" si="1"/>
        <v>46720</v>
      </c>
      <c r="CX18" s="30">
        <f t="shared" si="1"/>
        <v>46727</v>
      </c>
      <c r="CY18" s="30">
        <f t="shared" si="1"/>
        <v>46734</v>
      </c>
      <c r="CZ18" s="30">
        <f t="shared" si="1"/>
        <v>46741</v>
      </c>
      <c r="DA18" s="30">
        <f t="shared" si="1"/>
        <v>46748</v>
      </c>
      <c r="DB18" s="30">
        <f t="shared" si="1"/>
        <v>46755</v>
      </c>
      <c r="DC18" s="30">
        <f t="shared" si="1"/>
        <v>46762</v>
      </c>
      <c r="DD18" s="30">
        <f t="shared" si="1"/>
        <v>46769</v>
      </c>
      <c r="DE18" s="30">
        <f t="shared" si="1"/>
        <v>46776</v>
      </c>
      <c r="DF18" s="30">
        <f t="shared" si="1"/>
        <v>46783</v>
      </c>
      <c r="DG18" s="30">
        <f t="shared" si="1"/>
        <v>46790</v>
      </c>
      <c r="DH18" s="30">
        <f t="shared" si="1"/>
        <v>46797</v>
      </c>
      <c r="DI18" s="30">
        <f t="shared" si="1"/>
        <v>46804</v>
      </c>
      <c r="DJ18" s="30">
        <f t="shared" si="1"/>
        <v>46811</v>
      </c>
      <c r="DK18" s="30">
        <f t="shared" si="1"/>
        <v>46818</v>
      </c>
      <c r="DL18" s="30">
        <f t="shared" si="1"/>
        <v>46825</v>
      </c>
      <c r="DM18" s="30">
        <f t="shared" si="1"/>
        <v>46832</v>
      </c>
      <c r="DN18" s="31"/>
    </row>
    <row r="19" spans="5:118" s="19" customFormat="1" ht="30" customHeight="1" x14ac:dyDescent="0.3">
      <c r="E19" s="28" t="s">
        <v>62</v>
      </c>
      <c r="F19" s="32" t="s">
        <v>63</v>
      </c>
      <c r="G19" s="32" t="s">
        <v>64</v>
      </c>
      <c r="H19" s="33" t="s">
        <v>65</v>
      </c>
      <c r="I19" s="33" t="s">
        <v>300</v>
      </c>
      <c r="J19" s="33" t="s">
        <v>316</v>
      </c>
      <c r="K19" s="33" t="s">
        <v>67</v>
      </c>
      <c r="L19" s="33" t="s">
        <v>317</v>
      </c>
      <c r="M19" s="33" t="s">
        <v>69</v>
      </c>
      <c r="N19" s="34" t="s">
        <v>70</v>
      </c>
      <c r="O19" s="33" t="s">
        <v>71</v>
      </c>
      <c r="P19" s="33" t="s">
        <v>72</v>
      </c>
      <c r="Q19" s="33" t="s">
        <v>73</v>
      </c>
      <c r="R19" s="33" t="s">
        <v>74</v>
      </c>
      <c r="S19" s="33" t="s">
        <v>75</v>
      </c>
      <c r="T19" s="33" t="s">
        <v>76</v>
      </c>
      <c r="U19" s="33" t="s">
        <v>77</v>
      </c>
      <c r="V19" s="33" t="s">
        <v>78</v>
      </c>
      <c r="W19" s="33" t="s">
        <v>79</v>
      </c>
      <c r="X19" s="33" t="s">
        <v>80</v>
      </c>
      <c r="Y19" s="33" t="s">
        <v>81</v>
      </c>
      <c r="Z19" s="33" t="s">
        <v>82</v>
      </c>
      <c r="AA19" s="33" t="s">
        <v>83</v>
      </c>
      <c r="AB19" s="33" t="s">
        <v>84</v>
      </c>
      <c r="AC19" s="33" t="s">
        <v>85</v>
      </c>
      <c r="AD19" s="33" t="s">
        <v>86</v>
      </c>
      <c r="AE19" s="33" t="s">
        <v>87</v>
      </c>
      <c r="AF19" s="33" t="s">
        <v>88</v>
      </c>
      <c r="AG19" s="33" t="s">
        <v>89</v>
      </c>
      <c r="AH19" s="33" t="s">
        <v>90</v>
      </c>
      <c r="AI19" s="33" t="s">
        <v>91</v>
      </c>
      <c r="AJ19" s="33" t="s">
        <v>92</v>
      </c>
      <c r="AK19" s="33" t="s">
        <v>93</v>
      </c>
      <c r="AL19" s="33" t="s">
        <v>94</v>
      </c>
      <c r="AM19" s="33" t="s">
        <v>95</v>
      </c>
      <c r="AN19" s="33" t="s">
        <v>96</v>
      </c>
      <c r="AO19" s="33" t="s">
        <v>97</v>
      </c>
      <c r="AP19" s="33" t="s">
        <v>98</v>
      </c>
      <c r="AQ19" s="33" t="s">
        <v>99</v>
      </c>
      <c r="AR19" s="33" t="s">
        <v>100</v>
      </c>
      <c r="AS19" s="33" t="s">
        <v>101</v>
      </c>
      <c r="AT19" s="33" t="s">
        <v>102</v>
      </c>
      <c r="AU19" s="33" t="s">
        <v>103</v>
      </c>
      <c r="AV19" s="33" t="s">
        <v>104</v>
      </c>
      <c r="AW19" s="33" t="s">
        <v>105</v>
      </c>
      <c r="AX19" s="33" t="s">
        <v>106</v>
      </c>
      <c r="AY19" s="33" t="s">
        <v>107</v>
      </c>
      <c r="AZ19" s="33" t="s">
        <v>108</v>
      </c>
      <c r="BA19" s="33" t="s">
        <v>109</v>
      </c>
      <c r="BB19" s="33" t="s">
        <v>110</v>
      </c>
      <c r="BC19" s="33" t="s">
        <v>111</v>
      </c>
      <c r="BD19" s="33" t="s">
        <v>112</v>
      </c>
      <c r="BE19" s="33" t="s">
        <v>113</v>
      </c>
      <c r="BF19" s="33" t="s">
        <v>114</v>
      </c>
      <c r="BG19" s="33" t="s">
        <v>115</v>
      </c>
      <c r="BH19" s="33" t="s">
        <v>116</v>
      </c>
      <c r="BI19" s="33" t="s">
        <v>117</v>
      </c>
      <c r="BJ19" s="33" t="s">
        <v>118</v>
      </c>
      <c r="BK19" s="33" t="s">
        <v>119</v>
      </c>
      <c r="BL19" s="33" t="s">
        <v>120</v>
      </c>
      <c r="BM19" s="33" t="s">
        <v>121</v>
      </c>
      <c r="BN19" s="33" t="s">
        <v>122</v>
      </c>
      <c r="BO19" s="33" t="s">
        <v>123</v>
      </c>
      <c r="BP19" s="33" t="s">
        <v>124</v>
      </c>
      <c r="BQ19" s="33" t="s">
        <v>125</v>
      </c>
      <c r="BR19" s="33" t="s">
        <v>126</v>
      </c>
      <c r="BS19" s="33" t="s">
        <v>127</v>
      </c>
      <c r="BT19" s="33" t="s">
        <v>128</v>
      </c>
      <c r="BU19" s="33" t="s">
        <v>129</v>
      </c>
      <c r="BV19" s="33" t="s">
        <v>130</v>
      </c>
      <c r="BW19" s="33" t="s">
        <v>131</v>
      </c>
      <c r="BX19" s="33" t="s">
        <v>132</v>
      </c>
      <c r="BY19" s="33" t="s">
        <v>133</v>
      </c>
      <c r="BZ19" s="33" t="s">
        <v>134</v>
      </c>
      <c r="CA19" s="33" t="s">
        <v>135</v>
      </c>
      <c r="CB19" s="33" t="s">
        <v>136</v>
      </c>
      <c r="CC19" s="33" t="s">
        <v>137</v>
      </c>
      <c r="CD19" s="33" t="s">
        <v>138</v>
      </c>
      <c r="CE19" s="33" t="s">
        <v>139</v>
      </c>
      <c r="CF19" s="33" t="s">
        <v>140</v>
      </c>
      <c r="CG19" s="33" t="s">
        <v>141</v>
      </c>
      <c r="CH19" s="33" t="s">
        <v>142</v>
      </c>
      <c r="CI19" s="33" t="s">
        <v>143</v>
      </c>
      <c r="CJ19" s="33" t="s">
        <v>144</v>
      </c>
      <c r="CK19" s="33" t="s">
        <v>145</v>
      </c>
      <c r="CL19" s="33" t="s">
        <v>146</v>
      </c>
      <c r="CM19" s="33" t="s">
        <v>147</v>
      </c>
      <c r="CN19" s="33" t="s">
        <v>148</v>
      </c>
      <c r="CO19" s="33" t="s">
        <v>149</v>
      </c>
      <c r="CP19" s="33" t="s">
        <v>150</v>
      </c>
      <c r="CQ19" s="33" t="s">
        <v>151</v>
      </c>
      <c r="CR19" s="33" t="s">
        <v>152</v>
      </c>
      <c r="CS19" s="33" t="s">
        <v>153</v>
      </c>
      <c r="CT19" s="33" t="s">
        <v>154</v>
      </c>
      <c r="CU19" s="33" t="s">
        <v>155</v>
      </c>
      <c r="CV19" s="33" t="s">
        <v>156</v>
      </c>
      <c r="CW19" s="33" t="s">
        <v>157</v>
      </c>
      <c r="CX19" s="33" t="s">
        <v>158</v>
      </c>
      <c r="CY19" s="33" t="s">
        <v>159</v>
      </c>
      <c r="CZ19" s="33" t="s">
        <v>160</v>
      </c>
      <c r="DA19" s="33" t="s">
        <v>161</v>
      </c>
      <c r="DB19" s="33" t="s">
        <v>162</v>
      </c>
      <c r="DC19" s="33" t="s">
        <v>163</v>
      </c>
      <c r="DD19" s="33" t="s">
        <v>164</v>
      </c>
      <c r="DE19" s="33" t="s">
        <v>165</v>
      </c>
      <c r="DF19" s="33" t="s">
        <v>166</v>
      </c>
      <c r="DG19" s="33" t="s">
        <v>167</v>
      </c>
      <c r="DH19" s="33" t="s">
        <v>168</v>
      </c>
      <c r="DI19" s="33" t="s">
        <v>169</v>
      </c>
      <c r="DJ19" s="33" t="s">
        <v>170</v>
      </c>
      <c r="DK19" s="33" t="s">
        <v>171</v>
      </c>
      <c r="DL19" s="33" t="s">
        <v>172</v>
      </c>
      <c r="DM19" s="33" t="s">
        <v>173</v>
      </c>
      <c r="DN19" s="35" t="s">
        <v>174</v>
      </c>
    </row>
    <row r="20" spans="5:118" x14ac:dyDescent="0.35">
      <c r="E20" s="111"/>
      <c r="F20" s="112" t="s">
        <v>175</v>
      </c>
      <c r="G20" s="112" t="s">
        <v>318</v>
      </c>
      <c r="H20" s="38">
        <f t="shared" ref="H20:H51" si="2">IFERROR(VLOOKUP(G20,Resource_List,2,FALSE),0)</f>
        <v>2580</v>
      </c>
      <c r="I20" s="116"/>
      <c r="J20" s="38">
        <f>IF(I20="",H20,I20)</f>
        <v>2580</v>
      </c>
      <c r="K20" s="38">
        <f t="shared" ref="K20:K51" si="3">H20*M20</f>
        <v>5469600</v>
      </c>
      <c r="L20" s="38">
        <f>J20*M20</f>
        <v>5469600</v>
      </c>
      <c r="M20" s="39">
        <f>SUM(N20:DM20)</f>
        <v>2120</v>
      </c>
      <c r="N20" s="113">
        <v>40</v>
      </c>
      <c r="O20" s="113">
        <v>40</v>
      </c>
      <c r="P20" s="113">
        <v>40</v>
      </c>
      <c r="Q20" s="113">
        <v>40</v>
      </c>
      <c r="R20" s="113">
        <v>40</v>
      </c>
      <c r="S20" s="113">
        <v>40</v>
      </c>
      <c r="T20" s="113">
        <v>40</v>
      </c>
      <c r="U20" s="113">
        <v>40</v>
      </c>
      <c r="V20" s="113">
        <v>40</v>
      </c>
      <c r="W20" s="113">
        <v>40</v>
      </c>
      <c r="X20" s="113">
        <v>40</v>
      </c>
      <c r="Y20" s="113">
        <v>40</v>
      </c>
      <c r="Z20" s="113">
        <v>40</v>
      </c>
      <c r="AA20" s="113">
        <v>40</v>
      </c>
      <c r="AB20" s="113">
        <v>40</v>
      </c>
      <c r="AC20" s="113">
        <v>40</v>
      </c>
      <c r="AD20" s="113">
        <v>40</v>
      </c>
      <c r="AE20" s="113">
        <v>40</v>
      </c>
      <c r="AF20" s="113">
        <v>40</v>
      </c>
      <c r="AG20" s="113">
        <v>40</v>
      </c>
      <c r="AH20" s="113">
        <v>40</v>
      </c>
      <c r="AI20" s="113">
        <v>40</v>
      </c>
      <c r="AJ20" s="113">
        <v>40</v>
      </c>
      <c r="AK20" s="113">
        <v>40</v>
      </c>
      <c r="AL20" s="113">
        <v>40</v>
      </c>
      <c r="AM20" s="113">
        <v>40</v>
      </c>
      <c r="AN20" s="113">
        <v>40</v>
      </c>
      <c r="AO20" s="113">
        <v>40</v>
      </c>
      <c r="AP20" s="113">
        <v>40</v>
      </c>
      <c r="AQ20" s="113">
        <v>40</v>
      </c>
      <c r="AR20" s="113">
        <v>40</v>
      </c>
      <c r="AS20" s="113">
        <v>40</v>
      </c>
      <c r="AT20" s="113">
        <v>40</v>
      </c>
      <c r="AU20" s="113">
        <v>40</v>
      </c>
      <c r="AV20" s="113">
        <v>40</v>
      </c>
      <c r="AW20" s="113">
        <v>40</v>
      </c>
      <c r="AX20" s="113">
        <v>40</v>
      </c>
      <c r="AY20" s="113">
        <v>40</v>
      </c>
      <c r="AZ20" s="113">
        <v>40</v>
      </c>
      <c r="BA20" s="113">
        <v>40</v>
      </c>
      <c r="BB20" s="113">
        <v>40</v>
      </c>
      <c r="BC20" s="113">
        <v>40</v>
      </c>
      <c r="BD20" s="113">
        <v>40</v>
      </c>
      <c r="BE20" s="113">
        <v>40</v>
      </c>
      <c r="BF20" s="113">
        <v>40</v>
      </c>
      <c r="BG20" s="113">
        <v>40</v>
      </c>
      <c r="BH20" s="113">
        <v>40</v>
      </c>
      <c r="BI20" s="113">
        <v>40</v>
      </c>
      <c r="BJ20" s="113">
        <v>40</v>
      </c>
      <c r="BK20" s="113">
        <v>40</v>
      </c>
      <c r="BL20" s="113">
        <v>40</v>
      </c>
      <c r="BM20" s="113">
        <v>40</v>
      </c>
      <c r="BN20" s="113">
        <v>40</v>
      </c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3750769.230769231</v>
      </c>
    </row>
    <row r="21" spans="5:118" x14ac:dyDescent="0.35">
      <c r="E21" s="111"/>
      <c r="F21" s="112" t="s">
        <v>319</v>
      </c>
      <c r="G21" s="112" t="s">
        <v>176</v>
      </c>
      <c r="H21" s="38">
        <f t="shared" si="2"/>
        <v>1450</v>
      </c>
      <c r="I21" s="116"/>
      <c r="J21" s="38">
        <f t="shared" ref="J21:J69" si="5">IF(I21="",H21,I21)</f>
        <v>1450</v>
      </c>
      <c r="K21" s="38">
        <f t="shared" si="3"/>
        <v>3074000</v>
      </c>
      <c r="L21" s="38">
        <f t="shared" ref="L21:L69" si="6">J21*M21</f>
        <v>3074000</v>
      </c>
      <c r="M21" s="39">
        <f t="shared" ref="M21:M69" si="7">SUM(N21:DM21)</f>
        <v>2120</v>
      </c>
      <c r="N21" s="113">
        <v>40</v>
      </c>
      <c r="O21" s="113">
        <v>40</v>
      </c>
      <c r="P21" s="113">
        <v>40</v>
      </c>
      <c r="Q21" s="113">
        <v>40</v>
      </c>
      <c r="R21" s="113">
        <v>40</v>
      </c>
      <c r="S21" s="113">
        <v>40</v>
      </c>
      <c r="T21" s="113">
        <v>40</v>
      </c>
      <c r="U21" s="113">
        <v>40</v>
      </c>
      <c r="V21" s="113">
        <v>40</v>
      </c>
      <c r="W21" s="113">
        <v>40</v>
      </c>
      <c r="X21" s="113">
        <v>40</v>
      </c>
      <c r="Y21" s="113">
        <v>40</v>
      </c>
      <c r="Z21" s="113">
        <v>40</v>
      </c>
      <c r="AA21" s="113">
        <v>40</v>
      </c>
      <c r="AB21" s="113">
        <v>40</v>
      </c>
      <c r="AC21" s="113">
        <v>40</v>
      </c>
      <c r="AD21" s="113">
        <v>40</v>
      </c>
      <c r="AE21" s="113">
        <v>40</v>
      </c>
      <c r="AF21" s="113">
        <v>40</v>
      </c>
      <c r="AG21" s="113">
        <v>40</v>
      </c>
      <c r="AH21" s="113">
        <v>40</v>
      </c>
      <c r="AI21" s="113">
        <v>40</v>
      </c>
      <c r="AJ21" s="113">
        <v>40</v>
      </c>
      <c r="AK21" s="113">
        <v>40</v>
      </c>
      <c r="AL21" s="113">
        <v>40</v>
      </c>
      <c r="AM21" s="113">
        <v>40</v>
      </c>
      <c r="AN21" s="113">
        <v>40</v>
      </c>
      <c r="AO21" s="113">
        <v>40</v>
      </c>
      <c r="AP21" s="113">
        <v>40</v>
      </c>
      <c r="AQ21" s="113">
        <v>40</v>
      </c>
      <c r="AR21" s="113">
        <v>40</v>
      </c>
      <c r="AS21" s="113">
        <v>40</v>
      </c>
      <c r="AT21" s="113">
        <v>40</v>
      </c>
      <c r="AU21" s="113">
        <v>40</v>
      </c>
      <c r="AV21" s="113">
        <v>40</v>
      </c>
      <c r="AW21" s="113">
        <v>40</v>
      </c>
      <c r="AX21" s="113">
        <v>40</v>
      </c>
      <c r="AY21" s="113">
        <v>40</v>
      </c>
      <c r="AZ21" s="113">
        <v>40</v>
      </c>
      <c r="BA21" s="113">
        <v>40</v>
      </c>
      <c r="BB21" s="113">
        <v>40</v>
      </c>
      <c r="BC21" s="113">
        <v>40</v>
      </c>
      <c r="BD21" s="113">
        <v>40</v>
      </c>
      <c r="BE21" s="113">
        <v>40</v>
      </c>
      <c r="BF21" s="113">
        <v>40</v>
      </c>
      <c r="BG21" s="113">
        <v>40</v>
      </c>
      <c r="BH21" s="113">
        <v>40</v>
      </c>
      <c r="BI21" s="113">
        <v>40</v>
      </c>
      <c r="BJ21" s="113">
        <v>40</v>
      </c>
      <c r="BK21" s="113">
        <v>40</v>
      </c>
      <c r="BL21" s="113">
        <v>40</v>
      </c>
      <c r="BM21" s="113">
        <v>40</v>
      </c>
      <c r="BN21" s="113">
        <v>40</v>
      </c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2120000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320</v>
      </c>
      <c r="F70" s="41"/>
      <c r="G70" s="41"/>
      <c r="H70" s="41"/>
      <c r="I70" s="8"/>
      <c r="J70" s="8" t="s">
        <v>178</v>
      </c>
      <c r="K70" s="98">
        <f>SUM(K20:K69)</f>
        <v>8543600</v>
      </c>
      <c r="L70" s="97">
        <f>SUM(L20:L69)</f>
        <v>8543600</v>
      </c>
      <c r="M70" s="99">
        <f>SUM(M20:M69)</f>
        <v>4240</v>
      </c>
      <c r="N70" s="4">
        <f>SUM(N20:N69)</f>
        <v>80</v>
      </c>
      <c r="O70" s="4">
        <f t="shared" ref="O70:BZ70" si="11">SUM(O20:O69)</f>
        <v>80</v>
      </c>
      <c r="P70" s="4">
        <f t="shared" si="11"/>
        <v>80</v>
      </c>
      <c r="Q70" s="4">
        <f t="shared" si="11"/>
        <v>80</v>
      </c>
      <c r="R70" s="4">
        <f t="shared" si="11"/>
        <v>80</v>
      </c>
      <c r="S70" s="4">
        <f t="shared" si="11"/>
        <v>80</v>
      </c>
      <c r="T70" s="4">
        <f t="shared" si="11"/>
        <v>80</v>
      </c>
      <c r="U70" s="4">
        <f t="shared" si="11"/>
        <v>80</v>
      </c>
      <c r="V70" s="4">
        <f t="shared" si="11"/>
        <v>80</v>
      </c>
      <c r="W70" s="4">
        <f t="shared" si="11"/>
        <v>80</v>
      </c>
      <c r="X70" s="4">
        <f t="shared" si="11"/>
        <v>80</v>
      </c>
      <c r="Y70" s="4">
        <f t="shared" si="11"/>
        <v>80</v>
      </c>
      <c r="Z70" s="4">
        <f t="shared" si="11"/>
        <v>80</v>
      </c>
      <c r="AA70" s="4">
        <f t="shared" si="11"/>
        <v>80</v>
      </c>
      <c r="AB70" s="4">
        <f t="shared" si="11"/>
        <v>80</v>
      </c>
      <c r="AC70" s="4">
        <f t="shared" si="11"/>
        <v>80</v>
      </c>
      <c r="AD70" s="4">
        <f t="shared" si="11"/>
        <v>80</v>
      </c>
      <c r="AE70" s="4">
        <f t="shared" si="11"/>
        <v>80</v>
      </c>
      <c r="AF70" s="4">
        <f t="shared" si="11"/>
        <v>80</v>
      </c>
      <c r="AG70" s="4">
        <f t="shared" si="11"/>
        <v>80</v>
      </c>
      <c r="AH70" s="4">
        <f t="shared" si="11"/>
        <v>80</v>
      </c>
      <c r="AI70" s="4">
        <f t="shared" si="11"/>
        <v>80</v>
      </c>
      <c r="AJ70" s="4">
        <f t="shared" si="11"/>
        <v>80</v>
      </c>
      <c r="AK70" s="4">
        <f t="shared" si="11"/>
        <v>80</v>
      </c>
      <c r="AL70" s="4">
        <f t="shared" si="11"/>
        <v>80</v>
      </c>
      <c r="AM70" s="4">
        <f t="shared" si="11"/>
        <v>80</v>
      </c>
      <c r="AN70" s="4">
        <f t="shared" si="11"/>
        <v>80</v>
      </c>
      <c r="AO70" s="4">
        <f t="shared" si="11"/>
        <v>80</v>
      </c>
      <c r="AP70" s="4">
        <f t="shared" si="11"/>
        <v>80</v>
      </c>
      <c r="AQ70" s="4">
        <f t="shared" si="11"/>
        <v>80</v>
      </c>
      <c r="AR70" s="4">
        <f t="shared" si="11"/>
        <v>80</v>
      </c>
      <c r="AS70" s="4">
        <f t="shared" si="11"/>
        <v>80</v>
      </c>
      <c r="AT70" s="4">
        <f t="shared" si="11"/>
        <v>80</v>
      </c>
      <c r="AU70" s="4">
        <f t="shared" si="11"/>
        <v>80</v>
      </c>
      <c r="AV70" s="4">
        <f t="shared" si="11"/>
        <v>80</v>
      </c>
      <c r="AW70" s="4">
        <f t="shared" si="11"/>
        <v>80</v>
      </c>
      <c r="AX70" s="4">
        <f t="shared" si="11"/>
        <v>80</v>
      </c>
      <c r="AY70" s="4">
        <f t="shared" si="11"/>
        <v>80</v>
      </c>
      <c r="AZ70" s="4">
        <f t="shared" si="11"/>
        <v>80</v>
      </c>
      <c r="BA70" s="4">
        <f t="shared" si="11"/>
        <v>80</v>
      </c>
      <c r="BB70" s="4">
        <f t="shared" si="11"/>
        <v>80</v>
      </c>
      <c r="BC70" s="4">
        <f t="shared" si="11"/>
        <v>80</v>
      </c>
      <c r="BD70" s="4">
        <f t="shared" si="11"/>
        <v>80</v>
      </c>
      <c r="BE70" s="4">
        <f t="shared" si="11"/>
        <v>80</v>
      </c>
      <c r="BF70" s="4">
        <f t="shared" si="11"/>
        <v>80</v>
      </c>
      <c r="BG70" s="4">
        <f t="shared" si="11"/>
        <v>80</v>
      </c>
      <c r="BH70" s="4">
        <f t="shared" si="11"/>
        <v>80</v>
      </c>
      <c r="BI70" s="4">
        <f t="shared" si="11"/>
        <v>80</v>
      </c>
      <c r="BJ70" s="4">
        <f t="shared" si="11"/>
        <v>80</v>
      </c>
      <c r="BK70" s="4">
        <f t="shared" si="11"/>
        <v>80</v>
      </c>
      <c r="BL70" s="4">
        <f t="shared" si="11"/>
        <v>80</v>
      </c>
      <c r="BM70" s="4">
        <f t="shared" si="11"/>
        <v>80</v>
      </c>
      <c r="BN70" s="4">
        <f t="shared" si="11"/>
        <v>80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5870769.230769231</v>
      </c>
    </row>
    <row r="71" spans="5:118" ht="15" thickBot="1" x14ac:dyDescent="0.4"/>
    <row r="72" spans="5:118" ht="15" thickBot="1" x14ac:dyDescent="0.4">
      <c r="E72" s="95" t="s">
        <v>179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46111</v>
      </c>
      <c r="O72" s="88">
        <f>N72+7</f>
        <v>46118</v>
      </c>
      <c r="P72" s="88">
        <f t="shared" ref="P72:CA72" si="13">O72+7</f>
        <v>46125</v>
      </c>
      <c r="Q72" s="88">
        <f t="shared" si="13"/>
        <v>46132</v>
      </c>
      <c r="R72" s="88">
        <f t="shared" si="13"/>
        <v>46139</v>
      </c>
      <c r="S72" s="88">
        <f t="shared" si="13"/>
        <v>46146</v>
      </c>
      <c r="T72" s="88">
        <f t="shared" si="13"/>
        <v>46153</v>
      </c>
      <c r="U72" s="88">
        <f t="shared" si="13"/>
        <v>46160</v>
      </c>
      <c r="V72" s="88">
        <f t="shared" si="13"/>
        <v>46167</v>
      </c>
      <c r="W72" s="88">
        <f t="shared" si="13"/>
        <v>46174</v>
      </c>
      <c r="X72" s="88">
        <f t="shared" si="13"/>
        <v>46181</v>
      </c>
      <c r="Y72" s="88">
        <f t="shared" si="13"/>
        <v>46188</v>
      </c>
      <c r="Z72" s="88">
        <f t="shared" si="13"/>
        <v>46195</v>
      </c>
      <c r="AA72" s="88">
        <f t="shared" si="13"/>
        <v>46202</v>
      </c>
      <c r="AB72" s="88">
        <f t="shared" si="13"/>
        <v>46209</v>
      </c>
      <c r="AC72" s="88">
        <f t="shared" si="13"/>
        <v>46216</v>
      </c>
      <c r="AD72" s="88">
        <f t="shared" si="13"/>
        <v>46223</v>
      </c>
      <c r="AE72" s="88">
        <f t="shared" si="13"/>
        <v>46230</v>
      </c>
      <c r="AF72" s="88">
        <f t="shared" si="13"/>
        <v>46237</v>
      </c>
      <c r="AG72" s="88">
        <f t="shared" si="13"/>
        <v>46244</v>
      </c>
      <c r="AH72" s="88">
        <f t="shared" si="13"/>
        <v>46251</v>
      </c>
      <c r="AI72" s="88">
        <f t="shared" si="13"/>
        <v>46258</v>
      </c>
      <c r="AJ72" s="88">
        <f t="shared" si="13"/>
        <v>46265</v>
      </c>
      <c r="AK72" s="88">
        <f t="shared" si="13"/>
        <v>46272</v>
      </c>
      <c r="AL72" s="88">
        <f t="shared" si="13"/>
        <v>46279</v>
      </c>
      <c r="AM72" s="88">
        <f t="shared" si="13"/>
        <v>46286</v>
      </c>
      <c r="AN72" s="88">
        <f t="shared" si="13"/>
        <v>46293</v>
      </c>
      <c r="AO72" s="88">
        <f t="shared" si="13"/>
        <v>46300</v>
      </c>
      <c r="AP72" s="88">
        <f t="shared" si="13"/>
        <v>46307</v>
      </c>
      <c r="AQ72" s="88">
        <f t="shared" si="13"/>
        <v>46314</v>
      </c>
      <c r="AR72" s="88">
        <f t="shared" si="13"/>
        <v>46321</v>
      </c>
      <c r="AS72" s="88">
        <f t="shared" si="13"/>
        <v>46328</v>
      </c>
      <c r="AT72" s="88">
        <f t="shared" si="13"/>
        <v>46335</v>
      </c>
      <c r="AU72" s="88">
        <f t="shared" si="13"/>
        <v>46342</v>
      </c>
      <c r="AV72" s="88">
        <f t="shared" si="13"/>
        <v>46349</v>
      </c>
      <c r="AW72" s="88">
        <f t="shared" si="13"/>
        <v>46356</v>
      </c>
      <c r="AX72" s="88">
        <f t="shared" si="13"/>
        <v>46363</v>
      </c>
      <c r="AY72" s="88">
        <f t="shared" si="13"/>
        <v>46370</v>
      </c>
      <c r="AZ72" s="88">
        <f t="shared" si="13"/>
        <v>46377</v>
      </c>
      <c r="BA72" s="88">
        <f t="shared" si="13"/>
        <v>46384</v>
      </c>
      <c r="BB72" s="88">
        <f t="shared" si="13"/>
        <v>46391</v>
      </c>
      <c r="BC72" s="88">
        <f t="shared" si="13"/>
        <v>46398</v>
      </c>
      <c r="BD72" s="88">
        <f t="shared" si="13"/>
        <v>46405</v>
      </c>
      <c r="BE72" s="88">
        <f t="shared" si="13"/>
        <v>46412</v>
      </c>
      <c r="BF72" s="88">
        <f t="shared" si="13"/>
        <v>46419</v>
      </c>
      <c r="BG72" s="88">
        <f t="shared" si="13"/>
        <v>46426</v>
      </c>
      <c r="BH72" s="88">
        <f t="shared" si="13"/>
        <v>46433</v>
      </c>
      <c r="BI72" s="88">
        <f t="shared" si="13"/>
        <v>46440</v>
      </c>
      <c r="BJ72" s="88">
        <f t="shared" si="13"/>
        <v>46447</v>
      </c>
      <c r="BK72" s="88">
        <f t="shared" si="13"/>
        <v>46454</v>
      </c>
      <c r="BL72" s="88">
        <f t="shared" si="13"/>
        <v>46461</v>
      </c>
      <c r="BM72" s="88">
        <f t="shared" si="13"/>
        <v>46468</v>
      </c>
      <c r="BN72" s="88">
        <f t="shared" si="13"/>
        <v>46475</v>
      </c>
      <c r="BO72" s="88">
        <f t="shared" si="13"/>
        <v>46482</v>
      </c>
      <c r="BP72" s="88">
        <f t="shared" si="13"/>
        <v>46489</v>
      </c>
      <c r="BQ72" s="88">
        <f t="shared" si="13"/>
        <v>46496</v>
      </c>
      <c r="BR72" s="88">
        <f t="shared" si="13"/>
        <v>46503</v>
      </c>
      <c r="BS72" s="88">
        <f t="shared" si="13"/>
        <v>46510</v>
      </c>
      <c r="BT72" s="88">
        <f t="shared" si="13"/>
        <v>46517</v>
      </c>
      <c r="BU72" s="88">
        <f t="shared" si="13"/>
        <v>46524</v>
      </c>
      <c r="BV72" s="88">
        <f t="shared" si="13"/>
        <v>46531</v>
      </c>
      <c r="BW72" s="88">
        <f t="shared" si="13"/>
        <v>46538</v>
      </c>
      <c r="BX72" s="88">
        <f t="shared" si="13"/>
        <v>46545</v>
      </c>
      <c r="BY72" s="88">
        <f t="shared" si="13"/>
        <v>46552</v>
      </c>
      <c r="BZ72" s="88">
        <f t="shared" si="13"/>
        <v>46559</v>
      </c>
      <c r="CA72" s="88">
        <f t="shared" si="13"/>
        <v>46566</v>
      </c>
      <c r="CB72" s="88">
        <f t="shared" ref="CB72:DM72" si="14">CA72+7</f>
        <v>46573</v>
      </c>
      <c r="CC72" s="88">
        <f t="shared" si="14"/>
        <v>46580</v>
      </c>
      <c r="CD72" s="88">
        <f t="shared" si="14"/>
        <v>46587</v>
      </c>
      <c r="CE72" s="88">
        <f t="shared" si="14"/>
        <v>46594</v>
      </c>
      <c r="CF72" s="88">
        <f t="shared" si="14"/>
        <v>46601</v>
      </c>
      <c r="CG72" s="88">
        <f t="shared" si="14"/>
        <v>46608</v>
      </c>
      <c r="CH72" s="88">
        <f t="shared" si="14"/>
        <v>46615</v>
      </c>
      <c r="CI72" s="88">
        <f t="shared" si="14"/>
        <v>46622</v>
      </c>
      <c r="CJ72" s="88">
        <f t="shared" si="14"/>
        <v>46629</v>
      </c>
      <c r="CK72" s="88">
        <f t="shared" si="14"/>
        <v>46636</v>
      </c>
      <c r="CL72" s="88">
        <f t="shared" si="14"/>
        <v>46643</v>
      </c>
      <c r="CM72" s="88">
        <f t="shared" si="14"/>
        <v>46650</v>
      </c>
      <c r="CN72" s="88">
        <f t="shared" si="14"/>
        <v>46657</v>
      </c>
      <c r="CO72" s="88">
        <f t="shared" si="14"/>
        <v>46664</v>
      </c>
      <c r="CP72" s="88">
        <f t="shared" si="14"/>
        <v>46671</v>
      </c>
      <c r="CQ72" s="88">
        <f t="shared" si="14"/>
        <v>46678</v>
      </c>
      <c r="CR72" s="88">
        <f t="shared" si="14"/>
        <v>46685</v>
      </c>
      <c r="CS72" s="88">
        <f t="shared" si="14"/>
        <v>46692</v>
      </c>
      <c r="CT72" s="88">
        <f t="shared" si="14"/>
        <v>46699</v>
      </c>
      <c r="CU72" s="88">
        <f t="shared" si="14"/>
        <v>46706</v>
      </c>
      <c r="CV72" s="88">
        <f t="shared" si="14"/>
        <v>46713</v>
      </c>
      <c r="CW72" s="88">
        <f t="shared" si="14"/>
        <v>46720</v>
      </c>
      <c r="CX72" s="88">
        <f t="shared" si="14"/>
        <v>46727</v>
      </c>
      <c r="CY72" s="88">
        <f t="shared" si="14"/>
        <v>46734</v>
      </c>
      <c r="CZ72" s="88">
        <f t="shared" si="14"/>
        <v>46741</v>
      </c>
      <c r="DA72" s="88">
        <f t="shared" si="14"/>
        <v>46748</v>
      </c>
      <c r="DB72" s="88">
        <f t="shared" si="14"/>
        <v>46755</v>
      </c>
      <c r="DC72" s="88">
        <f t="shared" si="14"/>
        <v>46762</v>
      </c>
      <c r="DD72" s="88">
        <f t="shared" si="14"/>
        <v>46769</v>
      </c>
      <c r="DE72" s="88">
        <f t="shared" si="14"/>
        <v>46776</v>
      </c>
      <c r="DF72" s="88">
        <f t="shared" si="14"/>
        <v>46783</v>
      </c>
      <c r="DG72" s="88">
        <f t="shared" si="14"/>
        <v>46790</v>
      </c>
      <c r="DH72" s="88">
        <f t="shared" si="14"/>
        <v>46797</v>
      </c>
      <c r="DI72" s="88">
        <f t="shared" si="14"/>
        <v>46804</v>
      </c>
      <c r="DJ72" s="88">
        <f t="shared" si="14"/>
        <v>46811</v>
      </c>
      <c r="DK72" s="88">
        <f t="shared" si="14"/>
        <v>46818</v>
      </c>
      <c r="DL72" s="88">
        <f t="shared" si="14"/>
        <v>46825</v>
      </c>
      <c r="DM72" s="89">
        <f t="shared" si="14"/>
        <v>46832</v>
      </c>
    </row>
    <row r="73" spans="5:118" s="19" customFormat="1" ht="30" customHeight="1" x14ac:dyDescent="0.3">
      <c r="E73" s="28" t="s">
        <v>62</v>
      </c>
      <c r="F73" s="91" t="s">
        <v>180</v>
      </c>
      <c r="G73" s="91" t="s">
        <v>181</v>
      </c>
      <c r="H73" s="92" t="s">
        <v>182</v>
      </c>
      <c r="I73" s="69"/>
      <c r="J73" s="69"/>
      <c r="K73" s="69"/>
      <c r="L73" s="93" t="s">
        <v>183</v>
      </c>
      <c r="M73" s="34" t="s">
        <v>184</v>
      </c>
      <c r="N73" s="34" t="s">
        <v>70</v>
      </c>
      <c r="O73" s="33" t="s">
        <v>71</v>
      </c>
      <c r="P73" s="33" t="s">
        <v>72</v>
      </c>
      <c r="Q73" s="33" t="s">
        <v>73</v>
      </c>
      <c r="R73" s="33" t="s">
        <v>74</v>
      </c>
      <c r="S73" s="33" t="s">
        <v>75</v>
      </c>
      <c r="T73" s="33" t="s">
        <v>76</v>
      </c>
      <c r="U73" s="33" t="s">
        <v>77</v>
      </c>
      <c r="V73" s="33" t="s">
        <v>78</v>
      </c>
      <c r="W73" s="33" t="s">
        <v>79</v>
      </c>
      <c r="X73" s="33" t="s">
        <v>80</v>
      </c>
      <c r="Y73" s="33" t="s">
        <v>81</v>
      </c>
      <c r="Z73" s="33" t="s">
        <v>82</v>
      </c>
      <c r="AA73" s="33" t="s">
        <v>83</v>
      </c>
      <c r="AB73" s="33" t="s">
        <v>84</v>
      </c>
      <c r="AC73" s="33" t="s">
        <v>85</v>
      </c>
      <c r="AD73" s="33" t="s">
        <v>86</v>
      </c>
      <c r="AE73" s="33" t="s">
        <v>87</v>
      </c>
      <c r="AF73" s="33" t="s">
        <v>88</v>
      </c>
      <c r="AG73" s="33" t="s">
        <v>89</v>
      </c>
      <c r="AH73" s="33" t="s">
        <v>90</v>
      </c>
      <c r="AI73" s="33" t="s">
        <v>91</v>
      </c>
      <c r="AJ73" s="33" t="s">
        <v>92</v>
      </c>
      <c r="AK73" s="33" t="s">
        <v>93</v>
      </c>
      <c r="AL73" s="33" t="s">
        <v>94</v>
      </c>
      <c r="AM73" s="33" t="s">
        <v>95</v>
      </c>
      <c r="AN73" s="33" t="s">
        <v>96</v>
      </c>
      <c r="AO73" s="33" t="s">
        <v>97</v>
      </c>
      <c r="AP73" s="33" t="s">
        <v>98</v>
      </c>
      <c r="AQ73" s="33" t="s">
        <v>99</v>
      </c>
      <c r="AR73" s="33" t="s">
        <v>100</v>
      </c>
      <c r="AS73" s="33" t="s">
        <v>101</v>
      </c>
      <c r="AT73" s="33" t="s">
        <v>102</v>
      </c>
      <c r="AU73" s="33" t="s">
        <v>103</v>
      </c>
      <c r="AV73" s="33" t="s">
        <v>104</v>
      </c>
      <c r="AW73" s="33" t="s">
        <v>105</v>
      </c>
      <c r="AX73" s="33" t="s">
        <v>106</v>
      </c>
      <c r="AY73" s="33" t="s">
        <v>107</v>
      </c>
      <c r="AZ73" s="33" t="s">
        <v>108</v>
      </c>
      <c r="BA73" s="33" t="s">
        <v>109</v>
      </c>
      <c r="BB73" s="33" t="s">
        <v>110</v>
      </c>
      <c r="BC73" s="33" t="s">
        <v>111</v>
      </c>
      <c r="BD73" s="33" t="s">
        <v>112</v>
      </c>
      <c r="BE73" s="33" t="s">
        <v>113</v>
      </c>
      <c r="BF73" s="33" t="s">
        <v>114</v>
      </c>
      <c r="BG73" s="33" t="s">
        <v>115</v>
      </c>
      <c r="BH73" s="33" t="s">
        <v>116</v>
      </c>
      <c r="BI73" s="33" t="s">
        <v>117</v>
      </c>
      <c r="BJ73" s="33" t="s">
        <v>118</v>
      </c>
      <c r="BK73" s="33" t="s">
        <v>119</v>
      </c>
      <c r="BL73" s="33" t="s">
        <v>120</v>
      </c>
      <c r="BM73" s="33" t="s">
        <v>121</v>
      </c>
      <c r="BN73" s="33" t="s">
        <v>122</v>
      </c>
      <c r="BO73" s="33" t="s">
        <v>123</v>
      </c>
      <c r="BP73" s="33" t="s">
        <v>124</v>
      </c>
      <c r="BQ73" s="33" t="s">
        <v>125</v>
      </c>
      <c r="BR73" s="33" t="s">
        <v>126</v>
      </c>
      <c r="BS73" s="33" t="s">
        <v>127</v>
      </c>
      <c r="BT73" s="33" t="s">
        <v>128</v>
      </c>
      <c r="BU73" s="33" t="s">
        <v>129</v>
      </c>
      <c r="BV73" s="33" t="s">
        <v>130</v>
      </c>
      <c r="BW73" s="33" t="s">
        <v>131</v>
      </c>
      <c r="BX73" s="33" t="s">
        <v>132</v>
      </c>
      <c r="BY73" s="33" t="s">
        <v>133</v>
      </c>
      <c r="BZ73" s="33" t="s">
        <v>134</v>
      </c>
      <c r="CA73" s="33" t="s">
        <v>135</v>
      </c>
      <c r="CB73" s="33" t="s">
        <v>136</v>
      </c>
      <c r="CC73" s="33" t="s">
        <v>137</v>
      </c>
      <c r="CD73" s="33" t="s">
        <v>138</v>
      </c>
      <c r="CE73" s="33" t="s">
        <v>139</v>
      </c>
      <c r="CF73" s="33" t="s">
        <v>140</v>
      </c>
      <c r="CG73" s="33" t="s">
        <v>141</v>
      </c>
      <c r="CH73" s="33" t="s">
        <v>142</v>
      </c>
      <c r="CI73" s="33" t="s">
        <v>143</v>
      </c>
      <c r="CJ73" s="33" t="s">
        <v>144</v>
      </c>
      <c r="CK73" s="33" t="s">
        <v>145</v>
      </c>
      <c r="CL73" s="33" t="s">
        <v>146</v>
      </c>
      <c r="CM73" s="33" t="s">
        <v>147</v>
      </c>
      <c r="CN73" s="33" t="s">
        <v>148</v>
      </c>
      <c r="CO73" s="33" t="s">
        <v>149</v>
      </c>
      <c r="CP73" s="33" t="s">
        <v>150</v>
      </c>
      <c r="CQ73" s="33" t="s">
        <v>151</v>
      </c>
      <c r="CR73" s="33" t="s">
        <v>152</v>
      </c>
      <c r="CS73" s="33" t="s">
        <v>153</v>
      </c>
      <c r="CT73" s="33" t="s">
        <v>154</v>
      </c>
      <c r="CU73" s="33" t="s">
        <v>155</v>
      </c>
      <c r="CV73" s="33" t="s">
        <v>156</v>
      </c>
      <c r="CW73" s="33" t="s">
        <v>157</v>
      </c>
      <c r="CX73" s="33" t="s">
        <v>158</v>
      </c>
      <c r="CY73" s="33" t="s">
        <v>159</v>
      </c>
      <c r="CZ73" s="33" t="s">
        <v>160</v>
      </c>
      <c r="DA73" s="33" t="s">
        <v>161</v>
      </c>
      <c r="DB73" s="33" t="s">
        <v>162</v>
      </c>
      <c r="DC73" s="33" t="s">
        <v>163</v>
      </c>
      <c r="DD73" s="33" t="s">
        <v>164</v>
      </c>
      <c r="DE73" s="33" t="s">
        <v>165</v>
      </c>
      <c r="DF73" s="33" t="s">
        <v>166</v>
      </c>
      <c r="DG73" s="33" t="s">
        <v>167</v>
      </c>
      <c r="DH73" s="33" t="s">
        <v>168</v>
      </c>
      <c r="DI73" s="33" t="s">
        <v>169</v>
      </c>
      <c r="DJ73" s="33" t="s">
        <v>170</v>
      </c>
      <c r="DK73" s="33" t="s">
        <v>171</v>
      </c>
      <c r="DL73" s="33" t="s">
        <v>172</v>
      </c>
      <c r="DM73" s="44" t="s">
        <v>173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178</v>
      </c>
      <c r="L84" s="97">
        <f>SUM(L74:L83)</f>
        <v>0</v>
      </c>
      <c r="M84" s="96"/>
      <c r="N84" s="4">
        <f t="shared" ref="N84:AS84" si="17">SUM(M34:M83)</f>
        <v>4240</v>
      </c>
      <c r="O84" s="4">
        <f t="shared" si="17"/>
        <v>46191</v>
      </c>
      <c r="P84" s="4">
        <f t="shared" si="17"/>
        <v>46198</v>
      </c>
      <c r="Q84" s="4">
        <f t="shared" si="17"/>
        <v>46205</v>
      </c>
      <c r="R84" s="4">
        <f t="shared" si="17"/>
        <v>46212</v>
      </c>
      <c r="S84" s="4">
        <f t="shared" si="17"/>
        <v>46219</v>
      </c>
      <c r="T84" s="4">
        <f t="shared" si="17"/>
        <v>46226</v>
      </c>
      <c r="U84" s="4">
        <f t="shared" si="17"/>
        <v>46233</v>
      </c>
      <c r="V84" s="4">
        <f t="shared" si="17"/>
        <v>46240</v>
      </c>
      <c r="W84" s="4">
        <f t="shared" si="17"/>
        <v>46247</v>
      </c>
      <c r="X84" s="4">
        <f t="shared" si="17"/>
        <v>46254</v>
      </c>
      <c r="Y84" s="4">
        <f t="shared" si="17"/>
        <v>46261</v>
      </c>
      <c r="Z84" s="4">
        <f t="shared" si="17"/>
        <v>46268</v>
      </c>
      <c r="AA84" s="4">
        <f t="shared" si="17"/>
        <v>46275</v>
      </c>
      <c r="AB84" s="4">
        <f t="shared" si="17"/>
        <v>46282</v>
      </c>
      <c r="AC84" s="4">
        <f t="shared" si="17"/>
        <v>46289</v>
      </c>
      <c r="AD84" s="4">
        <f t="shared" si="17"/>
        <v>46296</v>
      </c>
      <c r="AE84" s="4">
        <f t="shared" si="17"/>
        <v>46303</v>
      </c>
      <c r="AF84" s="4">
        <f t="shared" si="17"/>
        <v>46310</v>
      </c>
      <c r="AG84" s="4">
        <f t="shared" si="17"/>
        <v>46317</v>
      </c>
      <c r="AH84" s="4">
        <f t="shared" si="17"/>
        <v>46324</v>
      </c>
      <c r="AI84" s="4">
        <f t="shared" si="17"/>
        <v>46331</v>
      </c>
      <c r="AJ84" s="4">
        <f t="shared" si="17"/>
        <v>46338</v>
      </c>
      <c r="AK84" s="4">
        <f t="shared" si="17"/>
        <v>46345</v>
      </c>
      <c r="AL84" s="4">
        <f t="shared" si="17"/>
        <v>46352</v>
      </c>
      <c r="AM84" s="4">
        <f t="shared" si="17"/>
        <v>46359</v>
      </c>
      <c r="AN84" s="4">
        <f t="shared" si="17"/>
        <v>46366</v>
      </c>
      <c r="AO84" s="4">
        <f t="shared" si="17"/>
        <v>46373</v>
      </c>
      <c r="AP84" s="4">
        <f t="shared" si="17"/>
        <v>46380</v>
      </c>
      <c r="AQ84" s="4">
        <f t="shared" si="17"/>
        <v>46387</v>
      </c>
      <c r="AR84" s="4">
        <f t="shared" si="17"/>
        <v>46394</v>
      </c>
      <c r="AS84" s="4">
        <f t="shared" si="17"/>
        <v>46401</v>
      </c>
      <c r="AT84" s="4">
        <f t="shared" ref="AT84:BY84" si="18">SUM(AS34:AS83)</f>
        <v>46408</v>
      </c>
      <c r="AU84" s="4">
        <f t="shared" si="18"/>
        <v>46415</v>
      </c>
      <c r="AV84" s="4">
        <f t="shared" si="18"/>
        <v>46422</v>
      </c>
      <c r="AW84" s="4">
        <f t="shared" si="18"/>
        <v>46429</v>
      </c>
      <c r="AX84" s="4">
        <f t="shared" si="18"/>
        <v>46436</v>
      </c>
      <c r="AY84" s="4">
        <f t="shared" si="18"/>
        <v>46443</v>
      </c>
      <c r="AZ84" s="4">
        <f t="shared" si="18"/>
        <v>46450</v>
      </c>
      <c r="BA84" s="4">
        <f t="shared" si="18"/>
        <v>46457</v>
      </c>
      <c r="BB84" s="4">
        <f t="shared" si="18"/>
        <v>46464</v>
      </c>
      <c r="BC84" s="4">
        <f t="shared" si="18"/>
        <v>46471</v>
      </c>
      <c r="BD84" s="4">
        <f t="shared" si="18"/>
        <v>46478</v>
      </c>
      <c r="BE84" s="4">
        <f t="shared" si="18"/>
        <v>46485</v>
      </c>
      <c r="BF84" s="4">
        <f t="shared" si="18"/>
        <v>46492</v>
      </c>
      <c r="BG84" s="4">
        <f t="shared" si="18"/>
        <v>46499</v>
      </c>
      <c r="BH84" s="4">
        <f t="shared" si="18"/>
        <v>46506</v>
      </c>
      <c r="BI84" s="4">
        <f t="shared" si="18"/>
        <v>46513</v>
      </c>
      <c r="BJ84" s="4">
        <f t="shared" si="18"/>
        <v>46520</v>
      </c>
      <c r="BK84" s="4">
        <f t="shared" si="18"/>
        <v>46527</v>
      </c>
      <c r="BL84" s="4">
        <f t="shared" si="18"/>
        <v>46534</v>
      </c>
      <c r="BM84" s="4">
        <f t="shared" si="18"/>
        <v>46541</v>
      </c>
      <c r="BN84" s="4">
        <f t="shared" si="18"/>
        <v>46548</v>
      </c>
      <c r="BO84" s="4">
        <f t="shared" si="18"/>
        <v>46555</v>
      </c>
      <c r="BP84" s="4">
        <f t="shared" si="18"/>
        <v>46482</v>
      </c>
      <c r="BQ84" s="4">
        <f t="shared" si="18"/>
        <v>46489</v>
      </c>
      <c r="BR84" s="4">
        <f t="shared" si="18"/>
        <v>46496</v>
      </c>
      <c r="BS84" s="4">
        <f t="shared" si="18"/>
        <v>46503</v>
      </c>
      <c r="BT84" s="4">
        <f t="shared" si="18"/>
        <v>46510</v>
      </c>
      <c r="BU84" s="4">
        <f t="shared" si="18"/>
        <v>46517</v>
      </c>
      <c r="BV84" s="4">
        <f t="shared" si="18"/>
        <v>46524</v>
      </c>
      <c r="BW84" s="4">
        <f t="shared" si="18"/>
        <v>46531</v>
      </c>
      <c r="BX84" s="4">
        <f t="shared" si="18"/>
        <v>46538</v>
      </c>
      <c r="BY84" s="4">
        <f t="shared" si="18"/>
        <v>46545</v>
      </c>
      <c r="BZ84" s="4">
        <f t="shared" ref="BZ84:DE84" si="19">SUM(BY34:BY83)</f>
        <v>46552</v>
      </c>
      <c r="CA84" s="4">
        <f t="shared" si="19"/>
        <v>46559</v>
      </c>
      <c r="CB84" s="4">
        <f t="shared" si="19"/>
        <v>46566</v>
      </c>
      <c r="CC84" s="4">
        <f t="shared" si="19"/>
        <v>46573</v>
      </c>
      <c r="CD84" s="4">
        <f t="shared" si="19"/>
        <v>46580</v>
      </c>
      <c r="CE84" s="4">
        <f t="shared" si="19"/>
        <v>46587</v>
      </c>
      <c r="CF84" s="4">
        <f t="shared" si="19"/>
        <v>46594</v>
      </c>
      <c r="CG84" s="4">
        <f t="shared" si="19"/>
        <v>46601</v>
      </c>
      <c r="CH84" s="4">
        <f t="shared" si="19"/>
        <v>46608</v>
      </c>
      <c r="CI84" s="4">
        <f t="shared" si="19"/>
        <v>46615</v>
      </c>
      <c r="CJ84" s="4">
        <f t="shared" si="19"/>
        <v>46622</v>
      </c>
      <c r="CK84" s="4">
        <f t="shared" si="19"/>
        <v>46629</v>
      </c>
      <c r="CL84" s="4">
        <f t="shared" si="19"/>
        <v>46636</v>
      </c>
      <c r="CM84" s="4">
        <f t="shared" si="19"/>
        <v>46643</v>
      </c>
      <c r="CN84" s="4">
        <f t="shared" si="19"/>
        <v>46650</v>
      </c>
      <c r="CO84" s="4">
        <f t="shared" si="19"/>
        <v>46657</v>
      </c>
      <c r="CP84" s="4">
        <f t="shared" si="19"/>
        <v>46664</v>
      </c>
      <c r="CQ84" s="4">
        <f t="shared" si="19"/>
        <v>46671</v>
      </c>
      <c r="CR84" s="4">
        <f t="shared" si="19"/>
        <v>46678</v>
      </c>
      <c r="CS84" s="4">
        <f t="shared" si="19"/>
        <v>46685</v>
      </c>
      <c r="CT84" s="4">
        <f t="shared" si="19"/>
        <v>46692</v>
      </c>
      <c r="CU84" s="4">
        <f t="shared" si="19"/>
        <v>46699</v>
      </c>
      <c r="CV84" s="4">
        <f t="shared" si="19"/>
        <v>46706</v>
      </c>
      <c r="CW84" s="4">
        <f t="shared" si="19"/>
        <v>46713</v>
      </c>
      <c r="CX84" s="4">
        <f t="shared" si="19"/>
        <v>46720</v>
      </c>
      <c r="CY84" s="4">
        <f t="shared" si="19"/>
        <v>46727</v>
      </c>
      <c r="CZ84" s="4">
        <f t="shared" si="19"/>
        <v>46734</v>
      </c>
      <c r="DA84" s="4">
        <f t="shared" si="19"/>
        <v>46741</v>
      </c>
      <c r="DB84" s="4">
        <f t="shared" si="19"/>
        <v>46748</v>
      </c>
      <c r="DC84" s="4">
        <f t="shared" si="19"/>
        <v>46755</v>
      </c>
      <c r="DD84" s="4">
        <f t="shared" si="19"/>
        <v>46762</v>
      </c>
      <c r="DE84" s="4">
        <f t="shared" si="19"/>
        <v>46769</v>
      </c>
      <c r="DF84" s="4">
        <f t="shared" ref="DF84:DM84" si="20">SUM(DE34:DE83)</f>
        <v>46776</v>
      </c>
      <c r="DG84" s="4">
        <f t="shared" si="20"/>
        <v>46783</v>
      </c>
      <c r="DH84" s="4">
        <f t="shared" si="20"/>
        <v>46790</v>
      </c>
      <c r="DI84" s="4">
        <f t="shared" si="20"/>
        <v>46797</v>
      </c>
      <c r="DJ84" s="4">
        <f t="shared" si="20"/>
        <v>46804</v>
      </c>
      <c r="DK84" s="4">
        <f t="shared" si="20"/>
        <v>46811</v>
      </c>
      <c r="DL84" s="4">
        <f t="shared" si="20"/>
        <v>46818</v>
      </c>
      <c r="DM84" s="90">
        <f t="shared" si="20"/>
        <v>46825</v>
      </c>
      <c r="DN84" s="47"/>
    </row>
    <row r="87" spans="5:118" ht="15" thickBot="1" x14ac:dyDescent="0.4"/>
    <row r="88" spans="5:118" ht="15" thickBot="1" x14ac:dyDescent="0.4">
      <c r="E88" s="43" t="s">
        <v>185</v>
      </c>
      <c r="J88" s="48"/>
    </row>
    <row r="89" spans="5:118" x14ac:dyDescent="0.35">
      <c r="E89" s="28" t="s">
        <v>62</v>
      </c>
      <c r="F89" s="32" t="s">
        <v>186</v>
      </c>
      <c r="G89" s="32" t="s">
        <v>187</v>
      </c>
      <c r="H89" s="32" t="s">
        <v>188</v>
      </c>
      <c r="I89" s="66" t="s">
        <v>189</v>
      </c>
      <c r="J89" s="69"/>
      <c r="K89" s="61" t="s">
        <v>190</v>
      </c>
      <c r="L89" s="33" t="s">
        <v>191</v>
      </c>
      <c r="M89" s="33" t="s">
        <v>184</v>
      </c>
      <c r="N89" s="33" t="s">
        <v>192</v>
      </c>
      <c r="O89" s="33" t="s">
        <v>193</v>
      </c>
      <c r="P89" s="33" t="s">
        <v>194</v>
      </c>
      <c r="Q89" s="33" t="s">
        <v>195</v>
      </c>
      <c r="R89" s="33" t="s">
        <v>196</v>
      </c>
      <c r="S89" s="33" t="s">
        <v>197</v>
      </c>
      <c r="T89" s="33" t="s">
        <v>198</v>
      </c>
      <c r="U89" s="33" t="s">
        <v>199</v>
      </c>
      <c r="V89" s="33" t="s">
        <v>200</v>
      </c>
      <c r="W89" s="33" t="s">
        <v>201</v>
      </c>
      <c r="X89" s="33" t="s">
        <v>202</v>
      </c>
      <c r="Y89" s="33" t="s">
        <v>203</v>
      </c>
      <c r="Z89" s="33" t="s">
        <v>204</v>
      </c>
      <c r="AA89" s="33" t="s">
        <v>205</v>
      </c>
      <c r="AB89" s="33" t="s">
        <v>206</v>
      </c>
      <c r="AC89" s="33" t="s">
        <v>207</v>
      </c>
      <c r="AD89" s="33" t="s">
        <v>208</v>
      </c>
      <c r="AE89" s="33" t="s">
        <v>209</v>
      </c>
      <c r="AF89" s="33" t="s">
        <v>210</v>
      </c>
      <c r="AG89" s="33" t="s">
        <v>211</v>
      </c>
      <c r="AH89" s="33" t="s">
        <v>212</v>
      </c>
      <c r="AI89" s="33" t="s">
        <v>213</v>
      </c>
      <c r="AJ89" s="33" t="s">
        <v>214</v>
      </c>
      <c r="AK89" s="33" t="s">
        <v>215</v>
      </c>
      <c r="AL89" s="33" t="s">
        <v>216</v>
      </c>
      <c r="AM89" s="33" t="s">
        <v>217</v>
      </c>
      <c r="AN89" s="33" t="s">
        <v>218</v>
      </c>
      <c r="AO89" s="33" t="s">
        <v>219</v>
      </c>
      <c r="AP89" s="33" t="s">
        <v>220</v>
      </c>
      <c r="AQ89" s="33" t="s">
        <v>221</v>
      </c>
      <c r="AR89" s="33" t="s">
        <v>222</v>
      </c>
      <c r="AS89" s="33" t="s">
        <v>223</v>
      </c>
      <c r="AT89" s="33" t="s">
        <v>224</v>
      </c>
      <c r="AU89" s="33" t="s">
        <v>225</v>
      </c>
      <c r="AV89" s="33" t="s">
        <v>226</v>
      </c>
      <c r="AW89" s="33" t="s">
        <v>227</v>
      </c>
      <c r="AX89" s="33" t="s">
        <v>228</v>
      </c>
      <c r="AY89" s="33" t="s">
        <v>229</v>
      </c>
      <c r="AZ89" s="33" t="s">
        <v>230</v>
      </c>
      <c r="BA89" s="33" t="s">
        <v>231</v>
      </c>
      <c r="BB89" s="33" t="s">
        <v>232</v>
      </c>
      <c r="BC89" s="33" t="s">
        <v>233</v>
      </c>
      <c r="BD89" s="33" t="s">
        <v>234</v>
      </c>
      <c r="BE89" s="33" t="s">
        <v>235</v>
      </c>
      <c r="BF89" s="33" t="s">
        <v>236</v>
      </c>
      <c r="BG89" s="33" t="s">
        <v>237</v>
      </c>
      <c r="BH89" s="33" t="s">
        <v>238</v>
      </c>
      <c r="BI89" s="33" t="s">
        <v>239</v>
      </c>
      <c r="BJ89" s="33" t="s">
        <v>240</v>
      </c>
      <c r="BK89" s="33" t="s">
        <v>241</v>
      </c>
      <c r="BL89" s="33" t="s">
        <v>242</v>
      </c>
      <c r="BM89" s="33" t="s">
        <v>243</v>
      </c>
      <c r="BN89" s="33" t="s">
        <v>244</v>
      </c>
      <c r="BO89" s="33" t="s">
        <v>245</v>
      </c>
      <c r="BP89" s="33" t="s">
        <v>246</v>
      </c>
      <c r="BQ89" s="33" t="s">
        <v>247</v>
      </c>
      <c r="BR89" s="33" t="s">
        <v>248</v>
      </c>
      <c r="BS89" s="33" t="s">
        <v>249</v>
      </c>
      <c r="BT89" s="33" t="s">
        <v>250</v>
      </c>
      <c r="BU89" s="33" t="s">
        <v>251</v>
      </c>
      <c r="BV89" s="33" t="s">
        <v>252</v>
      </c>
      <c r="BW89" s="33" t="s">
        <v>253</v>
      </c>
      <c r="BX89" s="33" t="s">
        <v>254</v>
      </c>
      <c r="BY89" s="33" t="s">
        <v>255</v>
      </c>
      <c r="BZ89" s="33" t="s">
        <v>256</v>
      </c>
      <c r="CA89" s="33" t="s">
        <v>257</v>
      </c>
      <c r="CB89" s="33" t="s">
        <v>258</v>
      </c>
      <c r="CC89" s="33" t="s">
        <v>259</v>
      </c>
      <c r="CD89" s="33" t="s">
        <v>260</v>
      </c>
      <c r="CE89" s="33" t="s">
        <v>261</v>
      </c>
      <c r="CF89" s="33" t="s">
        <v>262</v>
      </c>
      <c r="CG89" s="33" t="s">
        <v>263</v>
      </c>
      <c r="CH89" s="33" t="s">
        <v>264</v>
      </c>
      <c r="CI89" s="33" t="s">
        <v>265</v>
      </c>
      <c r="CJ89" s="33" t="s">
        <v>266</v>
      </c>
      <c r="CK89" s="33" t="s">
        <v>267</v>
      </c>
      <c r="CL89" s="33" t="s">
        <v>268</v>
      </c>
      <c r="CM89" s="33" t="s">
        <v>269</v>
      </c>
      <c r="CN89" s="33" t="s">
        <v>270</v>
      </c>
      <c r="CO89" s="33" t="s">
        <v>271</v>
      </c>
      <c r="CP89" s="33" t="s">
        <v>272</v>
      </c>
      <c r="CQ89" s="33" t="s">
        <v>273</v>
      </c>
      <c r="CR89" s="33" t="s">
        <v>274</v>
      </c>
      <c r="CS89" s="33" t="s">
        <v>275</v>
      </c>
      <c r="CT89" s="33" t="s">
        <v>276</v>
      </c>
      <c r="CU89" s="33" t="s">
        <v>277</v>
      </c>
      <c r="CV89" s="33" t="s">
        <v>278</v>
      </c>
      <c r="CW89" s="33" t="s">
        <v>279</v>
      </c>
      <c r="CX89" s="33" t="s">
        <v>280</v>
      </c>
      <c r="CY89" s="33" t="s">
        <v>281</v>
      </c>
      <c r="CZ89" s="33" t="s">
        <v>282</v>
      </c>
      <c r="DA89" s="33" t="s">
        <v>283</v>
      </c>
      <c r="DB89" s="33" t="s">
        <v>284</v>
      </c>
      <c r="DC89" s="33" t="s">
        <v>285</v>
      </c>
      <c r="DD89" s="33" t="s">
        <v>286</v>
      </c>
      <c r="DE89" s="33" t="s">
        <v>287</v>
      </c>
      <c r="DF89" s="33" t="s">
        <v>288</v>
      </c>
      <c r="DG89" s="33" t="s">
        <v>289</v>
      </c>
      <c r="DH89" s="33" t="s">
        <v>290</v>
      </c>
      <c r="DI89" s="33" t="s">
        <v>291</v>
      </c>
      <c r="DJ89" s="33" t="s">
        <v>292</v>
      </c>
      <c r="DK89" s="33" t="s">
        <v>293</v>
      </c>
      <c r="DL89" s="33" t="s">
        <v>294</v>
      </c>
      <c r="DM89" s="44" t="s">
        <v>295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321</v>
      </c>
      <c r="F120" s="41"/>
      <c r="G120" s="41"/>
      <c r="H120" s="41"/>
      <c r="I120" s="133">
        <f>SUMPRODUCT(I90:I119,M90:M119)</f>
        <v>0</v>
      </c>
      <c r="J120" s="123" t="s">
        <v>178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297</v>
      </c>
      <c r="J122" s="48"/>
      <c r="N122" s="48"/>
    </row>
    <row r="123" spans="5:118" x14ac:dyDescent="0.35">
      <c r="E123" s="28" t="s">
        <v>62</v>
      </c>
      <c r="F123" s="32" t="s">
        <v>63</v>
      </c>
      <c r="G123" s="32" t="s">
        <v>298</v>
      </c>
      <c r="H123" s="32" t="s">
        <v>299</v>
      </c>
      <c r="I123" s="66" t="s">
        <v>300</v>
      </c>
      <c r="J123" s="69"/>
      <c r="K123" s="61" t="s">
        <v>301</v>
      </c>
      <c r="L123" s="33" t="s">
        <v>191</v>
      </c>
      <c r="M123" s="33" t="s">
        <v>69</v>
      </c>
      <c r="N123" s="34" t="s">
        <v>70</v>
      </c>
      <c r="O123" s="33" t="s">
        <v>71</v>
      </c>
      <c r="P123" s="33" t="s">
        <v>72</v>
      </c>
      <c r="Q123" s="33" t="s">
        <v>73</v>
      </c>
      <c r="R123" s="33" t="s">
        <v>74</v>
      </c>
      <c r="S123" s="33" t="s">
        <v>75</v>
      </c>
      <c r="T123" s="33" t="s">
        <v>76</v>
      </c>
      <c r="U123" s="33" t="s">
        <v>77</v>
      </c>
      <c r="V123" s="33" t="s">
        <v>78</v>
      </c>
      <c r="W123" s="33" t="s">
        <v>79</v>
      </c>
      <c r="X123" s="33" t="s">
        <v>80</v>
      </c>
      <c r="Y123" s="33" t="s">
        <v>81</v>
      </c>
      <c r="Z123" s="33" t="s">
        <v>82</v>
      </c>
      <c r="AA123" s="33" t="s">
        <v>83</v>
      </c>
      <c r="AB123" s="33" t="s">
        <v>84</v>
      </c>
      <c r="AC123" s="33" t="s">
        <v>85</v>
      </c>
      <c r="AD123" s="33" t="s">
        <v>86</v>
      </c>
      <c r="AE123" s="33" t="s">
        <v>87</v>
      </c>
      <c r="AF123" s="33" t="s">
        <v>88</v>
      </c>
      <c r="AG123" s="33" t="s">
        <v>89</v>
      </c>
      <c r="AH123" s="33" t="s">
        <v>90</v>
      </c>
      <c r="AI123" s="33" t="s">
        <v>91</v>
      </c>
      <c r="AJ123" s="33" t="s">
        <v>92</v>
      </c>
      <c r="AK123" s="33" t="s">
        <v>93</v>
      </c>
      <c r="AL123" s="33" t="s">
        <v>94</v>
      </c>
      <c r="AM123" s="33" t="s">
        <v>95</v>
      </c>
      <c r="AN123" s="33" t="s">
        <v>96</v>
      </c>
      <c r="AO123" s="33" t="s">
        <v>97</v>
      </c>
      <c r="AP123" s="33" t="s">
        <v>98</v>
      </c>
      <c r="AQ123" s="33" t="s">
        <v>99</v>
      </c>
      <c r="AR123" s="33" t="s">
        <v>100</v>
      </c>
      <c r="AS123" s="33" t="s">
        <v>101</v>
      </c>
      <c r="AT123" s="33" t="s">
        <v>102</v>
      </c>
      <c r="AU123" s="33" t="s">
        <v>103</v>
      </c>
      <c r="AV123" s="33" t="s">
        <v>104</v>
      </c>
      <c r="AW123" s="33" t="s">
        <v>105</v>
      </c>
      <c r="AX123" s="33" t="s">
        <v>106</v>
      </c>
      <c r="AY123" s="33" t="s">
        <v>107</v>
      </c>
      <c r="AZ123" s="33" t="s">
        <v>108</v>
      </c>
      <c r="BA123" s="33" t="s">
        <v>109</v>
      </c>
      <c r="BB123" s="33" t="s">
        <v>110</v>
      </c>
      <c r="BC123" s="33" t="s">
        <v>111</v>
      </c>
      <c r="BD123" s="33" t="s">
        <v>112</v>
      </c>
      <c r="BE123" s="33" t="s">
        <v>113</v>
      </c>
      <c r="BF123" s="33" t="s">
        <v>114</v>
      </c>
      <c r="BG123" s="33" t="s">
        <v>115</v>
      </c>
      <c r="BH123" s="33" t="s">
        <v>116</v>
      </c>
      <c r="BI123" s="33" t="s">
        <v>117</v>
      </c>
      <c r="BJ123" s="33" t="s">
        <v>118</v>
      </c>
      <c r="BK123" s="33" t="s">
        <v>119</v>
      </c>
      <c r="BL123" s="33" t="s">
        <v>120</v>
      </c>
      <c r="BM123" s="33" t="s">
        <v>121</v>
      </c>
      <c r="BN123" s="33" t="s">
        <v>122</v>
      </c>
      <c r="BO123" s="33" t="s">
        <v>123</v>
      </c>
      <c r="BP123" s="33" t="s">
        <v>124</v>
      </c>
      <c r="BQ123" s="33" t="s">
        <v>125</v>
      </c>
      <c r="BR123" s="33" t="s">
        <v>126</v>
      </c>
      <c r="BS123" s="33" t="s">
        <v>127</v>
      </c>
      <c r="BT123" s="33" t="s">
        <v>128</v>
      </c>
      <c r="BU123" s="33" t="s">
        <v>129</v>
      </c>
      <c r="BV123" s="33" t="s">
        <v>130</v>
      </c>
      <c r="BW123" s="33" t="s">
        <v>131</v>
      </c>
      <c r="BX123" s="33" t="s">
        <v>132</v>
      </c>
      <c r="BY123" s="33" t="s">
        <v>133</v>
      </c>
      <c r="BZ123" s="33" t="s">
        <v>134</v>
      </c>
      <c r="CA123" s="33" t="s">
        <v>135</v>
      </c>
      <c r="CB123" s="33" t="s">
        <v>136</v>
      </c>
      <c r="CC123" s="33" t="s">
        <v>137</v>
      </c>
      <c r="CD123" s="33" t="s">
        <v>138</v>
      </c>
      <c r="CE123" s="33" t="s">
        <v>139</v>
      </c>
      <c r="CF123" s="33" t="s">
        <v>140</v>
      </c>
      <c r="CG123" s="33" t="s">
        <v>141</v>
      </c>
      <c r="CH123" s="33" t="s">
        <v>142</v>
      </c>
      <c r="CI123" s="33" t="s">
        <v>143</v>
      </c>
      <c r="CJ123" s="33" t="s">
        <v>144</v>
      </c>
      <c r="CK123" s="33" t="s">
        <v>145</v>
      </c>
      <c r="CL123" s="33" t="s">
        <v>146</v>
      </c>
      <c r="CM123" s="33" t="s">
        <v>147</v>
      </c>
      <c r="CN123" s="33" t="s">
        <v>148</v>
      </c>
      <c r="CO123" s="33" t="s">
        <v>149</v>
      </c>
      <c r="CP123" s="33" t="s">
        <v>150</v>
      </c>
      <c r="CQ123" s="33" t="s">
        <v>151</v>
      </c>
      <c r="CR123" s="33" t="s">
        <v>152</v>
      </c>
      <c r="CS123" s="33" t="s">
        <v>153</v>
      </c>
      <c r="CT123" s="33" t="s">
        <v>154</v>
      </c>
      <c r="CU123" s="33" t="s">
        <v>155</v>
      </c>
      <c r="CV123" s="33" t="s">
        <v>156</v>
      </c>
      <c r="CW123" s="33" t="s">
        <v>157</v>
      </c>
      <c r="CX123" s="33" t="s">
        <v>158</v>
      </c>
      <c r="CY123" s="33" t="s">
        <v>159</v>
      </c>
      <c r="CZ123" s="33" t="s">
        <v>160</v>
      </c>
      <c r="DA123" s="33" t="s">
        <v>161</v>
      </c>
      <c r="DB123" s="33" t="s">
        <v>162</v>
      </c>
      <c r="DC123" s="33" t="s">
        <v>163</v>
      </c>
      <c r="DD123" s="33" t="s">
        <v>164</v>
      </c>
      <c r="DE123" s="33" t="s">
        <v>165</v>
      </c>
      <c r="DF123" s="33" t="s">
        <v>166</v>
      </c>
      <c r="DG123" s="33" t="s">
        <v>167</v>
      </c>
      <c r="DH123" s="33" t="s">
        <v>168</v>
      </c>
      <c r="DI123" s="33" t="s">
        <v>169</v>
      </c>
      <c r="DJ123" s="33" t="s">
        <v>170</v>
      </c>
      <c r="DK123" s="33" t="s">
        <v>171</v>
      </c>
      <c r="DL123" s="33" t="s">
        <v>172</v>
      </c>
      <c r="DM123" s="33" t="s">
        <v>173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322</v>
      </c>
      <c r="F154" s="41"/>
      <c r="G154" s="41"/>
      <c r="H154" s="41"/>
      <c r="I154" s="8"/>
      <c r="J154" s="8" t="s">
        <v>178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303</v>
      </c>
      <c r="J156" s="48"/>
      <c r="N156" s="48"/>
    </row>
    <row r="157" spans="5:118" x14ac:dyDescent="0.35">
      <c r="E157" s="28" t="s">
        <v>62</v>
      </c>
      <c r="F157" s="32" t="s">
        <v>63</v>
      </c>
      <c r="G157" s="32" t="s">
        <v>304</v>
      </c>
      <c r="H157" s="32" t="s">
        <v>305</v>
      </c>
      <c r="I157" s="66" t="s">
        <v>300</v>
      </c>
      <c r="J157" s="69"/>
      <c r="K157" s="61" t="s">
        <v>301</v>
      </c>
      <c r="L157" s="33" t="s">
        <v>191</v>
      </c>
      <c r="M157" s="33" t="s">
        <v>69</v>
      </c>
      <c r="N157" s="34" t="s">
        <v>70</v>
      </c>
      <c r="O157" s="33" t="s">
        <v>71</v>
      </c>
      <c r="P157" s="33" t="s">
        <v>72</v>
      </c>
      <c r="Q157" s="33" t="s">
        <v>73</v>
      </c>
      <c r="R157" s="33" t="s">
        <v>74</v>
      </c>
      <c r="S157" s="33" t="s">
        <v>75</v>
      </c>
      <c r="T157" s="33" t="s">
        <v>76</v>
      </c>
      <c r="U157" s="33" t="s">
        <v>77</v>
      </c>
      <c r="V157" s="33" t="s">
        <v>78</v>
      </c>
      <c r="W157" s="33" t="s">
        <v>79</v>
      </c>
      <c r="X157" s="33" t="s">
        <v>80</v>
      </c>
      <c r="Y157" s="33" t="s">
        <v>81</v>
      </c>
      <c r="Z157" s="33" t="s">
        <v>82</v>
      </c>
      <c r="AA157" s="33" t="s">
        <v>83</v>
      </c>
      <c r="AB157" s="33" t="s">
        <v>84</v>
      </c>
      <c r="AC157" s="33" t="s">
        <v>85</v>
      </c>
      <c r="AD157" s="33" t="s">
        <v>86</v>
      </c>
      <c r="AE157" s="33" t="s">
        <v>87</v>
      </c>
      <c r="AF157" s="33" t="s">
        <v>88</v>
      </c>
      <c r="AG157" s="33" t="s">
        <v>89</v>
      </c>
      <c r="AH157" s="33" t="s">
        <v>90</v>
      </c>
      <c r="AI157" s="33" t="s">
        <v>91</v>
      </c>
      <c r="AJ157" s="33" t="s">
        <v>92</v>
      </c>
      <c r="AK157" s="33" t="s">
        <v>93</v>
      </c>
      <c r="AL157" s="33" t="s">
        <v>94</v>
      </c>
      <c r="AM157" s="33" t="s">
        <v>95</v>
      </c>
      <c r="AN157" s="33" t="s">
        <v>96</v>
      </c>
      <c r="AO157" s="33" t="s">
        <v>97</v>
      </c>
      <c r="AP157" s="33" t="s">
        <v>98</v>
      </c>
      <c r="AQ157" s="33" t="s">
        <v>99</v>
      </c>
      <c r="AR157" s="33" t="s">
        <v>100</v>
      </c>
      <c r="AS157" s="33" t="s">
        <v>101</v>
      </c>
      <c r="AT157" s="33" t="s">
        <v>102</v>
      </c>
      <c r="AU157" s="33" t="s">
        <v>103</v>
      </c>
      <c r="AV157" s="33" t="s">
        <v>104</v>
      </c>
      <c r="AW157" s="33" t="s">
        <v>105</v>
      </c>
      <c r="AX157" s="33" t="s">
        <v>106</v>
      </c>
      <c r="AY157" s="33" t="s">
        <v>107</v>
      </c>
      <c r="AZ157" s="33" t="s">
        <v>108</v>
      </c>
      <c r="BA157" s="33" t="s">
        <v>109</v>
      </c>
      <c r="BB157" s="33" t="s">
        <v>110</v>
      </c>
      <c r="BC157" s="33" t="s">
        <v>111</v>
      </c>
      <c r="BD157" s="33" t="s">
        <v>112</v>
      </c>
      <c r="BE157" s="33" t="s">
        <v>113</v>
      </c>
      <c r="BF157" s="33" t="s">
        <v>114</v>
      </c>
      <c r="BG157" s="33" t="s">
        <v>115</v>
      </c>
      <c r="BH157" s="33" t="s">
        <v>116</v>
      </c>
      <c r="BI157" s="33" t="s">
        <v>117</v>
      </c>
      <c r="BJ157" s="33" t="s">
        <v>118</v>
      </c>
      <c r="BK157" s="33" t="s">
        <v>119</v>
      </c>
      <c r="BL157" s="33" t="s">
        <v>120</v>
      </c>
      <c r="BM157" s="33" t="s">
        <v>121</v>
      </c>
      <c r="BN157" s="33" t="s">
        <v>122</v>
      </c>
      <c r="BO157" s="33" t="s">
        <v>123</v>
      </c>
      <c r="BP157" s="33" t="s">
        <v>124</v>
      </c>
      <c r="BQ157" s="33" t="s">
        <v>125</v>
      </c>
      <c r="BR157" s="33" t="s">
        <v>126</v>
      </c>
      <c r="BS157" s="33" t="s">
        <v>127</v>
      </c>
      <c r="BT157" s="33" t="s">
        <v>128</v>
      </c>
      <c r="BU157" s="33" t="s">
        <v>129</v>
      </c>
      <c r="BV157" s="33" t="s">
        <v>130</v>
      </c>
      <c r="BW157" s="33" t="s">
        <v>131</v>
      </c>
      <c r="BX157" s="33" t="s">
        <v>132</v>
      </c>
      <c r="BY157" s="33" t="s">
        <v>133</v>
      </c>
      <c r="BZ157" s="33" t="s">
        <v>134</v>
      </c>
      <c r="CA157" s="33" t="s">
        <v>135</v>
      </c>
      <c r="CB157" s="33" t="s">
        <v>136</v>
      </c>
      <c r="CC157" s="33" t="s">
        <v>137</v>
      </c>
      <c r="CD157" s="33" t="s">
        <v>138</v>
      </c>
      <c r="CE157" s="33" t="s">
        <v>139</v>
      </c>
      <c r="CF157" s="33" t="s">
        <v>140</v>
      </c>
      <c r="CG157" s="33" t="s">
        <v>141</v>
      </c>
      <c r="CH157" s="33" t="s">
        <v>142</v>
      </c>
      <c r="CI157" s="33" t="s">
        <v>143</v>
      </c>
      <c r="CJ157" s="33" t="s">
        <v>144</v>
      </c>
      <c r="CK157" s="33" t="s">
        <v>145</v>
      </c>
      <c r="CL157" s="33" t="s">
        <v>146</v>
      </c>
      <c r="CM157" s="33" t="s">
        <v>147</v>
      </c>
      <c r="CN157" s="33" t="s">
        <v>148</v>
      </c>
      <c r="CO157" s="33" t="s">
        <v>149</v>
      </c>
      <c r="CP157" s="33" t="s">
        <v>150</v>
      </c>
      <c r="CQ157" s="33" t="s">
        <v>151</v>
      </c>
      <c r="CR157" s="33" t="s">
        <v>152</v>
      </c>
      <c r="CS157" s="33" t="s">
        <v>153</v>
      </c>
      <c r="CT157" s="33" t="s">
        <v>154</v>
      </c>
      <c r="CU157" s="33" t="s">
        <v>155</v>
      </c>
      <c r="CV157" s="33" t="s">
        <v>156</v>
      </c>
      <c r="CW157" s="33" t="s">
        <v>157</v>
      </c>
      <c r="CX157" s="33" t="s">
        <v>158</v>
      </c>
      <c r="CY157" s="33" t="s">
        <v>159</v>
      </c>
      <c r="CZ157" s="33" t="s">
        <v>160</v>
      </c>
      <c r="DA157" s="33" t="s">
        <v>161</v>
      </c>
      <c r="DB157" s="33" t="s">
        <v>162</v>
      </c>
      <c r="DC157" s="33" t="s">
        <v>163</v>
      </c>
      <c r="DD157" s="33" t="s">
        <v>164</v>
      </c>
      <c r="DE157" s="33" t="s">
        <v>165</v>
      </c>
      <c r="DF157" s="33" t="s">
        <v>166</v>
      </c>
      <c r="DG157" s="33" t="s">
        <v>167</v>
      </c>
      <c r="DH157" s="33" t="s">
        <v>168</v>
      </c>
      <c r="DI157" s="33" t="s">
        <v>169</v>
      </c>
      <c r="DJ157" s="33" t="s">
        <v>170</v>
      </c>
      <c r="DK157" s="33" t="s">
        <v>171</v>
      </c>
      <c r="DL157" s="33" t="s">
        <v>172</v>
      </c>
      <c r="DM157" s="33" t="s">
        <v>173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323</v>
      </c>
      <c r="F188" s="41"/>
      <c r="G188" s="41"/>
      <c r="H188" s="41"/>
      <c r="I188" s="8"/>
      <c r="J188" s="8" t="s">
        <v>178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307</v>
      </c>
      <c r="M190" s="50" t="s">
        <v>69</v>
      </c>
      <c r="N190" s="51" t="s">
        <v>70</v>
      </c>
      <c r="O190" s="51" t="s">
        <v>71</v>
      </c>
      <c r="P190" s="51" t="s">
        <v>72</v>
      </c>
      <c r="Q190" s="51" t="s">
        <v>73</v>
      </c>
      <c r="R190" s="51" t="s">
        <v>74</v>
      </c>
      <c r="S190" s="51" t="s">
        <v>75</v>
      </c>
      <c r="T190" s="51" t="s">
        <v>76</v>
      </c>
      <c r="U190" s="51" t="s">
        <v>77</v>
      </c>
      <c r="V190" s="51" t="s">
        <v>78</v>
      </c>
      <c r="W190" s="51" t="s">
        <v>79</v>
      </c>
      <c r="X190" s="51" t="s">
        <v>80</v>
      </c>
      <c r="Y190" s="51" t="s">
        <v>81</v>
      </c>
      <c r="Z190" s="51" t="s">
        <v>82</v>
      </c>
      <c r="AA190" s="51" t="s">
        <v>83</v>
      </c>
      <c r="AB190" s="51" t="s">
        <v>84</v>
      </c>
      <c r="AC190" s="51" t="s">
        <v>85</v>
      </c>
      <c r="AD190" s="51" t="s">
        <v>86</v>
      </c>
      <c r="AE190" s="51" t="s">
        <v>87</v>
      </c>
      <c r="AF190" s="51" t="s">
        <v>88</v>
      </c>
      <c r="AG190" s="51" t="s">
        <v>89</v>
      </c>
      <c r="AH190" s="51" t="s">
        <v>90</v>
      </c>
      <c r="AI190" s="51" t="s">
        <v>91</v>
      </c>
      <c r="AJ190" s="51" t="s">
        <v>92</v>
      </c>
      <c r="AK190" s="51" t="s">
        <v>93</v>
      </c>
      <c r="AL190" s="51" t="s">
        <v>94</v>
      </c>
      <c r="AM190" s="51" t="s">
        <v>95</v>
      </c>
      <c r="AN190" s="51" t="s">
        <v>96</v>
      </c>
      <c r="AO190" s="51" t="s">
        <v>97</v>
      </c>
      <c r="AP190" s="51" t="s">
        <v>98</v>
      </c>
      <c r="AQ190" s="51" t="s">
        <v>99</v>
      </c>
      <c r="AR190" s="51" t="s">
        <v>100</v>
      </c>
      <c r="AS190" s="51" t="s">
        <v>101</v>
      </c>
      <c r="AT190" s="51" t="s">
        <v>102</v>
      </c>
      <c r="AU190" s="51" t="s">
        <v>103</v>
      </c>
      <c r="AV190" s="51" t="s">
        <v>104</v>
      </c>
      <c r="AW190" s="51" t="s">
        <v>105</v>
      </c>
      <c r="AX190" s="51" t="s">
        <v>106</v>
      </c>
      <c r="AY190" s="51" t="s">
        <v>107</v>
      </c>
      <c r="AZ190" s="51" t="s">
        <v>108</v>
      </c>
      <c r="BA190" s="51" t="s">
        <v>109</v>
      </c>
      <c r="BB190" s="51" t="s">
        <v>110</v>
      </c>
      <c r="BC190" s="51" t="s">
        <v>111</v>
      </c>
      <c r="BD190" s="51" t="s">
        <v>112</v>
      </c>
      <c r="BE190" s="51" t="s">
        <v>113</v>
      </c>
      <c r="BF190" s="51" t="s">
        <v>114</v>
      </c>
      <c r="BG190" s="51" t="s">
        <v>115</v>
      </c>
      <c r="BH190" s="51" t="s">
        <v>116</v>
      </c>
      <c r="BI190" s="51" t="s">
        <v>117</v>
      </c>
      <c r="BJ190" s="51" t="s">
        <v>118</v>
      </c>
      <c r="BK190" s="51" t="s">
        <v>119</v>
      </c>
      <c r="BL190" s="51" t="s">
        <v>120</v>
      </c>
      <c r="BM190" s="51" t="s">
        <v>121</v>
      </c>
      <c r="BN190" s="51" t="s">
        <v>122</v>
      </c>
      <c r="BO190" s="51" t="s">
        <v>123</v>
      </c>
      <c r="BP190" s="51" t="s">
        <v>124</v>
      </c>
      <c r="BQ190" s="51" t="s">
        <v>125</v>
      </c>
      <c r="BR190" s="51" t="s">
        <v>126</v>
      </c>
      <c r="BS190" s="51" t="s">
        <v>127</v>
      </c>
      <c r="BT190" s="51" t="s">
        <v>128</v>
      </c>
      <c r="BU190" s="51" t="s">
        <v>129</v>
      </c>
      <c r="BV190" s="51" t="s">
        <v>130</v>
      </c>
      <c r="BW190" s="51" t="s">
        <v>131</v>
      </c>
      <c r="BX190" s="51" t="s">
        <v>132</v>
      </c>
      <c r="BY190" s="51" t="s">
        <v>133</v>
      </c>
      <c r="BZ190" s="51" t="s">
        <v>134</v>
      </c>
      <c r="CA190" s="51" t="s">
        <v>135</v>
      </c>
      <c r="CB190" s="51" t="s">
        <v>136</v>
      </c>
      <c r="CC190" s="51" t="s">
        <v>137</v>
      </c>
      <c r="CD190" s="51" t="s">
        <v>138</v>
      </c>
      <c r="CE190" s="51" t="s">
        <v>139</v>
      </c>
      <c r="CF190" s="51" t="s">
        <v>140</v>
      </c>
      <c r="CG190" s="51" t="s">
        <v>141</v>
      </c>
      <c r="CH190" s="51" t="s">
        <v>142</v>
      </c>
      <c r="CI190" s="51" t="s">
        <v>143</v>
      </c>
      <c r="CJ190" s="51" t="s">
        <v>144</v>
      </c>
      <c r="CK190" s="51" t="s">
        <v>145</v>
      </c>
      <c r="CL190" s="51" t="s">
        <v>146</v>
      </c>
      <c r="CM190" s="51" t="s">
        <v>147</v>
      </c>
      <c r="CN190" s="51" t="s">
        <v>148</v>
      </c>
      <c r="CO190" s="51" t="s">
        <v>149</v>
      </c>
      <c r="CP190" s="51" t="s">
        <v>150</v>
      </c>
      <c r="CQ190" s="51" t="s">
        <v>151</v>
      </c>
      <c r="CR190" s="51" t="s">
        <v>152</v>
      </c>
      <c r="CS190" s="51" t="s">
        <v>153</v>
      </c>
      <c r="CT190" s="51" t="s">
        <v>154</v>
      </c>
      <c r="CU190" s="51" t="s">
        <v>155</v>
      </c>
      <c r="CV190" s="51" t="s">
        <v>156</v>
      </c>
      <c r="CW190" s="51" t="s">
        <v>157</v>
      </c>
      <c r="CX190" s="51" t="s">
        <v>158</v>
      </c>
      <c r="CY190" s="51" t="s">
        <v>159</v>
      </c>
      <c r="CZ190" s="51" t="s">
        <v>160</v>
      </c>
      <c r="DA190" s="51" t="s">
        <v>161</v>
      </c>
      <c r="DB190" s="51" t="s">
        <v>162</v>
      </c>
      <c r="DC190" s="51" t="s">
        <v>163</v>
      </c>
      <c r="DD190" s="51" t="s">
        <v>164</v>
      </c>
      <c r="DE190" s="51" t="s">
        <v>165</v>
      </c>
      <c r="DF190" s="51" t="s">
        <v>166</v>
      </c>
      <c r="DG190" s="51" t="s">
        <v>167</v>
      </c>
      <c r="DH190" s="51" t="s">
        <v>168</v>
      </c>
      <c r="DI190" s="51" t="s">
        <v>169</v>
      </c>
      <c r="DJ190" s="51" t="s">
        <v>170</v>
      </c>
      <c r="DK190" s="51" t="s">
        <v>171</v>
      </c>
      <c r="DL190" s="51" t="s">
        <v>172</v>
      </c>
      <c r="DM190" s="52" t="s">
        <v>173</v>
      </c>
    </row>
    <row r="191" spans="5:118" x14ac:dyDescent="0.35">
      <c r="K191" s="7" t="s">
        <v>308</v>
      </c>
      <c r="L191" s="53">
        <f>SUM(L188,L154,L70)</f>
        <v>8543600</v>
      </c>
      <c r="M191" s="39">
        <f>SUM(M188,M154,M70)</f>
        <v>4240</v>
      </c>
      <c r="N191" s="5">
        <f>SUM(N188,N154,N70)</f>
        <v>80</v>
      </c>
      <c r="O191" s="5">
        <f t="shared" ref="O191:BZ191" si="36">SUM(O188,O154,O70)</f>
        <v>80</v>
      </c>
      <c r="P191" s="5">
        <f t="shared" si="36"/>
        <v>80</v>
      </c>
      <c r="Q191" s="5">
        <f t="shared" si="36"/>
        <v>80</v>
      </c>
      <c r="R191" s="5">
        <f t="shared" si="36"/>
        <v>80</v>
      </c>
      <c r="S191" s="5">
        <f t="shared" si="36"/>
        <v>80</v>
      </c>
      <c r="T191" s="5">
        <f t="shared" si="36"/>
        <v>80</v>
      </c>
      <c r="U191" s="5">
        <f t="shared" si="36"/>
        <v>80</v>
      </c>
      <c r="V191" s="5">
        <f t="shared" si="36"/>
        <v>80</v>
      </c>
      <c r="W191" s="5">
        <f t="shared" si="36"/>
        <v>80</v>
      </c>
      <c r="X191" s="5">
        <f t="shared" si="36"/>
        <v>80</v>
      </c>
      <c r="Y191" s="5">
        <f t="shared" si="36"/>
        <v>80</v>
      </c>
      <c r="Z191" s="5">
        <f t="shared" si="36"/>
        <v>80</v>
      </c>
      <c r="AA191" s="5">
        <f t="shared" si="36"/>
        <v>80</v>
      </c>
      <c r="AB191" s="5">
        <f t="shared" si="36"/>
        <v>80</v>
      </c>
      <c r="AC191" s="5">
        <f t="shared" si="36"/>
        <v>80</v>
      </c>
      <c r="AD191" s="5">
        <f t="shared" si="36"/>
        <v>80</v>
      </c>
      <c r="AE191" s="5">
        <f t="shared" si="36"/>
        <v>80</v>
      </c>
      <c r="AF191" s="5">
        <f t="shared" si="36"/>
        <v>80</v>
      </c>
      <c r="AG191" s="5">
        <f t="shared" si="36"/>
        <v>80</v>
      </c>
      <c r="AH191" s="5">
        <f t="shared" si="36"/>
        <v>80</v>
      </c>
      <c r="AI191" s="5">
        <f t="shared" si="36"/>
        <v>80</v>
      </c>
      <c r="AJ191" s="5">
        <f t="shared" si="36"/>
        <v>80</v>
      </c>
      <c r="AK191" s="5">
        <f t="shared" si="36"/>
        <v>80</v>
      </c>
      <c r="AL191" s="5">
        <f t="shared" si="36"/>
        <v>80</v>
      </c>
      <c r="AM191" s="5">
        <f t="shared" si="36"/>
        <v>80</v>
      </c>
      <c r="AN191" s="5">
        <f t="shared" si="36"/>
        <v>80</v>
      </c>
      <c r="AO191" s="5">
        <f t="shared" si="36"/>
        <v>80</v>
      </c>
      <c r="AP191" s="5">
        <f t="shared" si="36"/>
        <v>80</v>
      </c>
      <c r="AQ191" s="5">
        <f t="shared" si="36"/>
        <v>80</v>
      </c>
      <c r="AR191" s="5">
        <f t="shared" si="36"/>
        <v>80</v>
      </c>
      <c r="AS191" s="5">
        <f t="shared" si="36"/>
        <v>80</v>
      </c>
      <c r="AT191" s="5">
        <f t="shared" si="36"/>
        <v>80</v>
      </c>
      <c r="AU191" s="5">
        <f t="shared" si="36"/>
        <v>80</v>
      </c>
      <c r="AV191" s="5">
        <f t="shared" si="36"/>
        <v>80</v>
      </c>
      <c r="AW191" s="5">
        <f t="shared" si="36"/>
        <v>80</v>
      </c>
      <c r="AX191" s="5">
        <f t="shared" si="36"/>
        <v>80</v>
      </c>
      <c r="AY191" s="5">
        <f t="shared" si="36"/>
        <v>80</v>
      </c>
      <c r="AZ191" s="5">
        <f t="shared" si="36"/>
        <v>80</v>
      </c>
      <c r="BA191" s="5">
        <f t="shared" si="36"/>
        <v>80</v>
      </c>
      <c r="BB191" s="5">
        <f t="shared" si="36"/>
        <v>80</v>
      </c>
      <c r="BC191" s="5">
        <f t="shared" si="36"/>
        <v>80</v>
      </c>
      <c r="BD191" s="5">
        <f t="shared" si="36"/>
        <v>80</v>
      </c>
      <c r="BE191" s="5">
        <f t="shared" si="36"/>
        <v>80</v>
      </c>
      <c r="BF191" s="5">
        <f t="shared" si="36"/>
        <v>80</v>
      </c>
      <c r="BG191" s="5">
        <f t="shared" si="36"/>
        <v>80</v>
      </c>
      <c r="BH191" s="5">
        <f t="shared" si="36"/>
        <v>80</v>
      </c>
      <c r="BI191" s="5">
        <f t="shared" si="36"/>
        <v>80</v>
      </c>
      <c r="BJ191" s="5">
        <f t="shared" si="36"/>
        <v>80</v>
      </c>
      <c r="BK191" s="5">
        <f t="shared" si="36"/>
        <v>80</v>
      </c>
      <c r="BL191" s="5">
        <f t="shared" si="36"/>
        <v>80</v>
      </c>
      <c r="BM191" s="5">
        <f t="shared" si="36"/>
        <v>80</v>
      </c>
      <c r="BN191" s="5">
        <f t="shared" si="36"/>
        <v>80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168" t="s">
        <v>309</v>
      </c>
      <c r="L192" s="169"/>
      <c r="M192" s="170"/>
      <c r="N192" s="54">
        <f>SUMPRODUCT(N158:N187,$I$158:$I$187)+SUMPRODUCT(N124:N153,$I$124:$I$153)+SUMPRODUCT(N20:N69,$I$20:$I$69)</f>
        <v>0</v>
      </c>
      <c r="O192" s="54">
        <f t="shared" ref="O192:BZ192" si="38">SUMPRODUCT(O158:O187,$I$158:$I$187)+SUMPRODUCT(O124:O153,$I$124:$I$153)+SUMPRODUCT(O20:O69,$I$20:$I$69)</f>
        <v>0</v>
      </c>
      <c r="P192" s="54">
        <f t="shared" si="38"/>
        <v>0</v>
      </c>
      <c r="Q192" s="54">
        <f t="shared" si="38"/>
        <v>0</v>
      </c>
      <c r="R192" s="54">
        <f t="shared" si="38"/>
        <v>0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algorithmName="SHA-512" hashValue="UrP5cqhnMVqOcracUOeu7owf3R7Atl7hav+wTKfavtBSVxpaOJ3OTShsSTSWRaUqrANvbbF1e7vd/nfqhsddLA==" saltValue="b6uBXMmILmhRCBRCL2h+hA==" spinCount="100000" sheet="1" objects="1" scenarios="1"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FBD8C-052D-4195-AC74-48E362224BA8}">
  <dimension ref="B1:U21"/>
  <sheetViews>
    <sheetView showGridLines="0" workbookViewId="0">
      <selection activeCell="M14" sqref="M14"/>
    </sheetView>
  </sheetViews>
  <sheetFormatPr defaultColWidth="8.7265625" defaultRowHeight="12" x14ac:dyDescent="0.3"/>
  <cols>
    <col min="1" max="1" width="2.1796875" style="137" customWidth="1"/>
    <col min="2" max="2" width="3.81640625" style="137" customWidth="1"/>
    <col min="3" max="3" width="8.453125" style="137" bestFit="1" customWidth="1"/>
    <col min="4" max="4" width="5.81640625" style="137" bestFit="1" customWidth="1"/>
    <col min="5" max="6" width="7.1796875" style="137" bestFit="1" customWidth="1"/>
    <col min="7" max="7" width="6.81640625" style="137" bestFit="1" customWidth="1"/>
    <col min="8" max="8" width="5.453125" style="137" bestFit="1" customWidth="1"/>
    <col min="9" max="9" width="7.1796875" style="137" bestFit="1" customWidth="1"/>
    <col min="10" max="10" width="10.7265625" style="137" bestFit="1" customWidth="1"/>
    <col min="11" max="12" width="6.81640625" style="137" bestFit="1" customWidth="1"/>
    <col min="13" max="13" width="17.1796875" style="137" customWidth="1"/>
    <col min="14" max="14" width="3.26953125" style="137" customWidth="1"/>
    <col min="15" max="15" width="5.7265625" style="137" bestFit="1" customWidth="1"/>
    <col min="16" max="16" width="10.26953125" style="137" bestFit="1" customWidth="1"/>
    <col min="17" max="17" width="11.453125" style="137" bestFit="1" customWidth="1"/>
    <col min="18" max="18" width="17.54296875" style="137" bestFit="1" customWidth="1"/>
    <col min="19" max="19" width="9.81640625" style="137" bestFit="1" customWidth="1"/>
    <col min="20" max="20" width="11.81640625" style="137" customWidth="1"/>
    <col min="21" max="21" width="10.453125" style="137" bestFit="1" customWidth="1"/>
    <col min="22" max="16384" width="8.7265625" style="137"/>
  </cols>
  <sheetData>
    <row r="1" spans="2:21" ht="5.5" customHeight="1" x14ac:dyDescent="0.3"/>
    <row r="2" spans="2:21" x14ac:dyDescent="0.3">
      <c r="C2" s="174" t="s">
        <v>324</v>
      </c>
      <c r="D2" s="174"/>
      <c r="E2" s="174"/>
      <c r="F2" s="174"/>
      <c r="G2" s="174"/>
      <c r="H2" s="174"/>
      <c r="I2" s="138">
        <v>22</v>
      </c>
    </row>
    <row r="3" spans="2:21" x14ac:dyDescent="0.3">
      <c r="C3" s="174" t="s">
        <v>325</v>
      </c>
      <c r="D3" s="174"/>
      <c r="E3" s="174"/>
      <c r="F3" s="174"/>
      <c r="G3" s="174"/>
      <c r="H3" s="174"/>
      <c r="I3" s="138">
        <v>1.2999999999999999E-2</v>
      </c>
    </row>
    <row r="4" spans="2:21" x14ac:dyDescent="0.3">
      <c r="C4" s="174" t="s">
        <v>326</v>
      </c>
      <c r="D4" s="174"/>
      <c r="E4" s="174"/>
      <c r="F4" s="174"/>
      <c r="G4" s="174"/>
      <c r="H4" s="174"/>
      <c r="I4" s="138">
        <v>8</v>
      </c>
    </row>
    <row r="5" spans="2:21" x14ac:dyDescent="0.3">
      <c r="E5" s="139"/>
      <c r="F5" s="139"/>
      <c r="G5" s="139"/>
      <c r="O5" s="175" t="s">
        <v>327</v>
      </c>
      <c r="P5" s="175"/>
      <c r="Q5" s="175"/>
      <c r="R5" s="175"/>
      <c r="S5" s="175"/>
      <c r="T5" s="175"/>
    </row>
    <row r="6" spans="2:21" ht="14.5" customHeight="1" x14ac:dyDescent="0.3">
      <c r="D6" s="176" t="s">
        <v>328</v>
      </c>
      <c r="E6" s="176"/>
      <c r="F6" s="176"/>
      <c r="G6" s="176"/>
      <c r="H6" s="176"/>
      <c r="I6" s="176"/>
      <c r="J6" s="177" t="s">
        <v>329</v>
      </c>
      <c r="K6" s="178"/>
      <c r="L6" s="178"/>
    </row>
    <row r="7" spans="2:21" ht="36" x14ac:dyDescent="0.3">
      <c r="B7" s="140" t="s">
        <v>330</v>
      </c>
      <c r="C7" s="140" t="s">
        <v>331</v>
      </c>
      <c r="D7" s="141" t="s">
        <v>332</v>
      </c>
      <c r="E7" s="141" t="s">
        <v>333</v>
      </c>
      <c r="F7" s="141" t="s">
        <v>334</v>
      </c>
      <c r="G7" s="141" t="s">
        <v>335</v>
      </c>
      <c r="H7" s="141" t="s">
        <v>336</v>
      </c>
      <c r="I7" s="141" t="s">
        <v>337</v>
      </c>
      <c r="J7" s="141" t="s">
        <v>338</v>
      </c>
      <c r="K7" s="141" t="s">
        <v>339</v>
      </c>
      <c r="L7" s="141" t="s">
        <v>340</v>
      </c>
      <c r="M7" s="160" t="s">
        <v>341</v>
      </c>
      <c r="O7" s="142" t="s">
        <v>342</v>
      </c>
      <c r="P7" s="142" t="s">
        <v>343</v>
      </c>
      <c r="Q7" s="142" t="s">
        <v>365</v>
      </c>
      <c r="R7" s="142" t="s">
        <v>344</v>
      </c>
      <c r="S7" s="142" t="s">
        <v>345</v>
      </c>
      <c r="T7" s="143" t="s">
        <v>346</v>
      </c>
      <c r="U7" s="143" t="s">
        <v>347</v>
      </c>
    </row>
    <row r="8" spans="2:21" s="145" customFormat="1" ht="36" x14ac:dyDescent="0.35">
      <c r="B8" s="155">
        <v>1</v>
      </c>
      <c r="C8" s="136" t="s">
        <v>175</v>
      </c>
      <c r="D8" s="155" t="s">
        <v>363</v>
      </c>
      <c r="E8" s="155" t="s">
        <v>364</v>
      </c>
      <c r="F8" s="155">
        <v>9</v>
      </c>
      <c r="G8" s="155">
        <v>500923</v>
      </c>
      <c r="H8" s="156">
        <v>28000</v>
      </c>
      <c r="I8" s="155">
        <f>F8*G8</f>
        <v>4508307</v>
      </c>
      <c r="J8" s="155">
        <v>9</v>
      </c>
      <c r="K8" s="155">
        <f>SUM(T11:T19)</f>
        <v>183</v>
      </c>
      <c r="L8" s="155">
        <f>K8*$I$4</f>
        <v>1464</v>
      </c>
      <c r="M8" s="161" t="s">
        <v>368</v>
      </c>
      <c r="O8" s="157" t="s">
        <v>348</v>
      </c>
      <c r="P8" s="158">
        <v>22</v>
      </c>
      <c r="Q8" s="158">
        <v>1</v>
      </c>
      <c r="R8" s="162">
        <v>46048</v>
      </c>
      <c r="S8" s="158">
        <v>1</v>
      </c>
      <c r="T8" s="159">
        <f>P8-Q8-S8</f>
        <v>20</v>
      </c>
      <c r="U8" s="159">
        <f>T8*$I$4</f>
        <v>160</v>
      </c>
    </row>
    <row r="9" spans="2:21" x14ac:dyDescent="0.3">
      <c r="B9" s="145"/>
      <c r="F9" s="138"/>
      <c r="G9" s="138"/>
      <c r="H9" s="138"/>
      <c r="I9" s="138">
        <f>SUM(I8)</f>
        <v>4508307</v>
      </c>
      <c r="J9" s="138"/>
      <c r="K9" s="138"/>
      <c r="L9" s="138">
        <f>SUM(L8:L8)</f>
        <v>1464</v>
      </c>
      <c r="O9" s="140" t="s">
        <v>350</v>
      </c>
      <c r="P9" s="144">
        <v>20</v>
      </c>
      <c r="Q9" s="144">
        <v>0</v>
      </c>
      <c r="R9" s="144"/>
      <c r="S9" s="144">
        <v>1</v>
      </c>
      <c r="T9" s="159">
        <f t="shared" ref="T9" si="0">P9-Q9-S9</f>
        <v>19</v>
      </c>
      <c r="U9" s="159">
        <f t="shared" ref="U9:U20" si="1">T9*$I$4</f>
        <v>152</v>
      </c>
    </row>
    <row r="10" spans="2:21" x14ac:dyDescent="0.3">
      <c r="O10" s="140" t="s">
        <v>349</v>
      </c>
      <c r="P10" s="144">
        <v>22</v>
      </c>
      <c r="Q10" s="144">
        <v>1</v>
      </c>
      <c r="R10" s="167">
        <v>46100</v>
      </c>
      <c r="S10" s="144">
        <v>1</v>
      </c>
      <c r="T10" s="159">
        <f>P10-Q10-S10</f>
        <v>20</v>
      </c>
      <c r="U10" s="144">
        <f t="shared" si="1"/>
        <v>160</v>
      </c>
    </row>
    <row r="11" spans="2:21" x14ac:dyDescent="0.3">
      <c r="O11" s="166" t="s">
        <v>363</v>
      </c>
      <c r="P11" s="163">
        <v>22</v>
      </c>
      <c r="Q11" s="163">
        <v>0</v>
      </c>
      <c r="R11" s="163"/>
      <c r="S11" s="166">
        <v>1</v>
      </c>
      <c r="T11" s="165">
        <f t="shared" ref="T11:T19" si="2">P11-Q11-S11</f>
        <v>21</v>
      </c>
      <c r="U11" s="159">
        <f>T11*$I$4</f>
        <v>168</v>
      </c>
    </row>
    <row r="12" spans="2:21" x14ac:dyDescent="0.3">
      <c r="O12" s="163" t="s">
        <v>369</v>
      </c>
      <c r="P12" s="163">
        <v>21</v>
      </c>
      <c r="Q12" s="163">
        <v>1</v>
      </c>
      <c r="R12" s="164">
        <v>46143</v>
      </c>
      <c r="S12" s="163">
        <v>1</v>
      </c>
      <c r="T12" s="165">
        <f t="shared" si="2"/>
        <v>19</v>
      </c>
      <c r="U12" s="159">
        <f t="shared" si="1"/>
        <v>152</v>
      </c>
    </row>
    <row r="13" spans="2:21" x14ac:dyDescent="0.3">
      <c r="C13" s="154" t="s">
        <v>351</v>
      </c>
      <c r="O13" s="163" t="s">
        <v>370</v>
      </c>
      <c r="P13" s="163">
        <v>22</v>
      </c>
      <c r="Q13" s="163">
        <v>0</v>
      </c>
      <c r="R13" s="163"/>
      <c r="S13" s="163">
        <v>1</v>
      </c>
      <c r="T13" s="165">
        <f t="shared" si="2"/>
        <v>21</v>
      </c>
      <c r="U13" s="159">
        <f t="shared" si="1"/>
        <v>168</v>
      </c>
    </row>
    <row r="14" spans="2:21" x14ac:dyDescent="0.3">
      <c r="C14" s="146" t="s">
        <v>352</v>
      </c>
      <c r="D14" s="147"/>
      <c r="E14" s="147"/>
      <c r="F14" s="148">
        <f>I9</f>
        <v>4508307</v>
      </c>
      <c r="O14" s="166" t="s">
        <v>371</v>
      </c>
      <c r="P14" s="163">
        <v>23</v>
      </c>
      <c r="Q14" s="163">
        <v>0</v>
      </c>
      <c r="R14" s="163"/>
      <c r="S14" s="166">
        <v>1</v>
      </c>
      <c r="T14" s="165">
        <f t="shared" si="2"/>
        <v>22</v>
      </c>
      <c r="U14" s="159">
        <f t="shared" si="1"/>
        <v>176</v>
      </c>
    </row>
    <row r="15" spans="2:21" x14ac:dyDescent="0.3">
      <c r="C15" s="149"/>
      <c r="F15" s="150"/>
      <c r="O15" s="163" t="s">
        <v>372</v>
      </c>
      <c r="P15" s="163">
        <v>21</v>
      </c>
      <c r="Q15" s="163">
        <v>0</v>
      </c>
      <c r="R15" s="163"/>
      <c r="S15" s="163">
        <v>1</v>
      </c>
      <c r="T15" s="165">
        <f t="shared" si="2"/>
        <v>20</v>
      </c>
      <c r="U15" s="159">
        <f t="shared" si="1"/>
        <v>160</v>
      </c>
    </row>
    <row r="16" spans="2:21" x14ac:dyDescent="0.3">
      <c r="C16" s="149" t="s">
        <v>353</v>
      </c>
      <c r="F16" s="150"/>
      <c r="O16" s="163" t="s">
        <v>373</v>
      </c>
      <c r="P16" s="163">
        <v>22</v>
      </c>
      <c r="Q16" s="163">
        <v>0</v>
      </c>
      <c r="R16" s="163"/>
      <c r="S16" s="163">
        <v>1</v>
      </c>
      <c r="T16" s="165">
        <f t="shared" si="2"/>
        <v>21</v>
      </c>
      <c r="U16" s="159">
        <f t="shared" si="1"/>
        <v>168</v>
      </c>
    </row>
    <row r="17" spans="3:21" x14ac:dyDescent="0.3">
      <c r="C17" s="149"/>
      <c r="D17" s="137" t="s">
        <v>366</v>
      </c>
      <c r="F17" s="150">
        <f>$G$8</f>
        <v>500923</v>
      </c>
      <c r="O17" s="166" t="s">
        <v>374</v>
      </c>
      <c r="P17" s="163">
        <v>22</v>
      </c>
      <c r="Q17" s="163">
        <v>2</v>
      </c>
      <c r="R17" s="164" t="s">
        <v>376</v>
      </c>
      <c r="S17" s="166">
        <v>1</v>
      </c>
      <c r="T17" s="165">
        <f t="shared" si="2"/>
        <v>19</v>
      </c>
      <c r="U17" s="159">
        <f t="shared" si="1"/>
        <v>152</v>
      </c>
    </row>
    <row r="18" spans="3:21" x14ac:dyDescent="0.3">
      <c r="C18" s="149"/>
      <c r="F18" s="150"/>
      <c r="O18" s="163" t="s">
        <v>375</v>
      </c>
      <c r="P18" s="163">
        <v>21</v>
      </c>
      <c r="Q18" s="163">
        <v>1</v>
      </c>
      <c r="R18" s="164">
        <v>46336</v>
      </c>
      <c r="S18" s="163">
        <v>1</v>
      </c>
      <c r="T18" s="165">
        <f t="shared" si="2"/>
        <v>19</v>
      </c>
      <c r="U18" s="159">
        <f t="shared" si="1"/>
        <v>152</v>
      </c>
    </row>
    <row r="19" spans="3:21" x14ac:dyDescent="0.3">
      <c r="C19" s="149"/>
      <c r="F19" s="150"/>
      <c r="O19" s="163" t="s">
        <v>364</v>
      </c>
      <c r="P19" s="163">
        <v>23</v>
      </c>
      <c r="Q19" s="163">
        <v>1</v>
      </c>
      <c r="R19" s="164">
        <v>46381</v>
      </c>
      <c r="S19" s="163">
        <v>1</v>
      </c>
      <c r="T19" s="165">
        <f t="shared" si="2"/>
        <v>21</v>
      </c>
      <c r="U19" s="159">
        <f t="shared" si="1"/>
        <v>168</v>
      </c>
    </row>
    <row r="20" spans="3:21" x14ac:dyDescent="0.3">
      <c r="C20" s="151"/>
      <c r="D20" s="152"/>
      <c r="E20" s="152"/>
      <c r="F20" s="153"/>
      <c r="O20" s="140"/>
      <c r="P20" s="144"/>
      <c r="Q20" s="144"/>
      <c r="R20" s="144"/>
      <c r="S20" s="144"/>
      <c r="T20" s="159"/>
      <c r="U20" s="159">
        <f t="shared" si="1"/>
        <v>0</v>
      </c>
    </row>
    <row r="21" spans="3:21" x14ac:dyDescent="0.3">
      <c r="O21" s="138"/>
      <c r="P21" s="138">
        <f>SUM(P8:P20)</f>
        <v>261</v>
      </c>
      <c r="Q21" s="138">
        <f t="shared" ref="Q21:T21" si="3">SUM(Q8:Q20)</f>
        <v>7</v>
      </c>
      <c r="R21" s="138"/>
      <c r="S21" s="138">
        <f t="shared" si="3"/>
        <v>12</v>
      </c>
      <c r="T21" s="138">
        <f t="shared" si="3"/>
        <v>242</v>
      </c>
      <c r="U21" s="138">
        <f>SUM(U8:U20)</f>
        <v>1936</v>
      </c>
    </row>
  </sheetData>
  <sheetProtection algorithmName="SHA-512" hashValue="RAzvOw0DSusuOZwrLP+z0ixgTdtZEhc36VnzxETP+XYLi4JTm8wJpAh6owVw5FskiEVwS/TtF7osSse9Z5uoaw==" saltValue="Bnpxe3OqVLTG0IyiwUwWnw==" spinCount="100000" sheet="1" objects="1" scenarios="1" formatRows="0" sort="0" autoFilter="0" pivotTables="0"/>
  <mergeCells count="6">
    <mergeCell ref="C2:H2"/>
    <mergeCell ref="C3:H3"/>
    <mergeCell ref="C4:H4"/>
    <mergeCell ref="O5:T5"/>
    <mergeCell ref="D6:I6"/>
    <mergeCell ref="J6:L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81640625" bestFit="1" customWidth="1"/>
    <col min="2" max="2" width="20.453125" bestFit="1" customWidth="1"/>
    <col min="3" max="3" width="23.54296875" bestFit="1" customWidth="1"/>
    <col min="4" max="4" width="15.54296875" bestFit="1" customWidth="1"/>
    <col min="5" max="5" width="33.1796875" bestFit="1" customWidth="1"/>
  </cols>
  <sheetData>
    <row r="1" spans="2:5" ht="15" thickBot="1" x14ac:dyDescent="0.4"/>
    <row r="2" spans="2:5" ht="15" thickBot="1" x14ac:dyDescent="0.4">
      <c r="B2" s="1" t="s">
        <v>354</v>
      </c>
      <c r="C2" s="2" t="s">
        <v>355</v>
      </c>
      <c r="D2" s="2" t="s">
        <v>356</v>
      </c>
      <c r="E2" s="135" t="s">
        <v>357</v>
      </c>
    </row>
    <row r="3" spans="2:5" x14ac:dyDescent="0.35">
      <c r="B3" s="129" t="s">
        <v>358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176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359</v>
      </c>
      <c r="C5" s="131"/>
      <c r="D5" s="131">
        <v>12353.846153846154</v>
      </c>
      <c r="E5" s="134"/>
    </row>
    <row r="6" spans="2:5" x14ac:dyDescent="0.35">
      <c r="B6" s="129" t="s">
        <v>318</v>
      </c>
      <c r="C6" s="130">
        <v>2580</v>
      </c>
      <c r="D6" s="131">
        <v>1769.2307692307693</v>
      </c>
      <c r="E6" s="134">
        <f>C6*0.013</f>
        <v>33.54</v>
      </c>
    </row>
  </sheetData>
  <sheetProtection algorithmName="SHA-512" hashValue="Jr1fy72EZv6rd4QaO5trDHAehEgVuFlTnlKH3Thv83+l18DZjHI8PT6yMZYqGRiftIWubiT2G2+1C1dLx1mmCA==" saltValue="aR8+K54qSUBsZ0Z/jofi7Q==" spinCount="100000" sheet="1" objects="1" scenarios="1" format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360</v>
      </c>
      <c r="D2" t="s">
        <v>361</v>
      </c>
    </row>
    <row r="3" spans="2:4" x14ac:dyDescent="0.35">
      <c r="B3" t="s">
        <v>10</v>
      </c>
      <c r="D3" s="63">
        <v>1.2999999999999999E-2</v>
      </c>
    </row>
    <row r="4" spans="2:4" x14ac:dyDescent="0.35">
      <c r="B4" t="s">
        <v>362</v>
      </c>
    </row>
  </sheetData>
  <sheetProtection algorithmName="SHA-512" hashValue="B6ithOST1u+MtWtRw1NEKUKkO6wdidRI6NSBtwuWj+nJzwI2dRT0jy/Ka4CHXJRk9+PtrYMaDDVjiQqia+fRHA==" saltValue="FQrnEVs12NaolCnWumdY/g==" spinCount="100000" sheet="1" objects="1" scenarios="1" format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7" ma:contentTypeDescription="Create a new document." ma:contentTypeScope="" ma:versionID="581a1c8a44a2e1a6259f3b323bc21a26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f8b426282f98436f2c43600c004dcd68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18D3FB-35D4-4921-A3C7-B04166C357A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0E2E307-B7C4-4931-A2EE-A3801E9BA0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dccf47-912d-4673-88f0-bf4752349a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ffb99db-04b0-4879-8e73-d3174e57b086}" enabled="1" method="Standard" siteId="{ec3c7dee-d552-494b-a393-7f941a90b98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FrontPage</vt:lpstr>
      <vt:lpstr>Fixed Fee</vt:lpstr>
      <vt:lpstr>Calculations</vt:lpstr>
      <vt:lpstr>ProjectContractType</vt:lpstr>
      <vt:lpstr>Resource_List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Anjana Sharma</dc:creator>
  <cp:keywords/>
  <dc:description/>
  <cp:lastModifiedBy>Anjana Sharma</cp:lastModifiedBy>
  <cp:revision/>
  <dcterms:created xsi:type="dcterms:W3CDTF">2023-12-08T19:09:16Z</dcterms:created>
  <dcterms:modified xsi:type="dcterms:W3CDTF">2026-05-27T07:47:29Z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